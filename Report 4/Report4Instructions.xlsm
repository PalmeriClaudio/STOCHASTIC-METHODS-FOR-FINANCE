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6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2cc668a1dc8ecca/Desktop/Uni/Financial/New folder/"/>
    </mc:Choice>
  </mc:AlternateContent>
  <xr:revisionPtr revIDLastSave="0" documentId="8_{F94B16EA-B831-4E61-8A1A-29189FE34050}" xr6:coauthVersionLast="47" xr6:coauthVersionMax="47" xr10:uidLastSave="{00000000-0000-0000-0000-000000000000}"/>
  <bookViews>
    <workbookView xWindow="-108" yWindow="-108" windowWidth="23256" windowHeight="12456" xr2:uid="{A2F9F5C8-64FD-4C47-A3B7-B2D1A594AC85}"/>
  </bookViews>
  <sheets>
    <sheet name="Sheet1" sheetId="1" r:id="rId1"/>
    <sheet name="Delta" sheetId="2" r:id="rId2"/>
    <sheet name="Gamma" sheetId="3" r:id="rId3"/>
    <sheet name="Rho" sheetId="4" r:id="rId4"/>
    <sheet name="Theta" sheetId="5" r:id="rId5"/>
    <sheet name="Vega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5" i="6" l="1" a="1"/>
  <c r="L45" i="6" a="1"/>
  <c r="T45" i="6" a="1"/>
  <c r="AB45" i="6" a="1"/>
  <c r="AJ45" i="6" a="1"/>
  <c r="AR45" i="6" a="1"/>
  <c r="AZ45" i="6" a="1"/>
  <c r="K46" i="6" a="1"/>
  <c r="S46" i="6" a="1"/>
  <c r="AA46" i="6" a="1"/>
  <c r="AI46" i="6" a="1"/>
  <c r="AQ46" i="6" a="1"/>
  <c r="AY46" i="6" a="1"/>
  <c r="J47" i="6" a="1"/>
  <c r="R47" i="6" a="1"/>
  <c r="Z47" i="6" a="1"/>
  <c r="AH47" i="6" a="1"/>
  <c r="AP47" i="6" a="1"/>
  <c r="AX47" i="6" a="1"/>
  <c r="I48" i="6" a="1"/>
  <c r="Q48" i="6" a="1"/>
  <c r="Y48" i="6" a="1"/>
  <c r="AG48" i="6" a="1"/>
  <c r="AO48" i="6" a="1"/>
  <c r="AW48" i="6" a="1"/>
  <c r="H49" i="6" a="1"/>
  <c r="P49" i="6" a="1"/>
  <c r="X49" i="6" a="1"/>
  <c r="AF49" i="6" a="1"/>
  <c r="AN49" i="6" a="1"/>
  <c r="AV49" i="6" a="1"/>
  <c r="G50" i="6" a="1"/>
  <c r="O50" i="6" a="1"/>
  <c r="W50" i="6" a="1"/>
  <c r="AE50" i="6" a="1"/>
  <c r="AM50" i="6" a="1"/>
  <c r="AU50" i="6" a="1"/>
  <c r="F51" i="6" a="1"/>
  <c r="N51" i="6" a="1"/>
  <c r="V51" i="6" a="1"/>
  <c r="AD51" i="6" a="1"/>
  <c r="AL51" i="6" a="1"/>
  <c r="AT51" i="6" a="1"/>
  <c r="E52" i="6" a="1"/>
  <c r="M52" i="6" a="1"/>
  <c r="U52" i="6" a="1"/>
  <c r="AC52" i="6" a="1"/>
  <c r="AK52" i="6" a="1"/>
  <c r="AS52" i="6" a="1"/>
  <c r="D53" i="6" a="1"/>
  <c r="L53" i="6" a="1"/>
  <c r="T53" i="6" a="1"/>
  <c r="AB53" i="6" a="1"/>
  <c r="AJ53" i="6" a="1"/>
  <c r="AR53" i="6" a="1"/>
  <c r="AZ53" i="6" a="1"/>
  <c r="K54" i="6" a="1"/>
  <c r="S54" i="6" a="1"/>
  <c r="AA54" i="6" a="1"/>
  <c r="AI54" i="6" a="1"/>
  <c r="AQ54" i="6" a="1"/>
  <c r="AY54" i="6" a="1"/>
  <c r="J55" i="6" a="1"/>
  <c r="R55" i="6" a="1"/>
  <c r="Z55" i="6" a="1"/>
  <c r="AH55" i="6" a="1"/>
  <c r="AP55" i="6" a="1"/>
  <c r="AX55" i="6" a="1"/>
  <c r="I56" i="6" a="1"/>
  <c r="Q56" i="6" a="1"/>
  <c r="Y56" i="6" a="1"/>
  <c r="AG56" i="6" a="1"/>
  <c r="E45" i="6" a="1"/>
  <c r="M45" i="6" a="1"/>
  <c r="U45" i="6" a="1"/>
  <c r="AC45" i="6" a="1"/>
  <c r="AK45" i="6" a="1"/>
  <c r="AS45" i="6" a="1"/>
  <c r="D46" i="6" a="1"/>
  <c r="L46" i="6" a="1"/>
  <c r="T46" i="6" a="1"/>
  <c r="AB46" i="6" a="1"/>
  <c r="AJ46" i="6" a="1"/>
  <c r="AR46" i="6" a="1"/>
  <c r="AZ46" i="6" a="1"/>
  <c r="K47" i="6" a="1"/>
  <c r="S47" i="6" a="1"/>
  <c r="AA47" i="6" a="1"/>
  <c r="AI47" i="6" a="1"/>
  <c r="AQ47" i="6" a="1"/>
  <c r="AY47" i="6" a="1"/>
  <c r="J48" i="6" a="1"/>
  <c r="R48" i="6" a="1"/>
  <c r="Z48" i="6" a="1"/>
  <c r="AH48" i="6" a="1"/>
  <c r="AP48" i="6" a="1"/>
  <c r="AX48" i="6" a="1"/>
  <c r="I49" i="6" a="1"/>
  <c r="Q49" i="6" a="1"/>
  <c r="Y49" i="6" a="1"/>
  <c r="AG49" i="6" a="1"/>
  <c r="AO49" i="6" a="1"/>
  <c r="AW49" i="6" a="1"/>
  <c r="H50" i="6" a="1"/>
  <c r="P50" i="6" a="1"/>
  <c r="X50" i="6" a="1"/>
  <c r="AF50" i="6" a="1"/>
  <c r="AN50" i="6" a="1"/>
  <c r="AV50" i="6" a="1"/>
  <c r="G51" i="6" a="1"/>
  <c r="O51" i="6" a="1"/>
  <c r="W51" i="6" a="1"/>
  <c r="AE51" i="6" a="1"/>
  <c r="AM51" i="6" a="1"/>
  <c r="AU51" i="6" a="1"/>
  <c r="F52" i="6" a="1"/>
  <c r="N52" i="6" a="1"/>
  <c r="V52" i="6" a="1"/>
  <c r="AD52" i="6" a="1"/>
  <c r="AL52" i="6" a="1"/>
  <c r="AT52" i="6" a="1"/>
  <c r="E53" i="6" a="1"/>
  <c r="M53" i="6" a="1"/>
  <c r="U53" i="6" a="1"/>
  <c r="AC53" i="6" a="1"/>
  <c r="AK53" i="6" a="1"/>
  <c r="AS53" i="6" a="1"/>
  <c r="D54" i="6" a="1"/>
  <c r="L54" i="6" a="1"/>
  <c r="T54" i="6" a="1"/>
  <c r="AB54" i="6" a="1"/>
  <c r="AJ54" i="6" a="1"/>
  <c r="AR54" i="6" a="1"/>
  <c r="AZ54" i="6" a="1"/>
  <c r="K55" i="6" a="1"/>
  <c r="S55" i="6" a="1"/>
  <c r="AA55" i="6" a="1"/>
  <c r="AI55" i="6" a="1"/>
  <c r="AQ55" i="6" a="1"/>
  <c r="AY55" i="6" a="1"/>
  <c r="J56" i="6" a="1"/>
  <c r="R56" i="6" a="1"/>
  <c r="Z56" i="6" a="1"/>
  <c r="AH56" i="6" a="1"/>
  <c r="AP56" i="6" a="1"/>
  <c r="AX56" i="6" a="1"/>
  <c r="I57" i="6" a="1"/>
  <c r="Q57" i="6" a="1"/>
  <c r="Y57" i="6" a="1"/>
  <c r="AG57" i="6" a="1"/>
  <c r="AO57" i="6" a="1"/>
  <c r="AW57" i="6" a="1"/>
  <c r="H58" i="6" a="1"/>
  <c r="P58" i="6" a="1"/>
  <c r="X58" i="6" a="1"/>
  <c r="AF58" i="6" a="1"/>
  <c r="AN58" i="6" a="1"/>
  <c r="AV58" i="6" a="1"/>
  <c r="F45" i="6" a="1"/>
  <c r="N45" i="6" a="1"/>
  <c r="V45" i="6" a="1"/>
  <c r="AD45" i="6" a="1"/>
  <c r="AL45" i="6" a="1"/>
  <c r="AT45" i="6" a="1"/>
  <c r="E46" i="6" a="1"/>
  <c r="M46" i="6" a="1"/>
  <c r="U46" i="6" a="1"/>
  <c r="AC46" i="6" a="1"/>
  <c r="AK46" i="6" a="1"/>
  <c r="AS46" i="6" a="1"/>
  <c r="D47" i="6" a="1"/>
  <c r="L47" i="6" a="1"/>
  <c r="T47" i="6" a="1"/>
  <c r="AB47" i="6" a="1"/>
  <c r="AJ47" i="6" a="1"/>
  <c r="AR47" i="6" a="1"/>
  <c r="AZ47" i="6" a="1"/>
  <c r="K48" i="6" a="1"/>
  <c r="S48" i="6" a="1"/>
  <c r="AA48" i="6" a="1"/>
  <c r="AI48" i="6" a="1"/>
  <c r="AQ48" i="6" a="1"/>
  <c r="AY48" i="6" a="1"/>
  <c r="J49" i="6" a="1"/>
  <c r="R49" i="6" a="1"/>
  <c r="Z49" i="6" a="1"/>
  <c r="AH49" i="6" a="1"/>
  <c r="AP49" i="6" a="1"/>
  <c r="AX49" i="6" a="1"/>
  <c r="I50" i="6" a="1"/>
  <c r="Q50" i="6" a="1"/>
  <c r="Y50" i="6" a="1"/>
  <c r="AG50" i="6" a="1"/>
  <c r="AO50" i="6" a="1"/>
  <c r="AW50" i="6" a="1"/>
  <c r="H51" i="6" a="1"/>
  <c r="P51" i="6" a="1"/>
  <c r="X51" i="6" a="1"/>
  <c r="AF51" i="6" a="1"/>
  <c r="AN51" i="6" a="1"/>
  <c r="AV51" i="6" a="1"/>
  <c r="G52" i="6" a="1"/>
  <c r="O52" i="6" a="1"/>
  <c r="W52" i="6" a="1"/>
  <c r="AE52" i="6" a="1"/>
  <c r="AM52" i="6" a="1"/>
  <c r="AU52" i="6" a="1"/>
  <c r="F53" i="6" a="1"/>
  <c r="N53" i="6" a="1"/>
  <c r="V53" i="6" a="1"/>
  <c r="AD53" i="6" a="1"/>
  <c r="AL53" i="6" a="1"/>
  <c r="AT53" i="6" a="1"/>
  <c r="E54" i="6" a="1"/>
  <c r="M54" i="6" a="1"/>
  <c r="U54" i="6" a="1"/>
  <c r="AC54" i="6" a="1"/>
  <c r="AK54" i="6" a="1"/>
  <c r="AS54" i="6" a="1"/>
  <c r="D55" i="6" a="1"/>
  <c r="L55" i="6" a="1"/>
  <c r="T55" i="6" a="1"/>
  <c r="AB55" i="6" a="1"/>
  <c r="AJ55" i="6" a="1"/>
  <c r="AR55" i="6" a="1"/>
  <c r="AZ55" i="6" a="1"/>
  <c r="K56" i="6" a="1"/>
  <c r="S56" i="6" a="1"/>
  <c r="AA56" i="6" a="1"/>
  <c r="AI56" i="6" a="1"/>
  <c r="AQ56" i="6" a="1"/>
  <c r="AY56" i="6" a="1"/>
  <c r="J57" i="6" a="1"/>
  <c r="R57" i="6" a="1"/>
  <c r="Z57" i="6" a="1"/>
  <c r="AH57" i="6" a="1"/>
  <c r="AP57" i="6" a="1"/>
  <c r="AX57" i="6" a="1"/>
  <c r="I58" i="6" a="1"/>
  <c r="Q58" i="6" a="1"/>
  <c r="Y58" i="6" a="1"/>
  <c r="AG58" i="6" a="1"/>
  <c r="AO58" i="6" a="1"/>
  <c r="AW58" i="6" a="1"/>
  <c r="G45" i="6" a="1"/>
  <c r="O45" i="6" a="1"/>
  <c r="W45" i="6" a="1"/>
  <c r="AE45" i="6" a="1"/>
  <c r="AM45" i="6" a="1"/>
  <c r="AU45" i="6" a="1"/>
  <c r="F46" i="6" a="1"/>
  <c r="N46" i="6" a="1"/>
  <c r="V46" i="6" a="1"/>
  <c r="AD46" i="6" a="1"/>
  <c r="AL46" i="6" a="1"/>
  <c r="AT46" i="6" a="1"/>
  <c r="E47" i="6" a="1"/>
  <c r="M47" i="6" a="1"/>
  <c r="U47" i="6" a="1"/>
  <c r="AC47" i="6" a="1"/>
  <c r="AK47" i="6" a="1"/>
  <c r="AS47" i="6" a="1"/>
  <c r="D48" i="6" a="1"/>
  <c r="L48" i="6" a="1"/>
  <c r="T48" i="6" a="1"/>
  <c r="AB48" i="6" a="1"/>
  <c r="AJ48" i="6" a="1"/>
  <c r="AR48" i="6" a="1"/>
  <c r="AZ48" i="6" a="1"/>
  <c r="K49" i="6" a="1"/>
  <c r="S49" i="6" a="1"/>
  <c r="AA49" i="6" a="1"/>
  <c r="AI49" i="6" a="1"/>
  <c r="AQ49" i="6" a="1"/>
  <c r="AY49" i="6" a="1"/>
  <c r="J50" i="6" a="1"/>
  <c r="R50" i="6" a="1"/>
  <c r="Z50" i="6" a="1"/>
  <c r="AH50" i="6" a="1"/>
  <c r="AP50" i="6" a="1"/>
  <c r="AX50" i="6" a="1"/>
  <c r="I51" i="6" a="1"/>
  <c r="Q51" i="6" a="1"/>
  <c r="Y51" i="6" a="1"/>
  <c r="AG51" i="6" a="1"/>
  <c r="AO51" i="6" a="1"/>
  <c r="AW51" i="6" a="1"/>
  <c r="H52" i="6" a="1"/>
  <c r="P52" i="6" a="1"/>
  <c r="X52" i="6" a="1"/>
  <c r="AF52" i="6" a="1"/>
  <c r="AN52" i="6" a="1"/>
  <c r="AV52" i="6" a="1"/>
  <c r="G53" i="6" a="1"/>
  <c r="O53" i="6" a="1"/>
  <c r="W53" i="6" a="1"/>
  <c r="AE53" i="6" a="1"/>
  <c r="AM53" i="6" a="1"/>
  <c r="AU53" i="6" a="1"/>
  <c r="F54" i="6" a="1"/>
  <c r="N54" i="6" a="1"/>
  <c r="V54" i="6" a="1"/>
  <c r="AD54" i="6" a="1"/>
  <c r="AL54" i="6" a="1"/>
  <c r="AT54" i="6" a="1"/>
  <c r="E55" i="6" a="1"/>
  <c r="M55" i="6" a="1"/>
  <c r="U55" i="6" a="1"/>
  <c r="AC55" i="6" a="1"/>
  <c r="AK55" i="6" a="1"/>
  <c r="AS55" i="6" a="1"/>
  <c r="D56" i="6" a="1"/>
  <c r="L56" i="6" a="1"/>
  <c r="T56" i="6" a="1"/>
  <c r="AB56" i="6" a="1"/>
  <c r="AJ56" i="6" a="1"/>
  <c r="AR56" i="6" a="1"/>
  <c r="AZ56" i="6" a="1"/>
  <c r="K57" i="6" a="1"/>
  <c r="S57" i="6" a="1"/>
  <c r="AA57" i="6" a="1"/>
  <c r="AI57" i="6" a="1"/>
  <c r="AQ57" i="6" a="1"/>
  <c r="AY57" i="6" a="1"/>
  <c r="J58" i="6" a="1"/>
  <c r="R58" i="6" a="1"/>
  <c r="Z58" i="6" a="1"/>
  <c r="AH58" i="6" a="1"/>
  <c r="AP58" i="6" a="1"/>
  <c r="H45" i="6" a="1"/>
  <c r="P45" i="6" a="1"/>
  <c r="X45" i="6" a="1"/>
  <c r="AF45" i="6" a="1"/>
  <c r="AN45" i="6" a="1"/>
  <c r="AV45" i="6" a="1"/>
  <c r="G46" i="6" a="1"/>
  <c r="O46" i="6" a="1"/>
  <c r="W46" i="6" a="1"/>
  <c r="AE46" i="6" a="1"/>
  <c r="AM46" i="6" a="1"/>
  <c r="AU46" i="6" a="1"/>
  <c r="F47" i="6" a="1"/>
  <c r="N47" i="6" a="1"/>
  <c r="V47" i="6" a="1"/>
  <c r="AD47" i="6" a="1"/>
  <c r="AL47" i="6" a="1"/>
  <c r="AT47" i="6" a="1"/>
  <c r="E48" i="6" a="1"/>
  <c r="M48" i="6" a="1"/>
  <c r="U48" i="6" a="1"/>
  <c r="AC48" i="6" a="1"/>
  <c r="AK48" i="6" a="1"/>
  <c r="AS48" i="6" a="1"/>
  <c r="D49" i="6" a="1"/>
  <c r="L49" i="6" a="1"/>
  <c r="T49" i="6" a="1"/>
  <c r="AB49" i="6" a="1"/>
  <c r="AJ49" i="6" a="1"/>
  <c r="AR49" i="6" a="1"/>
  <c r="AZ49" i="6" a="1"/>
  <c r="K50" i="6" a="1"/>
  <c r="S50" i="6" a="1"/>
  <c r="AA50" i="6" a="1"/>
  <c r="AI50" i="6" a="1"/>
  <c r="AQ50" i="6" a="1"/>
  <c r="AY50" i="6" a="1"/>
  <c r="J51" i="6" a="1"/>
  <c r="R51" i="6" a="1"/>
  <c r="Z51" i="6" a="1"/>
  <c r="AH51" i="6" a="1"/>
  <c r="AP51" i="6" a="1"/>
  <c r="AX51" i="6" a="1"/>
  <c r="I52" i="6" a="1"/>
  <c r="Q52" i="6" a="1"/>
  <c r="Y52" i="6" a="1"/>
  <c r="AG52" i="6" a="1"/>
  <c r="AO52" i="6" a="1"/>
  <c r="AW52" i="6" a="1"/>
  <c r="H53" i="6" a="1"/>
  <c r="P53" i="6" a="1"/>
  <c r="X53" i="6" a="1"/>
  <c r="AF53" i="6" a="1"/>
  <c r="AN53" i="6" a="1"/>
  <c r="AV53" i="6" a="1"/>
  <c r="G54" i="6" a="1"/>
  <c r="O54" i="6" a="1"/>
  <c r="W54" i="6" a="1"/>
  <c r="AE54" i="6" a="1"/>
  <c r="AM54" i="6" a="1"/>
  <c r="AU54" i="6" a="1"/>
  <c r="F55" i="6" a="1"/>
  <c r="N55" i="6" a="1"/>
  <c r="V55" i="6" a="1"/>
  <c r="AD55" i="6" a="1"/>
  <c r="AL55" i="6" a="1"/>
  <c r="AT55" i="6" a="1"/>
  <c r="E56" i="6" a="1"/>
  <c r="M56" i="6" a="1"/>
  <c r="U56" i="6" a="1"/>
  <c r="AC56" i="6" a="1"/>
  <c r="AK56" i="6" a="1"/>
  <c r="AS56" i="6" a="1"/>
  <c r="D57" i="6" a="1"/>
  <c r="L57" i="6" a="1"/>
  <c r="T57" i="6" a="1"/>
  <c r="AB57" i="6" a="1"/>
  <c r="AJ57" i="6" a="1"/>
  <c r="AR57" i="6" a="1"/>
  <c r="AZ57" i="6" a="1"/>
  <c r="K58" i="6" a="1"/>
  <c r="S58" i="6" a="1"/>
  <c r="AA58" i="6" a="1"/>
  <c r="AI58" i="6" a="1"/>
  <c r="AQ58" i="6" a="1"/>
  <c r="I45" i="6" a="1"/>
  <c r="Q45" i="6" a="1"/>
  <c r="Y45" i="6" a="1"/>
  <c r="AG45" i="6" a="1"/>
  <c r="AO45" i="6" a="1"/>
  <c r="AW45" i="6" a="1"/>
  <c r="H46" i="6" a="1"/>
  <c r="P46" i="6" a="1"/>
  <c r="X46" i="6" a="1"/>
  <c r="AF46" i="6" a="1"/>
  <c r="AN46" i="6" a="1"/>
  <c r="AV46" i="6" a="1"/>
  <c r="G47" i="6" a="1"/>
  <c r="O47" i="6" a="1"/>
  <c r="W47" i="6" a="1"/>
  <c r="AE47" i="6" a="1"/>
  <c r="AM47" i="6" a="1"/>
  <c r="AU47" i="6" a="1"/>
  <c r="F48" i="6" a="1"/>
  <c r="N48" i="6" a="1"/>
  <c r="V48" i="6" a="1"/>
  <c r="AD48" i="6" a="1"/>
  <c r="AL48" i="6" a="1"/>
  <c r="AT48" i="6" a="1"/>
  <c r="E49" i="6" a="1"/>
  <c r="M49" i="6" a="1"/>
  <c r="U49" i="6" a="1"/>
  <c r="AC49" i="6" a="1"/>
  <c r="AK49" i="6" a="1"/>
  <c r="AS49" i="6" a="1"/>
  <c r="D50" i="6" a="1"/>
  <c r="L50" i="6" a="1"/>
  <c r="T50" i="6" a="1"/>
  <c r="AB50" i="6" a="1"/>
  <c r="AJ50" i="6" a="1"/>
  <c r="AR50" i="6" a="1"/>
  <c r="AZ50" i="6" a="1"/>
  <c r="K51" i="6" a="1"/>
  <c r="S51" i="6" a="1"/>
  <c r="AA51" i="6" a="1"/>
  <c r="AI51" i="6" a="1"/>
  <c r="AQ51" i="6" a="1"/>
  <c r="AY51" i="6" a="1"/>
  <c r="J52" i="6" a="1"/>
  <c r="R52" i="6" a="1"/>
  <c r="Z52" i="6" a="1"/>
  <c r="AH52" i="6" a="1"/>
  <c r="AP52" i="6" a="1"/>
  <c r="AX52" i="6" a="1"/>
  <c r="I53" i="6" a="1"/>
  <c r="Q53" i="6" a="1"/>
  <c r="Y53" i="6" a="1"/>
  <c r="AG53" i="6" a="1"/>
  <c r="AO53" i="6" a="1"/>
  <c r="AW53" i="6" a="1"/>
  <c r="H54" i="6" a="1"/>
  <c r="P54" i="6" a="1"/>
  <c r="X54" i="6" a="1"/>
  <c r="AF54" i="6" a="1"/>
  <c r="AN54" i="6" a="1"/>
  <c r="AV54" i="6" a="1"/>
  <c r="G55" i="6" a="1"/>
  <c r="O55" i="6" a="1"/>
  <c r="W55" i="6" a="1"/>
  <c r="AE55" i="6" a="1"/>
  <c r="AM55" i="6" a="1"/>
  <c r="AU55" i="6" a="1"/>
  <c r="F56" i="6" a="1"/>
  <c r="N56" i="6" a="1"/>
  <c r="J45" i="6" a="1"/>
  <c r="R45" i="6" a="1"/>
  <c r="Z45" i="6" a="1"/>
  <c r="AH45" i="6" a="1"/>
  <c r="AP45" i="6" a="1"/>
  <c r="AX45" i="6" a="1"/>
  <c r="I46" i="6" a="1"/>
  <c r="Q46" i="6" a="1"/>
  <c r="Y46" i="6" a="1"/>
  <c r="AG46" i="6" a="1"/>
  <c r="AO46" i="6" a="1"/>
  <c r="AW46" i="6" a="1"/>
  <c r="H47" i="6" a="1"/>
  <c r="P47" i="6" a="1"/>
  <c r="X47" i="6" a="1"/>
  <c r="AF47" i="6" a="1"/>
  <c r="AN47" i="6" a="1"/>
  <c r="AV47" i="6" a="1"/>
  <c r="G48" i="6" a="1"/>
  <c r="O48" i="6" a="1"/>
  <c r="W48" i="6" a="1"/>
  <c r="AE48" i="6" a="1"/>
  <c r="AM48" i="6" a="1"/>
  <c r="AU48" i="6" a="1"/>
  <c r="F49" i="6" a="1"/>
  <c r="N49" i="6" a="1"/>
  <c r="V49" i="6" a="1"/>
  <c r="AD49" i="6" a="1"/>
  <c r="AL49" i="6" a="1"/>
  <c r="AT49" i="6" a="1"/>
  <c r="E50" i="6" a="1"/>
  <c r="M50" i="6" a="1"/>
  <c r="U50" i="6" a="1"/>
  <c r="AC50" i="6" a="1"/>
  <c r="AK50" i="6" a="1"/>
  <c r="AS50" i="6" a="1"/>
  <c r="D51" i="6" a="1"/>
  <c r="L51" i="6" a="1"/>
  <c r="T51" i="6" a="1"/>
  <c r="AB51" i="6" a="1"/>
  <c r="AJ51" i="6" a="1"/>
  <c r="AR51" i="6" a="1"/>
  <c r="AZ51" i="6" a="1"/>
  <c r="K52" i="6" a="1"/>
  <c r="S52" i="6" a="1"/>
  <c r="AA52" i="6" a="1"/>
  <c r="AI52" i="6" a="1"/>
  <c r="AQ52" i="6" a="1"/>
  <c r="AY52" i="6" a="1"/>
  <c r="J53" i="6" a="1"/>
  <c r="R53" i="6" a="1"/>
  <c r="Z53" i="6" a="1"/>
  <c r="AH53" i="6" a="1"/>
  <c r="AP53" i="6" a="1"/>
  <c r="AX53" i="6" a="1"/>
  <c r="I54" i="6" a="1"/>
  <c r="Q54" i="6" a="1"/>
  <c r="Y54" i="6" a="1"/>
  <c r="AG54" i="6" a="1"/>
  <c r="AO54" i="6" a="1"/>
  <c r="AW54" i="6" a="1"/>
  <c r="H55" i="6" a="1"/>
  <c r="P55" i="6" a="1"/>
  <c r="X55" i="6" a="1"/>
  <c r="K45" i="6" a="1"/>
  <c r="AO47" i="6" a="1"/>
  <c r="V50" i="6" a="1"/>
  <c r="AZ52" i="6" a="1"/>
  <c r="AF55" i="6" a="1"/>
  <c r="AL56" i="6" a="1"/>
  <c r="U57" i="6" a="1"/>
  <c r="D58" i="6" a="1"/>
  <c r="AJ58" i="6" a="1"/>
  <c r="AA61" i="6" a="1"/>
  <c r="U60" i="6" a="1"/>
  <c r="P61" i="6" a="1"/>
  <c r="S45" i="6" a="1"/>
  <c r="AW47" i="6" a="1"/>
  <c r="AD50" i="6" a="1"/>
  <c r="K53" i="6" a="1"/>
  <c r="AG55" i="6" a="1"/>
  <c r="AM56" i="6" a="1"/>
  <c r="V57" i="6" a="1"/>
  <c r="E58" i="6" a="1"/>
  <c r="AK58" i="6" a="1"/>
  <c r="D59" i="6" a="1"/>
  <c r="L59" i="6" a="1"/>
  <c r="T59" i="6" a="1"/>
  <c r="AB59" i="6" a="1"/>
  <c r="AJ59" i="6" a="1"/>
  <c r="AR59" i="6" a="1"/>
  <c r="AZ59" i="6" a="1"/>
  <c r="K60" i="6" a="1"/>
  <c r="S60" i="6" a="1"/>
  <c r="AA60" i="6" a="1"/>
  <c r="AI60" i="6" a="1"/>
  <c r="AQ60" i="6" a="1"/>
  <c r="AY60" i="6" a="1"/>
  <c r="J61" i="6" a="1"/>
  <c r="R61" i="6" a="1"/>
  <c r="Z61" i="6" a="1"/>
  <c r="AH61" i="6" a="1"/>
  <c r="AP61" i="6" a="1"/>
  <c r="AX61" i="6" a="1"/>
  <c r="D60" i="6" a="1"/>
  <c r="AJ60" i="6" a="1"/>
  <c r="K61" i="6" a="1"/>
  <c r="AY61" i="6" a="1"/>
  <c r="AK60" i="6" a="1"/>
  <c r="AB61" i="6" a="1"/>
  <c r="AH59" i="6" a="1"/>
  <c r="AW60" i="6" a="1"/>
  <c r="AA45" i="6" a="1"/>
  <c r="H48" i="6" a="1"/>
  <c r="AL50" i="6" a="1"/>
  <c r="S53" i="6" a="1"/>
  <c r="AN55" i="6" a="1"/>
  <c r="AN56" i="6" a="1"/>
  <c r="W57" i="6" a="1"/>
  <c r="F58" i="6" a="1"/>
  <c r="AL58" i="6" a="1"/>
  <c r="AR60" i="6" a="1"/>
  <c r="L61" i="6" a="1"/>
  <c r="Z59" i="6" a="1"/>
  <c r="AI45" i="6" a="1"/>
  <c r="P48" i="6" a="1"/>
  <c r="AT50" i="6" a="1"/>
  <c r="AA53" i="6" a="1"/>
  <c r="AO55" i="6" a="1"/>
  <c r="AO56" i="6" a="1"/>
  <c r="X57" i="6" a="1"/>
  <c r="G58" i="6" a="1"/>
  <c r="AM58" i="6" a="1"/>
  <c r="E59" i="6" a="1"/>
  <c r="M59" i="6" a="1"/>
  <c r="U59" i="6" a="1"/>
  <c r="AC59" i="6" a="1"/>
  <c r="L60" i="6" a="1"/>
  <c r="AI61" i="6" a="1"/>
  <c r="AC58" i="6" a="1"/>
  <c r="AN61" i="6" a="1"/>
  <c r="AQ45" i="6" a="1"/>
  <c r="X48" i="6" a="1"/>
  <c r="E51" i="6" a="1"/>
  <c r="AI53" i="6" a="1"/>
  <c r="AV55" i="6" a="1"/>
  <c r="AT56" i="6" a="1"/>
  <c r="AC57" i="6" a="1"/>
  <c r="L58" i="6" a="1"/>
  <c r="AR58" i="6" a="1"/>
  <c r="AR61" i="6" a="1"/>
  <c r="R59" i="6" a="1"/>
  <c r="AY45" i="6" a="1"/>
  <c r="AF48" i="6" a="1"/>
  <c r="M51" i="6" a="1"/>
  <c r="AQ53" i="6" a="1"/>
  <c r="AW55" i="6" a="1"/>
  <c r="AU56" i="6" a="1"/>
  <c r="AD57" i="6" a="1"/>
  <c r="M58" i="6" a="1"/>
  <c r="AS58" i="6" a="1"/>
  <c r="F59" i="6" a="1"/>
  <c r="N59" i="6" a="1"/>
  <c r="V59" i="6" a="1"/>
  <c r="AD59" i="6" a="1"/>
  <c r="AL59" i="6" a="1"/>
  <c r="AT59" i="6" a="1"/>
  <c r="E60" i="6" a="1"/>
  <c r="M60" i="6" a="1"/>
  <c r="AC60" i="6" a="1"/>
  <c r="AX59" i="6" a="1"/>
  <c r="J46" i="6" a="1"/>
  <c r="AN48" i="6" a="1"/>
  <c r="U51" i="6" a="1"/>
  <c r="AY53" i="6" a="1"/>
  <c r="G56" i="6" a="1"/>
  <c r="AV56" i="6" a="1"/>
  <c r="AE57" i="6" a="1"/>
  <c r="N58" i="6" a="1"/>
  <c r="AT58" i="6" a="1"/>
  <c r="G59" i="6" a="1"/>
  <c r="AM59" i="6" a="1"/>
  <c r="F60" i="6" a="1"/>
  <c r="V60" i="6" a="1"/>
  <c r="AL60" i="6" a="1"/>
  <c r="AT60" i="6" a="1"/>
  <c r="M61" i="6" a="1"/>
  <c r="U61" i="6" a="1"/>
  <c r="AC61" i="6" a="1"/>
  <c r="AS61" i="6" a="1"/>
  <c r="AD56" i="6" a="1"/>
  <c r="Y60" i="6" a="1"/>
  <c r="R46" i="6" a="1"/>
  <c r="AV48" i="6" a="1"/>
  <c r="AC51" i="6" a="1"/>
  <c r="J54" i="6" a="1"/>
  <c r="H56" i="6" a="1"/>
  <c r="AW56" i="6" a="1"/>
  <c r="AF57" i="6" a="1"/>
  <c r="O58" i="6" a="1"/>
  <c r="AU58" i="6" a="1"/>
  <c r="O59" i="6" a="1"/>
  <c r="W59" i="6" a="1"/>
  <c r="AE59" i="6" a="1"/>
  <c r="AU59" i="6" a="1"/>
  <c r="N60" i="6" a="1"/>
  <c r="AD60" i="6" a="1"/>
  <c r="E61" i="6" a="1"/>
  <c r="AK61" i="6" a="1"/>
  <c r="AT57" i="6" a="1"/>
  <c r="AF61" i="6" a="1"/>
  <c r="Z46" i="6" a="1"/>
  <c r="G49" i="6" a="1"/>
  <c r="AK51" i="6" a="1"/>
  <c r="R54" i="6" a="1"/>
  <c r="O56" i="6" a="1"/>
  <c r="E57" i="6" a="1"/>
  <c r="AK57" i="6" a="1"/>
  <c r="T58" i="6" a="1"/>
  <c r="I59" i="6" a="1"/>
  <c r="AO59" i="6" a="1"/>
  <c r="P60" i="6" a="1"/>
  <c r="AN60" i="6" a="1"/>
  <c r="AE61" i="6" a="1"/>
  <c r="AU49" i="6" a="1"/>
  <c r="AH46" i="6" a="1"/>
  <c r="O49" i="6" a="1"/>
  <c r="AS51" i="6" a="1"/>
  <c r="Z54" i="6" a="1"/>
  <c r="P56" i="6" a="1"/>
  <c r="F57" i="6" a="1"/>
  <c r="AL57" i="6" a="1"/>
  <c r="U58" i="6" a="1"/>
  <c r="H59" i="6" a="1"/>
  <c r="P59" i="6" a="1"/>
  <c r="X59" i="6" a="1"/>
  <c r="AF59" i="6" a="1"/>
  <c r="AN59" i="6" a="1"/>
  <c r="AV59" i="6" a="1"/>
  <c r="G60" i="6" a="1"/>
  <c r="O60" i="6" a="1"/>
  <c r="W60" i="6" a="1"/>
  <c r="AE60" i="6" a="1"/>
  <c r="AM60" i="6" a="1"/>
  <c r="AU60" i="6" a="1"/>
  <c r="F61" i="6" a="1"/>
  <c r="N61" i="6" a="1"/>
  <c r="V61" i="6" a="1"/>
  <c r="AD61" i="6" a="1"/>
  <c r="AL61" i="6" a="1"/>
  <c r="AT61" i="6" a="1"/>
  <c r="Q59" i="6" a="1"/>
  <c r="AG59" i="6" a="1"/>
  <c r="X60" i="6" a="1"/>
  <c r="AV60" i="6" a="1"/>
  <c r="O61" i="6" a="1"/>
  <c r="AU61" i="6" a="1"/>
  <c r="Q47" i="6" a="1"/>
  <c r="AP46" i="6" a="1"/>
  <c r="W49" i="6" a="1"/>
  <c r="D52" i="6" a="1"/>
  <c r="AH54" i="6" a="1"/>
  <c r="V56" i="6" a="1"/>
  <c r="G57" i="6" a="1"/>
  <c r="AM57" i="6" a="1"/>
  <c r="V58" i="6" a="1"/>
  <c r="AX58" i="6" a="1"/>
  <c r="AW59" i="6" a="1"/>
  <c r="AF60" i="6" a="1"/>
  <c r="G61" i="6" a="1"/>
  <c r="AM61" i="6" a="1"/>
  <c r="AB52" i="6" a="1"/>
  <c r="AY58" i="6" a="1"/>
  <c r="Q60" i="6" a="1"/>
  <c r="X61" i="6" a="1"/>
  <c r="AX46" i="6" a="1"/>
  <c r="AE49" i="6" a="1"/>
  <c r="L52" i="6" a="1"/>
  <c r="AP54" i="6" a="1"/>
  <c r="W56" i="6" a="1"/>
  <c r="H57" i="6" a="1"/>
  <c r="AN57" i="6" a="1"/>
  <c r="W58" i="6" a="1"/>
  <c r="Y59" i="6" a="1"/>
  <c r="H60" i="6" a="1"/>
  <c r="W61" i="6" a="1"/>
  <c r="I55" i="6" a="1"/>
  <c r="I60" i="6" a="1"/>
  <c r="I47" i="6" a="1"/>
  <c r="AM49" i="6" a="1"/>
  <c r="T52" i="6" a="1"/>
  <c r="AX54" i="6" a="1"/>
  <c r="X56" i="6" a="1"/>
  <c r="M57" i="6" a="1"/>
  <c r="AS57" i="6" a="1"/>
  <c r="AB58" i="6" a="1"/>
  <c r="N57" i="6" a="1"/>
  <c r="AG60" i="6" a="1"/>
  <c r="Y47" i="6" a="1"/>
  <c r="F50" i="6" a="1"/>
  <c r="AJ52" i="6" a="1"/>
  <c r="Q55" i="6" a="1"/>
  <c r="AE56" i="6" a="1"/>
  <c r="O57" i="6" a="1"/>
  <c r="AU57" i="6" a="1"/>
  <c r="AD58" i="6" a="1"/>
  <c r="Y61" i="6" a="1"/>
  <c r="AO61" i="6" a="1"/>
  <c r="AS59" i="6" a="1"/>
  <c r="AB60" i="6" a="1"/>
  <c r="S61" i="6" a="1"/>
  <c r="D61" i="6" a="1"/>
  <c r="T61" i="6" a="1"/>
  <c r="AZ61" i="6" a="1"/>
  <c r="AP59" i="6" a="1"/>
  <c r="H61" i="6" a="1"/>
  <c r="AG47" i="6" a="1"/>
  <c r="N50" i="6" a="1"/>
  <c r="AR52" i="6" a="1"/>
  <c r="Y55" i="6" a="1"/>
  <c r="AF56" i="6" a="1"/>
  <c r="P57" i="6" a="1"/>
  <c r="AV57" i="6" a="1"/>
  <c r="AE58" i="6" a="1"/>
  <c r="AZ58" i="6" a="1"/>
  <c r="K59" i="6" a="1"/>
  <c r="S59" i="6" a="1"/>
  <c r="AA59" i="6" a="1"/>
  <c r="AI59" i="6" a="1"/>
  <c r="AQ59" i="6" a="1"/>
  <c r="AY59" i="6" a="1"/>
  <c r="J60" i="6" a="1"/>
  <c r="R60" i="6" a="1"/>
  <c r="Z60" i="6" a="1"/>
  <c r="AH60" i="6" a="1"/>
  <c r="AP60" i="6" a="1"/>
  <c r="AX60" i="6" a="1"/>
  <c r="I61" i="6" a="1"/>
  <c r="Q61" i="6" a="1"/>
  <c r="AG61" i="6" a="1"/>
  <c r="AW61" i="6" a="1"/>
  <c r="AK59" i="6" a="1"/>
  <c r="T60" i="6" a="1"/>
  <c r="AZ60" i="6" a="1"/>
  <c r="AQ61" i="6" a="1"/>
  <c r="AS60" i="6" a="1"/>
  <c r="AJ61" i="6" a="1"/>
  <c r="J59" i="6" a="1"/>
  <c r="AO60" i="6" a="1"/>
  <c r="AV61" i="6" a="1"/>
  <c r="C46" i="6" a="1"/>
  <c r="C54" i="6" a="1"/>
  <c r="C55" i="6" a="1"/>
  <c r="C47" i="6" a="1"/>
  <c r="C56" i="6" a="1"/>
  <c r="C51" i="6" a="1"/>
  <c r="C48" i="6" a="1"/>
  <c r="C52" i="6" a="1"/>
  <c r="C57" i="6" a="1"/>
  <c r="C59" i="6" a="1"/>
  <c r="C61" i="6" a="1"/>
  <c r="C49" i="6" a="1"/>
  <c r="C60" i="6" a="1"/>
  <c r="C53" i="6" a="1"/>
  <c r="C58" i="6" a="1"/>
  <c r="C50" i="6" a="1"/>
  <c r="C45" i="6" a="1"/>
  <c r="D24" i="6" a="1"/>
  <c r="L24" i="6" a="1"/>
  <c r="T24" i="6" a="1"/>
  <c r="AB24" i="6" a="1"/>
  <c r="AJ24" i="6" a="1"/>
  <c r="AR24" i="6" a="1"/>
  <c r="AZ24" i="6" a="1"/>
  <c r="K25" i="6" a="1"/>
  <c r="S25" i="6" a="1"/>
  <c r="AA25" i="6" a="1"/>
  <c r="AI25" i="6" a="1"/>
  <c r="AQ25" i="6" a="1"/>
  <c r="AY25" i="6" a="1"/>
  <c r="J26" i="6" a="1"/>
  <c r="R26" i="6" a="1"/>
  <c r="Z26" i="6" a="1"/>
  <c r="AH26" i="6" a="1"/>
  <c r="AP26" i="6" a="1"/>
  <c r="AX26" i="6" a="1"/>
  <c r="I27" i="6" a="1"/>
  <c r="Q27" i="6" a="1"/>
  <c r="Y27" i="6" a="1"/>
  <c r="AG27" i="6" a="1"/>
  <c r="AO27" i="6" a="1"/>
  <c r="AW27" i="6" a="1"/>
  <c r="H28" i="6" a="1"/>
  <c r="P28" i="6" a="1"/>
  <c r="X28" i="6" a="1"/>
  <c r="AF28" i="6" a="1"/>
  <c r="AN28" i="6" a="1"/>
  <c r="AV28" i="6" a="1"/>
  <c r="G29" i="6" a="1"/>
  <c r="O29" i="6" a="1"/>
  <c r="W29" i="6" a="1"/>
  <c r="AE29" i="6" a="1"/>
  <c r="AM29" i="6" a="1"/>
  <c r="AU29" i="6" a="1"/>
  <c r="F30" i="6" a="1"/>
  <c r="N30" i="6" a="1"/>
  <c r="V30" i="6" a="1"/>
  <c r="AD30" i="6" a="1"/>
  <c r="AL30" i="6" a="1"/>
  <c r="AT30" i="6" a="1"/>
  <c r="E31" i="6" a="1"/>
  <c r="M31" i="6" a="1"/>
  <c r="U31" i="6" a="1"/>
  <c r="AC31" i="6" a="1"/>
  <c r="AK31" i="6" a="1"/>
  <c r="AS31" i="6" a="1"/>
  <c r="D32" i="6" a="1"/>
  <c r="L32" i="6" a="1"/>
  <c r="T32" i="6" a="1"/>
  <c r="AB32" i="6" a="1"/>
  <c r="AJ32" i="6" a="1"/>
  <c r="AR32" i="6" a="1"/>
  <c r="AZ32" i="6" a="1"/>
  <c r="K33" i="6" a="1"/>
  <c r="E24" i="6" a="1"/>
  <c r="M24" i="6" a="1"/>
  <c r="U24" i="6" a="1"/>
  <c r="AC24" i="6" a="1"/>
  <c r="AK24" i="6" a="1"/>
  <c r="AS24" i="6" a="1"/>
  <c r="D25" i="6" a="1"/>
  <c r="L25" i="6" a="1"/>
  <c r="T25" i="6" a="1"/>
  <c r="AB25" i="6" a="1"/>
  <c r="AJ25" i="6" a="1"/>
  <c r="AR25" i="6" a="1"/>
  <c r="AZ25" i="6" a="1"/>
  <c r="K26" i="6" a="1"/>
  <c r="S26" i="6" a="1"/>
  <c r="AA26" i="6" a="1"/>
  <c r="AI26" i="6" a="1"/>
  <c r="AQ26" i="6" a="1"/>
  <c r="AY26" i="6" a="1"/>
  <c r="J27" i="6" a="1"/>
  <c r="R27" i="6" a="1"/>
  <c r="Z27" i="6" a="1"/>
  <c r="AH27" i="6" a="1"/>
  <c r="AP27" i="6" a="1"/>
  <c r="AX27" i="6" a="1"/>
  <c r="I28" i="6" a="1"/>
  <c r="Q28" i="6" a="1"/>
  <c r="Y28" i="6" a="1"/>
  <c r="AG28" i="6" a="1"/>
  <c r="AO28" i="6" a="1"/>
  <c r="AW28" i="6" a="1"/>
  <c r="H29" i="6" a="1"/>
  <c r="P29" i="6" a="1"/>
  <c r="X29" i="6" a="1"/>
  <c r="AF29" i="6" a="1"/>
  <c r="AN29" i="6" a="1"/>
  <c r="AV29" i="6" a="1"/>
  <c r="G30" i="6" a="1"/>
  <c r="O30" i="6" a="1"/>
  <c r="W30" i="6" a="1"/>
  <c r="AE30" i="6" a="1"/>
  <c r="AM30" i="6" a="1"/>
  <c r="AU30" i="6" a="1"/>
  <c r="F31" i="6" a="1"/>
  <c r="N31" i="6" a="1"/>
  <c r="V31" i="6" a="1"/>
  <c r="AD31" i="6" a="1"/>
  <c r="AL31" i="6" a="1"/>
  <c r="AT31" i="6" a="1"/>
  <c r="E32" i="6" a="1"/>
  <c r="M32" i="6" a="1"/>
  <c r="U32" i="6" a="1"/>
  <c r="AC32" i="6" a="1"/>
  <c r="AK32" i="6" a="1"/>
  <c r="AS32" i="6" a="1"/>
  <c r="D33" i="6" a="1"/>
  <c r="L33" i="6" a="1"/>
  <c r="T33" i="6" a="1"/>
  <c r="AB33" i="6" a="1"/>
  <c r="AJ33" i="6" a="1"/>
  <c r="AR33" i="6" a="1"/>
  <c r="AZ33" i="6" a="1"/>
  <c r="K34" i="6" a="1"/>
  <c r="S34" i="6" a="1"/>
  <c r="AA34" i="6" a="1"/>
  <c r="AI34" i="6" a="1"/>
  <c r="AQ34" i="6" a="1"/>
  <c r="AY34" i="6" a="1"/>
  <c r="J35" i="6" a="1"/>
  <c r="R35" i="6" a="1"/>
  <c r="Z35" i="6" a="1"/>
  <c r="AH35" i="6" a="1"/>
  <c r="AP35" i="6" a="1"/>
  <c r="AX35" i="6" a="1"/>
  <c r="I36" i="6" a="1"/>
  <c r="Q36" i="6" a="1"/>
  <c r="Y36" i="6" a="1"/>
  <c r="AG36" i="6" a="1"/>
  <c r="AO36" i="6" a="1"/>
  <c r="AW36" i="6" a="1"/>
  <c r="H37" i="6" a="1"/>
  <c r="P37" i="6" a="1"/>
  <c r="X37" i="6" a="1"/>
  <c r="AF37" i="6" a="1"/>
  <c r="F24" i="6" a="1"/>
  <c r="N24" i="6" a="1"/>
  <c r="V24" i="6" a="1"/>
  <c r="AD24" i="6" a="1"/>
  <c r="AL24" i="6" a="1"/>
  <c r="AT24" i="6" a="1"/>
  <c r="E25" i="6" a="1"/>
  <c r="M25" i="6" a="1"/>
  <c r="U25" i="6" a="1"/>
  <c r="AC25" i="6" a="1"/>
  <c r="AK25" i="6" a="1"/>
  <c r="AS25" i="6" a="1"/>
  <c r="D26" i="6" a="1"/>
  <c r="L26" i="6" a="1"/>
  <c r="T26" i="6" a="1"/>
  <c r="AB26" i="6" a="1"/>
  <c r="AJ26" i="6" a="1"/>
  <c r="AR26" i="6" a="1"/>
  <c r="AZ26" i="6" a="1"/>
  <c r="K27" i="6" a="1"/>
  <c r="S27" i="6" a="1"/>
  <c r="AA27" i="6" a="1"/>
  <c r="AI27" i="6" a="1"/>
  <c r="AQ27" i="6" a="1"/>
  <c r="AY27" i="6" a="1"/>
  <c r="J28" i="6" a="1"/>
  <c r="R28" i="6" a="1"/>
  <c r="Z28" i="6" a="1"/>
  <c r="AH28" i="6" a="1"/>
  <c r="AP28" i="6" a="1"/>
  <c r="AX28" i="6" a="1"/>
  <c r="I29" i="6" a="1"/>
  <c r="Q29" i="6" a="1"/>
  <c r="Y29" i="6" a="1"/>
  <c r="AG29" i="6" a="1"/>
  <c r="AO29" i="6" a="1"/>
  <c r="AW29" i="6" a="1"/>
  <c r="H30" i="6" a="1"/>
  <c r="P30" i="6" a="1"/>
  <c r="X30" i="6" a="1"/>
  <c r="AF30" i="6" a="1"/>
  <c r="AN30" i="6" a="1"/>
  <c r="AV30" i="6" a="1"/>
  <c r="G24" i="6" a="1"/>
  <c r="O24" i="6" a="1"/>
  <c r="W24" i="6" a="1"/>
  <c r="AE24" i="6" a="1"/>
  <c r="AM24" i="6" a="1"/>
  <c r="AU24" i="6" a="1"/>
  <c r="F25" i="6" a="1"/>
  <c r="N25" i="6" a="1"/>
  <c r="V25" i="6" a="1"/>
  <c r="AD25" i="6" a="1"/>
  <c r="AL25" i="6" a="1"/>
  <c r="AT25" i="6" a="1"/>
  <c r="E26" i="6" a="1"/>
  <c r="M26" i="6" a="1"/>
  <c r="U26" i="6" a="1"/>
  <c r="AC26" i="6" a="1"/>
  <c r="AK26" i="6" a="1"/>
  <c r="AS26" i="6" a="1"/>
  <c r="D27" i="6" a="1"/>
  <c r="L27" i="6" a="1"/>
  <c r="T27" i="6" a="1"/>
  <c r="AB27" i="6" a="1"/>
  <c r="AJ27" i="6" a="1"/>
  <c r="AR27" i="6" a="1"/>
  <c r="AZ27" i="6" a="1"/>
  <c r="K28" i="6" a="1"/>
  <c r="S28" i="6" a="1"/>
  <c r="AA28" i="6" a="1"/>
  <c r="AI28" i="6" a="1"/>
  <c r="AQ28" i="6" a="1"/>
  <c r="AY28" i="6" a="1"/>
  <c r="J29" i="6" a="1"/>
  <c r="R29" i="6" a="1"/>
  <c r="Z29" i="6" a="1"/>
  <c r="AH29" i="6" a="1"/>
  <c r="AP29" i="6" a="1"/>
  <c r="AX29" i="6" a="1"/>
  <c r="I30" i="6" a="1"/>
  <c r="Q30" i="6" a="1"/>
  <c r="Y30" i="6" a="1"/>
  <c r="AG30" i="6" a="1"/>
  <c r="AO30" i="6" a="1"/>
  <c r="AW30" i="6" a="1"/>
  <c r="H31" i="6" a="1"/>
  <c r="P31" i="6" a="1"/>
  <c r="X31" i="6" a="1"/>
  <c r="AF31" i="6" a="1"/>
  <c r="AN31" i="6" a="1"/>
  <c r="AV31" i="6" a="1"/>
  <c r="G32" i="6" a="1"/>
  <c r="O32" i="6" a="1"/>
  <c r="W32" i="6" a="1"/>
  <c r="AE32" i="6" a="1"/>
  <c r="AM32" i="6" a="1"/>
  <c r="AU32" i="6" a="1"/>
  <c r="F33" i="6" a="1"/>
  <c r="N33" i="6" a="1"/>
  <c r="V33" i="6" a="1"/>
  <c r="AD33" i="6" a="1"/>
  <c r="AL33" i="6" a="1"/>
  <c r="AT33" i="6" a="1"/>
  <c r="E34" i="6" a="1"/>
  <c r="M34" i="6" a="1"/>
  <c r="U34" i="6" a="1"/>
  <c r="AC34" i="6" a="1"/>
  <c r="AK34" i="6" a="1"/>
  <c r="AS34" i="6" a="1"/>
  <c r="D35" i="6" a="1"/>
  <c r="L35" i="6" a="1"/>
  <c r="T35" i="6" a="1"/>
  <c r="AB35" i="6" a="1"/>
  <c r="AJ35" i="6" a="1"/>
  <c r="AR35" i="6" a="1"/>
  <c r="AZ35" i="6" a="1"/>
  <c r="K36" i="6" a="1"/>
  <c r="S36" i="6" a="1"/>
  <c r="AA36" i="6" a="1"/>
  <c r="AI36" i="6" a="1"/>
  <c r="AQ36" i="6" a="1"/>
  <c r="AY36" i="6" a="1"/>
  <c r="J37" i="6" a="1"/>
  <c r="R37" i="6" a="1"/>
  <c r="Z37" i="6" a="1"/>
  <c r="AH37" i="6" a="1"/>
  <c r="AP37" i="6" a="1"/>
  <c r="H24" i="6" a="1"/>
  <c r="P24" i="6" a="1"/>
  <c r="X24" i="6" a="1"/>
  <c r="AF24" i="6" a="1"/>
  <c r="AN24" i="6" a="1"/>
  <c r="AV24" i="6" a="1"/>
  <c r="G25" i="6" a="1"/>
  <c r="O25" i="6" a="1"/>
  <c r="W25" i="6" a="1"/>
  <c r="AE25" i="6" a="1"/>
  <c r="AM25" i="6" a="1"/>
  <c r="AU25" i="6" a="1"/>
  <c r="F26" i="6" a="1"/>
  <c r="N26" i="6" a="1"/>
  <c r="V26" i="6" a="1"/>
  <c r="AD26" i="6" a="1"/>
  <c r="AL26" i="6" a="1"/>
  <c r="AT26" i="6" a="1"/>
  <c r="E27" i="6" a="1"/>
  <c r="M27" i="6" a="1"/>
  <c r="U27" i="6" a="1"/>
  <c r="AC27" i="6" a="1"/>
  <c r="AK27" i="6" a="1"/>
  <c r="AS27" i="6" a="1"/>
  <c r="D28" i="6" a="1"/>
  <c r="L28" i="6" a="1"/>
  <c r="T28" i="6" a="1"/>
  <c r="AB28" i="6" a="1"/>
  <c r="AJ28" i="6" a="1"/>
  <c r="AR28" i="6" a="1"/>
  <c r="AZ28" i="6" a="1"/>
  <c r="K29" i="6" a="1"/>
  <c r="S29" i="6" a="1"/>
  <c r="AA29" i="6" a="1"/>
  <c r="AI29" i="6" a="1"/>
  <c r="AQ29" i="6" a="1"/>
  <c r="AY29" i="6" a="1"/>
  <c r="J30" i="6" a="1"/>
  <c r="R30" i="6" a="1"/>
  <c r="Z30" i="6" a="1"/>
  <c r="AH30" i="6" a="1"/>
  <c r="AP30" i="6" a="1"/>
  <c r="AX30" i="6" a="1"/>
  <c r="I31" i="6" a="1"/>
  <c r="Q31" i="6" a="1"/>
  <c r="Y31" i="6" a="1"/>
  <c r="AG31" i="6" a="1"/>
  <c r="AO31" i="6" a="1"/>
  <c r="AW31" i="6" a="1"/>
  <c r="H32" i="6" a="1"/>
  <c r="P32" i="6" a="1"/>
  <c r="X32" i="6" a="1"/>
  <c r="AF32" i="6" a="1"/>
  <c r="AN32" i="6" a="1"/>
  <c r="AV32" i="6" a="1"/>
  <c r="G33" i="6" a="1"/>
  <c r="O33" i="6" a="1"/>
  <c r="W33" i="6" a="1"/>
  <c r="AE33" i="6" a="1"/>
  <c r="AM33" i="6" a="1"/>
  <c r="AU33" i="6" a="1"/>
  <c r="F34" i="6" a="1"/>
  <c r="N34" i="6" a="1"/>
  <c r="V34" i="6" a="1"/>
  <c r="AD34" i="6" a="1"/>
  <c r="AL34" i="6" a="1"/>
  <c r="AT34" i="6" a="1"/>
  <c r="E35" i="6" a="1"/>
  <c r="M35" i="6" a="1"/>
  <c r="U35" i="6" a="1"/>
  <c r="AC35" i="6" a="1"/>
  <c r="AK35" i="6" a="1"/>
  <c r="AS35" i="6" a="1"/>
  <c r="D36" i="6" a="1"/>
  <c r="L36" i="6" a="1"/>
  <c r="T36" i="6" a="1"/>
  <c r="AB36" i="6" a="1"/>
  <c r="AJ36" i="6" a="1"/>
  <c r="AR36" i="6" a="1"/>
  <c r="AZ36" i="6" a="1"/>
  <c r="K37" i="6" a="1"/>
  <c r="S37" i="6" a="1"/>
  <c r="AA37" i="6" a="1"/>
  <c r="I24" i="6" a="1"/>
  <c r="Q24" i="6" a="1"/>
  <c r="Y24" i="6" a="1"/>
  <c r="AG24" i="6" a="1"/>
  <c r="AO24" i="6" a="1"/>
  <c r="AW24" i="6" a="1"/>
  <c r="H25" i="6" a="1"/>
  <c r="P25" i="6" a="1"/>
  <c r="X25" i="6" a="1"/>
  <c r="AF25" i="6" a="1"/>
  <c r="AN25" i="6" a="1"/>
  <c r="AV25" i="6" a="1"/>
  <c r="G26" i="6" a="1"/>
  <c r="O26" i="6" a="1"/>
  <c r="W26" i="6" a="1"/>
  <c r="AE26" i="6" a="1"/>
  <c r="AM26" i="6" a="1"/>
  <c r="AU26" i="6" a="1"/>
  <c r="F27" i="6" a="1"/>
  <c r="N27" i="6" a="1"/>
  <c r="V27" i="6" a="1"/>
  <c r="AD27" i="6" a="1"/>
  <c r="AL27" i="6" a="1"/>
  <c r="AT27" i="6" a="1"/>
  <c r="E28" i="6" a="1"/>
  <c r="M28" i="6" a="1"/>
  <c r="U28" i="6" a="1"/>
  <c r="AC28" i="6" a="1"/>
  <c r="AK28" i="6" a="1"/>
  <c r="AS28" i="6" a="1"/>
  <c r="D29" i="6" a="1"/>
  <c r="L29" i="6" a="1"/>
  <c r="T29" i="6" a="1"/>
  <c r="AB29" i="6" a="1"/>
  <c r="AJ29" i="6" a="1"/>
  <c r="AR29" i="6" a="1"/>
  <c r="AZ29" i="6" a="1"/>
  <c r="K30" i="6" a="1"/>
  <c r="S30" i="6" a="1"/>
  <c r="AA30" i="6" a="1"/>
  <c r="AI30" i="6" a="1"/>
  <c r="AQ30" i="6" a="1"/>
  <c r="AY30" i="6" a="1"/>
  <c r="J31" i="6" a="1"/>
  <c r="R31" i="6" a="1"/>
  <c r="Z31" i="6" a="1"/>
  <c r="AH31" i="6" a="1"/>
  <c r="AP31" i="6" a="1"/>
  <c r="J24" i="6" a="1"/>
  <c r="R24" i="6" a="1"/>
  <c r="Z24" i="6" a="1"/>
  <c r="AH24" i="6" a="1"/>
  <c r="AP24" i="6" a="1"/>
  <c r="AX24" i="6" a="1"/>
  <c r="I25" i="6" a="1"/>
  <c r="Q25" i="6" a="1"/>
  <c r="Y25" i="6" a="1"/>
  <c r="AG25" i="6" a="1"/>
  <c r="AO25" i="6" a="1"/>
  <c r="AW25" i="6" a="1"/>
  <c r="H26" i="6" a="1"/>
  <c r="P26" i="6" a="1"/>
  <c r="X26" i="6" a="1"/>
  <c r="AF26" i="6" a="1"/>
  <c r="AN26" i="6" a="1"/>
  <c r="AV26" i="6" a="1"/>
  <c r="G27" i="6" a="1"/>
  <c r="O27" i="6" a="1"/>
  <c r="W27" i="6" a="1"/>
  <c r="AE27" i="6" a="1"/>
  <c r="AM27" i="6" a="1"/>
  <c r="AU27" i="6" a="1"/>
  <c r="F28" i="6" a="1"/>
  <c r="N28" i="6" a="1"/>
  <c r="V28" i="6" a="1"/>
  <c r="AD28" i="6" a="1"/>
  <c r="AL28" i="6" a="1"/>
  <c r="AT28" i="6" a="1"/>
  <c r="E29" i="6" a="1"/>
  <c r="M29" i="6" a="1"/>
  <c r="U29" i="6" a="1"/>
  <c r="AC29" i="6" a="1"/>
  <c r="AK29" i="6" a="1"/>
  <c r="AS29" i="6" a="1"/>
  <c r="D30" i="6" a="1"/>
  <c r="L30" i="6" a="1"/>
  <c r="T30" i="6" a="1"/>
  <c r="AB30" i="6" a="1"/>
  <c r="AJ30" i="6" a="1"/>
  <c r="AR30" i="6" a="1"/>
  <c r="K24" i="6" a="1"/>
  <c r="AO26" i="6" a="1"/>
  <c r="V29" i="6" a="1"/>
  <c r="S31" i="6" a="1"/>
  <c r="I32" i="6" a="1"/>
  <c r="AO32" i="6" a="1"/>
  <c r="U33" i="6" a="1"/>
  <c r="AV33" i="6" a="1"/>
  <c r="X34" i="6" a="1"/>
  <c r="AW34" i="6" a="1"/>
  <c r="Y35" i="6" a="1"/>
  <c r="AY35" i="6" a="1"/>
  <c r="AC36" i="6" a="1"/>
  <c r="E37" i="6" a="1"/>
  <c r="AD37" i="6" a="1"/>
  <c r="M40" i="6" a="1"/>
  <c r="AK40" i="6" a="1"/>
  <c r="Q34" i="6" a="1"/>
  <c r="AH32" i="6" a="1"/>
  <c r="AA40" i="6" a="1"/>
  <c r="S24" i="6" a="1"/>
  <c r="AW26" i="6" a="1"/>
  <c r="AD29" i="6" a="1"/>
  <c r="T31" i="6" a="1"/>
  <c r="J32" i="6" a="1"/>
  <c r="AP32" i="6" a="1"/>
  <c r="X33" i="6" a="1"/>
  <c r="AW33" i="6" a="1"/>
  <c r="Y34" i="6" a="1"/>
  <c r="AX34" i="6" a="1"/>
  <c r="AA35" i="6" a="1"/>
  <c r="E36" i="6" a="1"/>
  <c r="AD36" i="6" a="1"/>
  <c r="F37" i="6" a="1"/>
  <c r="AE37" i="6" a="1"/>
  <c r="AV37" i="6" a="1"/>
  <c r="G38" i="6" a="1"/>
  <c r="O38" i="6" a="1"/>
  <c r="W38" i="6" a="1"/>
  <c r="AE38" i="6" a="1"/>
  <c r="AM38" i="6" a="1"/>
  <c r="AU38" i="6" a="1"/>
  <c r="F39" i="6" a="1"/>
  <c r="N39" i="6" a="1"/>
  <c r="V39" i="6" a="1"/>
  <c r="AD39" i="6" a="1"/>
  <c r="AL39" i="6" a="1"/>
  <c r="AT39" i="6" a="1"/>
  <c r="E40" i="6" a="1"/>
  <c r="U40" i="6" a="1"/>
  <c r="AC40" i="6" a="1"/>
  <c r="AS40" i="6" a="1"/>
  <c r="S35" i="6" a="1"/>
  <c r="AV36" i="6" a="1"/>
  <c r="AI40" i="6" a="1"/>
  <c r="X36" i="6" a="1"/>
  <c r="AA24" i="6" a="1"/>
  <c r="H27" i="6" a="1"/>
  <c r="AL29" i="6" a="1"/>
  <c r="W31" i="6" a="1"/>
  <c r="K32" i="6" a="1"/>
  <c r="AQ32" i="6" a="1"/>
  <c r="Y33" i="6" a="1"/>
  <c r="AX33" i="6" a="1"/>
  <c r="Z34" i="6" a="1"/>
  <c r="AZ34" i="6" a="1"/>
  <c r="AD35" i="6" a="1"/>
  <c r="F36" i="6" a="1"/>
  <c r="AE36" i="6" a="1"/>
  <c r="G37" i="6" a="1"/>
  <c r="AG37" i="6" a="1"/>
  <c r="AW37" i="6" a="1"/>
  <c r="P38" i="6" a="1"/>
  <c r="X38" i="6" a="1"/>
  <c r="AN38" i="6" a="1"/>
  <c r="AV38" i="6" a="1"/>
  <c r="G39" i="6" a="1"/>
  <c r="W39" i="6" a="1"/>
  <c r="AE39" i="6" a="1"/>
  <c r="AM39" i="6" a="1"/>
  <c r="AU39" i="6" a="1"/>
  <c r="F40" i="6" a="1"/>
  <c r="N40" i="6" a="1"/>
  <c r="AD40" i="6" a="1"/>
  <c r="AL40" i="6" a="1"/>
  <c r="AT40" i="6" a="1"/>
  <c r="AF39" i="6" a="1"/>
  <c r="AV39" i="6" a="1"/>
  <c r="G40" i="6" a="1"/>
  <c r="W40" i="6" a="1"/>
  <c r="AU40" i="6" a="1"/>
  <c r="AW39" i="6" a="1"/>
  <c r="X40" i="6" a="1"/>
  <c r="AM28" i="6" a="1"/>
  <c r="AY31" i="6" a="1"/>
  <c r="R34" i="6" a="1"/>
  <c r="AT37" i="6" a="1"/>
  <c r="AC38" i="6" a="1"/>
  <c r="D39" i="6" a="1"/>
  <c r="T39" i="6" a="1"/>
  <c r="S40" i="6" a="1"/>
  <c r="F29" i="6" a="1"/>
  <c r="T34" i="6" a="1"/>
  <c r="AI24" i="6" a="1"/>
  <c r="P27" i="6" a="1"/>
  <c r="AT29" i="6" a="1"/>
  <c r="AA31" i="6" a="1"/>
  <c r="N32" i="6" a="1"/>
  <c r="AT32" i="6" a="1"/>
  <c r="Z33" i="6" a="1"/>
  <c r="AY33" i="6" a="1"/>
  <c r="AB34" i="6" a="1"/>
  <c r="F35" i="6" a="1"/>
  <c r="AE35" i="6" a="1"/>
  <c r="G36" i="6" a="1"/>
  <c r="AF36" i="6" a="1"/>
  <c r="I37" i="6" a="1"/>
  <c r="AI37" i="6" a="1"/>
  <c r="H38" i="6" a="1"/>
  <c r="AF38" i="6" a="1"/>
  <c r="O39" i="6" a="1"/>
  <c r="V40" i="6" a="1"/>
  <c r="AE40" i="6" a="1"/>
  <c r="H40" i="6" a="1"/>
  <c r="AN40" i="6" a="1"/>
  <c r="P33" i="6" a="1"/>
  <c r="AT35" i="6" a="1"/>
  <c r="W37" i="6" a="1"/>
  <c r="AS37" i="6" a="1"/>
  <c r="AU28" i="6" a="1"/>
  <c r="AU35" i="6" a="1"/>
  <c r="AK38" i="6" a="1"/>
  <c r="AB39" i="6" a="1"/>
  <c r="L31" i="6" a="1"/>
  <c r="W35" i="6" a="1"/>
  <c r="AQ24" i="6" a="1"/>
  <c r="X27" i="6" a="1"/>
  <c r="E30" i="6" a="1"/>
  <c r="AB31" i="6" a="1"/>
  <c r="Q32" i="6" a="1"/>
  <c r="AW32" i="6" a="1"/>
  <c r="AA33" i="6" a="1"/>
  <c r="D34" i="6" a="1"/>
  <c r="AE34" i="6" a="1"/>
  <c r="G35" i="6" a="1"/>
  <c r="AF35" i="6" a="1"/>
  <c r="H36" i="6" a="1"/>
  <c r="AH36" i="6" a="1"/>
  <c r="L37" i="6" a="1"/>
  <c r="AJ37" i="6" a="1"/>
  <c r="AM40" i="6" a="1"/>
  <c r="AV40" i="6" a="1"/>
  <c r="AO33" i="6" a="1"/>
  <c r="E38" i="6" a="1"/>
  <c r="AQ40" i="6" a="1"/>
  <c r="AU34" i="6" a="1"/>
  <c r="AY24" i="6" a="1"/>
  <c r="AF27" i="6" a="1"/>
  <c r="M30" i="6" a="1"/>
  <c r="AE31" i="6" a="1"/>
  <c r="R32" i="6" a="1"/>
  <c r="AX32" i="6" a="1"/>
  <c r="AC33" i="6" a="1"/>
  <c r="G34" i="6" a="1"/>
  <c r="AF34" i="6" a="1"/>
  <c r="H35" i="6" a="1"/>
  <c r="AG35" i="6" a="1"/>
  <c r="J36" i="6" a="1"/>
  <c r="AK36" i="6" a="1"/>
  <c r="M37" i="6" a="1"/>
  <c r="AK37" i="6" a="1"/>
  <c r="AX37" i="6" a="1"/>
  <c r="I38" i="6" a="1"/>
  <c r="Q38" i="6" a="1"/>
  <c r="Y38" i="6" a="1"/>
  <c r="AG38" i="6" a="1"/>
  <c r="AO38" i="6" a="1"/>
  <c r="AW38" i="6" a="1"/>
  <c r="H39" i="6" a="1"/>
  <c r="P39" i="6" a="1"/>
  <c r="X39" i="6" a="1"/>
  <c r="AN39" i="6" a="1"/>
  <c r="O40" i="6" a="1"/>
  <c r="AP34" i="6" a="1"/>
  <c r="M38" i="6" a="1"/>
  <c r="AI32" i="6" a="1"/>
  <c r="J25" i="6" a="1"/>
  <c r="AN27" i="6" a="1"/>
  <c r="U30" i="6" a="1"/>
  <c r="AI31" i="6" a="1"/>
  <c r="S32" i="6" a="1"/>
  <c r="AY32" i="6" a="1"/>
  <c r="AF33" i="6" a="1"/>
  <c r="H34" i="6" a="1"/>
  <c r="AG34" i="6" a="1"/>
  <c r="I35" i="6" a="1"/>
  <c r="AI35" i="6" a="1"/>
  <c r="M36" i="6" a="1"/>
  <c r="AL36" i="6" a="1"/>
  <c r="N37" i="6" a="1"/>
  <c r="AL37" i="6" a="1"/>
  <c r="Z38" i="6" a="1"/>
  <c r="Q39" i="6" a="1"/>
  <c r="AG39" i="6" a="1"/>
  <c r="AF40" i="6" a="1"/>
  <c r="AG32" i="6" a="1"/>
  <c r="AP33" i="6" a="1"/>
  <c r="AZ39" i="6" a="1"/>
  <c r="R25" i="6" a="1"/>
  <c r="AV27" i="6" a="1"/>
  <c r="AC30" i="6" a="1"/>
  <c r="AJ31" i="6" a="1"/>
  <c r="V32" i="6" a="1"/>
  <c r="E33" i="6" a="1"/>
  <c r="AG33" i="6" a="1"/>
  <c r="I34" i="6" a="1"/>
  <c r="AH34" i="6" a="1"/>
  <c r="K35" i="6" a="1"/>
  <c r="AL35" i="6" a="1"/>
  <c r="N36" i="6" a="1"/>
  <c r="AM36" i="6" a="1"/>
  <c r="O37" i="6" a="1"/>
  <c r="AM37" i="6" a="1"/>
  <c r="AY37" i="6" a="1"/>
  <c r="J38" i="6" a="1"/>
  <c r="R38" i="6" a="1"/>
  <c r="AH38" i="6" a="1"/>
  <c r="AP38" i="6" a="1"/>
  <c r="AX38" i="6" a="1"/>
  <c r="I39" i="6" a="1"/>
  <c r="Y39" i="6" a="1"/>
  <c r="AO39" i="6" a="1"/>
  <c r="P40" i="6" a="1"/>
  <c r="AX31" i="6" a="1"/>
  <c r="Y37" i="6" a="1"/>
  <c r="AJ39" i="6" a="1"/>
  <c r="R33" i="6" a="1"/>
  <c r="Z25" i="6" a="1"/>
  <c r="G28" i="6" a="1"/>
  <c r="AK30" i="6" a="1"/>
  <c r="AM31" i="6" a="1"/>
  <c r="Y32" i="6" a="1"/>
  <c r="H33" i="6" a="1"/>
  <c r="AH33" i="6" a="1"/>
  <c r="J34" i="6" a="1"/>
  <c r="AJ34" i="6" a="1"/>
  <c r="N35" i="6" a="1"/>
  <c r="AM35" i="6" a="1"/>
  <c r="O36" i="6" a="1"/>
  <c r="AN36" i="6" a="1"/>
  <c r="Q37" i="6" a="1"/>
  <c r="AN37" i="6" a="1"/>
  <c r="AN35" i="6" a="1"/>
  <c r="AP36" i="6" a="1"/>
  <c r="AO37" i="6" a="1"/>
  <c r="K38" i="6" a="1"/>
  <c r="S38" i="6" a="1"/>
  <c r="AI38" i="6" a="1"/>
  <c r="AQ38" i="6" a="1"/>
  <c r="J39" i="6" a="1"/>
  <c r="R39" i="6" a="1"/>
  <c r="AH39" i="6" a="1"/>
  <c r="AP39" i="6" a="1"/>
  <c r="AX39" i="6" a="1"/>
  <c r="Q40" i="6" a="1"/>
  <c r="Y40" i="6" a="1"/>
  <c r="AG40" i="6" a="1"/>
  <c r="AW40" i="6" a="1"/>
  <c r="G31" i="6" a="1"/>
  <c r="K31" i="6" a="1"/>
  <c r="V35" i="6" a="1"/>
  <c r="U38" i="6" a="1"/>
  <c r="L39" i="6" a="1"/>
  <c r="Y26" i="6" a="1"/>
  <c r="AX36" i="6" a="1"/>
  <c r="AH25" i="6" a="1"/>
  <c r="O28" i="6" a="1"/>
  <c r="AS30" i="6" a="1"/>
  <c r="AQ31" i="6" a="1"/>
  <c r="Z32" i="6" a="1"/>
  <c r="I33" i="6" a="1"/>
  <c r="AI33" i="6" a="1"/>
  <c r="L34" i="6" a="1"/>
  <c r="AM34" i="6" a="1"/>
  <c r="O35" i="6" a="1"/>
  <c r="P36" i="6" a="1"/>
  <c r="T37" i="6" a="1"/>
  <c r="AZ37" i="6" a="1"/>
  <c r="AA38" i="6" a="1"/>
  <c r="AY38" i="6" a="1"/>
  <c r="Z39" i="6" a="1"/>
  <c r="I40" i="6" a="1"/>
  <c r="AO40" i="6" a="1"/>
  <c r="V36" i="6" a="1"/>
  <c r="AR34" i="6" a="1"/>
  <c r="K40" i="6" a="1"/>
  <c r="AB37" i="6" a="1"/>
  <c r="AP25" i="6" a="1"/>
  <c r="W28" i="6" a="1"/>
  <c r="AZ30" i="6" a="1"/>
  <c r="AR31" i="6" a="1"/>
  <c r="AA32" i="6" a="1"/>
  <c r="J33" i="6" a="1"/>
  <c r="AK33" i="6" a="1"/>
  <c r="O34" i="6" a="1"/>
  <c r="AN34" i="6" a="1"/>
  <c r="P35" i="6" a="1"/>
  <c r="AO35" i="6" a="1"/>
  <c r="R36" i="6" a="1"/>
  <c r="AS36" i="6" a="1"/>
  <c r="U37" i="6" a="1"/>
  <c r="AQ37" i="6" a="1"/>
  <c r="Q33" i="6" a="1"/>
  <c r="AY40" i="6" a="1"/>
  <c r="AX25" i="6" a="1"/>
  <c r="AE28" i="6" a="1"/>
  <c r="D31" i="6" a="1"/>
  <c r="AU31" i="6" a="1"/>
  <c r="AD32" i="6" a="1"/>
  <c r="M33" i="6" a="1"/>
  <c r="AN33" i="6" a="1"/>
  <c r="P34" i="6" a="1"/>
  <c r="AO34" i="6" a="1"/>
  <c r="Q35" i="6" a="1"/>
  <c r="AQ35" i="6" a="1"/>
  <c r="U36" i="6" a="1"/>
  <c r="AT36" i="6" a="1"/>
  <c r="V37" i="6" a="1"/>
  <c r="AR37" i="6" a="1"/>
  <c r="D38" i="6" a="1"/>
  <c r="L38" i="6" a="1"/>
  <c r="T38" i="6" a="1"/>
  <c r="AB38" i="6" a="1"/>
  <c r="AJ38" i="6" a="1"/>
  <c r="AR38" i="6" a="1"/>
  <c r="AZ38" i="6" a="1"/>
  <c r="K39" i="6" a="1"/>
  <c r="S39" i="6" a="1"/>
  <c r="AA39" i="6" a="1"/>
  <c r="AI39" i="6" a="1"/>
  <c r="AQ39" i="6" a="1"/>
  <c r="AY39" i="6" a="1"/>
  <c r="J40" i="6" a="1"/>
  <c r="R40" i="6" a="1"/>
  <c r="Z40" i="6" a="1"/>
  <c r="AH40" i="6" a="1"/>
  <c r="AP40" i="6" a="1"/>
  <c r="AX40" i="6" a="1"/>
  <c r="I26" i="6" a="1"/>
  <c r="AU36" i="6" a="1"/>
  <c r="Q26" i="6" a="1"/>
  <c r="W36" i="6" a="1"/>
  <c r="AS38" i="6" a="1"/>
  <c r="AR39" i="6" a="1"/>
  <c r="AZ31" i="6" a="1"/>
  <c r="AV35" i="6" a="1"/>
  <c r="AG26" i="6" a="1"/>
  <c r="N29" i="6" a="1"/>
  <c r="O31" i="6" a="1"/>
  <c r="F32" i="6" a="1"/>
  <c r="AL32" i="6" a="1"/>
  <c r="S33" i="6" a="1"/>
  <c r="AS33" i="6" a="1"/>
  <c r="W34" i="6" a="1"/>
  <c r="AV34" i="6" a="1"/>
  <c r="X35" i="6" a="1"/>
  <c r="AW35" i="6" a="1"/>
  <c r="Z36" i="6" a="1"/>
  <c r="D37" i="6" a="1"/>
  <c r="AC37" i="6" a="1"/>
  <c r="AU37" i="6" a="1"/>
  <c r="F38" i="6" a="1"/>
  <c r="N38" i="6" a="1"/>
  <c r="V38" i="6" a="1"/>
  <c r="AD38" i="6" a="1"/>
  <c r="AL38" i="6" a="1"/>
  <c r="AT38" i="6" a="1"/>
  <c r="E39" i="6" a="1"/>
  <c r="M39" i="6" a="1"/>
  <c r="U39" i="6" a="1"/>
  <c r="AC39" i="6" a="1"/>
  <c r="AK39" i="6" a="1"/>
  <c r="AS39" i="6" a="1"/>
  <c r="D40" i="6" a="1"/>
  <c r="L40" i="6" a="1"/>
  <c r="T40" i="6" a="1"/>
  <c r="AB40" i="6" a="1"/>
  <c r="AJ40" i="6" a="1"/>
  <c r="AR40" i="6" a="1"/>
  <c r="AZ40" i="6" a="1"/>
  <c r="AQ33" i="6" a="1"/>
  <c r="C25" i="6" a="1"/>
  <c r="C34" i="6" a="1"/>
  <c r="C40" i="6" a="1"/>
  <c r="C26" i="6" a="1"/>
  <c r="C38" i="6" a="1"/>
  <c r="C35" i="6" a="1"/>
  <c r="C36" i="6" a="1"/>
  <c r="C29" i="6" a="1"/>
  <c r="C37" i="6" a="1"/>
  <c r="C31" i="6" a="1"/>
  <c r="C39" i="6" a="1"/>
  <c r="C27" i="6" a="1"/>
  <c r="C32" i="6" a="1"/>
  <c r="C28" i="6" a="1"/>
  <c r="C33" i="6" a="1"/>
  <c r="C30" i="6" a="1"/>
  <c r="C24" i="6" a="1"/>
  <c r="D3" i="6" a="1"/>
  <c r="L3" i="6" a="1"/>
  <c r="T3" i="6" a="1"/>
  <c r="AB3" i="6" a="1"/>
  <c r="AJ3" i="6" a="1"/>
  <c r="AR3" i="6" a="1"/>
  <c r="AZ3" i="6" a="1"/>
  <c r="K4" i="6" a="1"/>
  <c r="S4" i="6" a="1"/>
  <c r="AA4" i="6" a="1"/>
  <c r="AI4" i="6" a="1"/>
  <c r="AQ4" i="6" a="1"/>
  <c r="AY4" i="6" a="1"/>
  <c r="J5" i="6" a="1"/>
  <c r="R5" i="6" a="1"/>
  <c r="Z5" i="6" a="1"/>
  <c r="AH5" i="6" a="1"/>
  <c r="AP5" i="6" a="1"/>
  <c r="AX5" i="6" a="1"/>
  <c r="I6" i="6" a="1"/>
  <c r="Q6" i="6" a="1"/>
  <c r="Y6" i="6" a="1"/>
  <c r="AG6" i="6" a="1"/>
  <c r="AO6" i="6" a="1"/>
  <c r="AW6" i="6" a="1"/>
  <c r="H7" i="6" a="1"/>
  <c r="P7" i="6" a="1"/>
  <c r="X7" i="6" a="1"/>
  <c r="AF7" i="6" a="1"/>
  <c r="AN7" i="6" a="1"/>
  <c r="AV7" i="6" a="1"/>
  <c r="G8" i="6" a="1"/>
  <c r="O8" i="6" a="1"/>
  <c r="W8" i="6" a="1"/>
  <c r="AE8" i="6" a="1"/>
  <c r="AM8" i="6" a="1"/>
  <c r="AU8" i="6" a="1"/>
  <c r="F9" i="6" a="1"/>
  <c r="N9" i="6" a="1"/>
  <c r="V9" i="6" a="1"/>
  <c r="AD9" i="6" a="1"/>
  <c r="AL9" i="6" a="1"/>
  <c r="AT9" i="6" a="1"/>
  <c r="E10" i="6" a="1"/>
  <c r="M10" i="6" a="1"/>
  <c r="U10" i="6" a="1"/>
  <c r="AC10" i="6" a="1"/>
  <c r="AK10" i="6" a="1"/>
  <c r="AS10" i="6" a="1"/>
  <c r="D11" i="6" a="1"/>
  <c r="L11" i="6" a="1"/>
  <c r="T11" i="6" a="1"/>
  <c r="AB11" i="6" a="1"/>
  <c r="AJ11" i="6" a="1"/>
  <c r="AR11" i="6" a="1"/>
  <c r="AZ11" i="6" a="1"/>
  <c r="K12" i="6" a="1"/>
  <c r="S12" i="6" a="1"/>
  <c r="AA12" i="6" a="1"/>
  <c r="AI12" i="6" a="1"/>
  <c r="AQ12" i="6" a="1"/>
  <c r="AY12" i="6" a="1"/>
  <c r="J13" i="6" a="1"/>
  <c r="R13" i="6" a="1"/>
  <c r="Z13" i="6" a="1"/>
  <c r="AH13" i="6" a="1"/>
  <c r="AP13" i="6" a="1"/>
  <c r="AX13" i="6" a="1"/>
  <c r="I14" i="6" a="1"/>
  <c r="Q14" i="6" a="1"/>
  <c r="Y14" i="6" a="1"/>
  <c r="AG14" i="6" a="1"/>
  <c r="AO14" i="6" a="1"/>
  <c r="AW14" i="6" a="1"/>
  <c r="H15" i="6" a="1"/>
  <c r="P15" i="6" a="1"/>
  <c r="X15" i="6" a="1"/>
  <c r="AF15" i="6" a="1"/>
  <c r="AN15" i="6" a="1"/>
  <c r="AV15" i="6" a="1"/>
  <c r="G16" i="6" a="1"/>
  <c r="O16" i="6" a="1"/>
  <c r="W16" i="6" a="1"/>
  <c r="AE16" i="6" a="1"/>
  <c r="AM16" i="6" a="1"/>
  <c r="AU16" i="6" a="1"/>
  <c r="E3" i="6" a="1"/>
  <c r="M3" i="6" a="1"/>
  <c r="U3" i="6" a="1"/>
  <c r="AC3" i="6" a="1"/>
  <c r="AK3" i="6" a="1"/>
  <c r="AS3" i="6" a="1"/>
  <c r="D4" i="6" a="1"/>
  <c r="L4" i="6" a="1"/>
  <c r="T4" i="6" a="1"/>
  <c r="AB4" i="6" a="1"/>
  <c r="AJ4" i="6" a="1"/>
  <c r="AR4" i="6" a="1"/>
  <c r="AZ4" i="6" a="1"/>
  <c r="K5" i="6" a="1"/>
  <c r="S5" i="6" a="1"/>
  <c r="AA5" i="6" a="1"/>
  <c r="AI5" i="6" a="1"/>
  <c r="AQ5" i="6" a="1"/>
  <c r="AY5" i="6" a="1"/>
  <c r="J6" i="6" a="1"/>
  <c r="R6" i="6" a="1"/>
  <c r="Z6" i="6" a="1"/>
  <c r="AH6" i="6" a="1"/>
  <c r="AP6" i="6" a="1"/>
  <c r="AX6" i="6" a="1"/>
  <c r="I7" i="6" a="1"/>
  <c r="Q7" i="6" a="1"/>
  <c r="Y7" i="6" a="1"/>
  <c r="AG7" i="6" a="1"/>
  <c r="AO7" i="6" a="1"/>
  <c r="AW7" i="6" a="1"/>
  <c r="H8" i="6" a="1"/>
  <c r="P8" i="6" a="1"/>
  <c r="X8" i="6" a="1"/>
  <c r="AF8" i="6" a="1"/>
  <c r="AN8" i="6" a="1"/>
  <c r="AV8" i="6" a="1"/>
  <c r="G9" i="6" a="1"/>
  <c r="O9" i="6" a="1"/>
  <c r="W9" i="6" a="1"/>
  <c r="AE9" i="6" a="1"/>
  <c r="AM9" i="6" a="1"/>
  <c r="AU9" i="6" a="1"/>
  <c r="F10" i="6" a="1"/>
  <c r="N10" i="6" a="1"/>
  <c r="V10" i="6" a="1"/>
  <c r="AD10" i="6" a="1"/>
  <c r="AL10" i="6" a="1"/>
  <c r="AT10" i="6" a="1"/>
  <c r="E11" i="6" a="1"/>
  <c r="M11" i="6" a="1"/>
  <c r="U11" i="6" a="1"/>
  <c r="AC11" i="6" a="1"/>
  <c r="AK11" i="6" a="1"/>
  <c r="AS11" i="6" a="1"/>
  <c r="D12" i="6" a="1"/>
  <c r="L12" i="6" a="1"/>
  <c r="T12" i="6" a="1"/>
  <c r="AB12" i="6" a="1"/>
  <c r="AJ12" i="6" a="1"/>
  <c r="AR12" i="6" a="1"/>
  <c r="AZ12" i="6" a="1"/>
  <c r="K13" i="6" a="1"/>
  <c r="S13" i="6" a="1"/>
  <c r="AA13" i="6" a="1"/>
  <c r="AI13" i="6" a="1"/>
  <c r="AQ13" i="6" a="1"/>
  <c r="AY13" i="6" a="1"/>
  <c r="J14" i="6" a="1"/>
  <c r="R14" i="6" a="1"/>
  <c r="Z14" i="6" a="1"/>
  <c r="F3" i="6" a="1"/>
  <c r="N3" i="6" a="1"/>
  <c r="V3" i="6" a="1"/>
  <c r="AD3" i="6" a="1"/>
  <c r="AL3" i="6" a="1"/>
  <c r="AT3" i="6" a="1"/>
  <c r="E4" i="6" a="1"/>
  <c r="M4" i="6" a="1"/>
  <c r="U4" i="6" a="1"/>
  <c r="AC4" i="6" a="1"/>
  <c r="AK4" i="6" a="1"/>
  <c r="AS4" i="6" a="1"/>
  <c r="D5" i="6" a="1"/>
  <c r="L5" i="6" a="1"/>
  <c r="T5" i="6" a="1"/>
  <c r="AB5" i="6" a="1"/>
  <c r="AJ5" i="6" a="1"/>
  <c r="AR5" i="6" a="1"/>
  <c r="AZ5" i="6" a="1"/>
  <c r="K6" i="6" a="1"/>
  <c r="S6" i="6" a="1"/>
  <c r="AA6" i="6" a="1"/>
  <c r="AI6" i="6" a="1"/>
  <c r="AQ6" i="6" a="1"/>
  <c r="AY6" i="6" a="1"/>
  <c r="J7" i="6" a="1"/>
  <c r="R7" i="6" a="1"/>
  <c r="Z7" i="6" a="1"/>
  <c r="AH7" i="6" a="1"/>
  <c r="AP7" i="6" a="1"/>
  <c r="AX7" i="6" a="1"/>
  <c r="I8" i="6" a="1"/>
  <c r="Q8" i="6" a="1"/>
  <c r="Y8" i="6" a="1"/>
  <c r="AG8" i="6" a="1"/>
  <c r="AO8" i="6" a="1"/>
  <c r="AW8" i="6" a="1"/>
  <c r="H9" i="6" a="1"/>
  <c r="P9" i="6" a="1"/>
  <c r="X9" i="6" a="1"/>
  <c r="AF9" i="6" a="1"/>
  <c r="AN9" i="6" a="1"/>
  <c r="AV9" i="6" a="1"/>
  <c r="G10" i="6" a="1"/>
  <c r="O10" i="6" a="1"/>
  <c r="W10" i="6" a="1"/>
  <c r="AE10" i="6" a="1"/>
  <c r="AM10" i="6" a="1"/>
  <c r="AU10" i="6" a="1"/>
  <c r="F11" i="6" a="1"/>
  <c r="N11" i="6" a="1"/>
  <c r="V11" i="6" a="1"/>
  <c r="AD11" i="6" a="1"/>
  <c r="AL11" i="6" a="1"/>
  <c r="AT11" i="6" a="1"/>
  <c r="E12" i="6" a="1"/>
  <c r="M12" i="6" a="1"/>
  <c r="U12" i="6" a="1"/>
  <c r="AC12" i="6" a="1"/>
  <c r="AK12" i="6" a="1"/>
  <c r="AS12" i="6" a="1"/>
  <c r="D13" i="6" a="1"/>
  <c r="L13" i="6" a="1"/>
  <c r="T13" i="6" a="1"/>
  <c r="AB13" i="6" a="1"/>
  <c r="AJ13" i="6" a="1"/>
  <c r="AR13" i="6" a="1"/>
  <c r="AZ13" i="6" a="1"/>
  <c r="K14" i="6" a="1"/>
  <c r="S14" i="6" a="1"/>
  <c r="AA14" i="6" a="1"/>
  <c r="AI14" i="6" a="1"/>
  <c r="AQ14" i="6" a="1"/>
  <c r="AY14" i="6" a="1"/>
  <c r="J15" i="6" a="1"/>
  <c r="R15" i="6" a="1"/>
  <c r="Z15" i="6" a="1"/>
  <c r="AH15" i="6" a="1"/>
  <c r="AP15" i="6" a="1"/>
  <c r="AX15" i="6" a="1"/>
  <c r="I16" i="6" a="1"/>
  <c r="Q16" i="6" a="1"/>
  <c r="Y16" i="6" a="1"/>
  <c r="AG16" i="6" a="1"/>
  <c r="AO16" i="6" a="1"/>
  <c r="AW16" i="6" a="1"/>
  <c r="G3" i="6" a="1"/>
  <c r="O3" i="6" a="1"/>
  <c r="W3" i="6" a="1"/>
  <c r="AE3" i="6" a="1"/>
  <c r="AM3" i="6" a="1"/>
  <c r="AU3" i="6" a="1"/>
  <c r="F4" i="6" a="1"/>
  <c r="N4" i="6" a="1"/>
  <c r="V4" i="6" a="1"/>
  <c r="AD4" i="6" a="1"/>
  <c r="AL4" i="6" a="1"/>
  <c r="AT4" i="6" a="1"/>
  <c r="E5" i="6" a="1"/>
  <c r="M5" i="6" a="1"/>
  <c r="U5" i="6" a="1"/>
  <c r="AC5" i="6" a="1"/>
  <c r="AK5" i="6" a="1"/>
  <c r="AS5" i="6" a="1"/>
  <c r="H3" i="6" a="1"/>
  <c r="P3" i="6" a="1"/>
  <c r="X3" i="6" a="1"/>
  <c r="AF3" i="6" a="1"/>
  <c r="AN3" i="6" a="1"/>
  <c r="AV3" i="6" a="1"/>
  <c r="G4" i="6" a="1"/>
  <c r="O4" i="6" a="1"/>
  <c r="W4" i="6" a="1"/>
  <c r="AE4" i="6" a="1"/>
  <c r="AM4" i="6" a="1"/>
  <c r="AU4" i="6" a="1"/>
  <c r="F5" i="6" a="1"/>
  <c r="N5" i="6" a="1"/>
  <c r="V5" i="6" a="1"/>
  <c r="AD5" i="6" a="1"/>
  <c r="AL5" i="6" a="1"/>
  <c r="AT5" i="6" a="1"/>
  <c r="E6" i="6" a="1"/>
  <c r="M6" i="6" a="1"/>
  <c r="U6" i="6" a="1"/>
  <c r="AC6" i="6" a="1"/>
  <c r="AK6" i="6" a="1"/>
  <c r="AS6" i="6" a="1"/>
  <c r="D7" i="6" a="1"/>
  <c r="L7" i="6" a="1"/>
  <c r="T7" i="6" a="1"/>
  <c r="AB7" i="6" a="1"/>
  <c r="AJ7" i="6" a="1"/>
  <c r="AR7" i="6" a="1"/>
  <c r="AZ7" i="6" a="1"/>
  <c r="K8" i="6" a="1"/>
  <c r="S8" i="6" a="1"/>
  <c r="AA8" i="6" a="1"/>
  <c r="AI8" i="6" a="1"/>
  <c r="AQ8" i="6" a="1"/>
  <c r="AY8" i="6" a="1"/>
  <c r="J9" i="6" a="1"/>
  <c r="R9" i="6" a="1"/>
  <c r="Z9" i="6" a="1"/>
  <c r="AH9" i="6" a="1"/>
  <c r="AP9" i="6" a="1"/>
  <c r="AX9" i="6" a="1"/>
  <c r="I10" i="6" a="1"/>
  <c r="Q10" i="6" a="1"/>
  <c r="Y10" i="6" a="1"/>
  <c r="AG10" i="6" a="1"/>
  <c r="AO10" i="6" a="1"/>
  <c r="AW10" i="6" a="1"/>
  <c r="I3" i="6" a="1"/>
  <c r="Q3" i="6" a="1"/>
  <c r="Y3" i="6" a="1"/>
  <c r="AG3" i="6" a="1"/>
  <c r="AO3" i="6" a="1"/>
  <c r="AW3" i="6" a="1"/>
  <c r="H4" i="6" a="1"/>
  <c r="P4" i="6" a="1"/>
  <c r="X4" i="6" a="1"/>
  <c r="AF4" i="6" a="1"/>
  <c r="AN4" i="6" a="1"/>
  <c r="AV4" i="6" a="1"/>
  <c r="G5" i="6" a="1"/>
  <c r="O5" i="6" a="1"/>
  <c r="W5" i="6" a="1"/>
  <c r="AE5" i="6" a="1"/>
  <c r="AM5" i="6" a="1"/>
  <c r="AU5" i="6" a="1"/>
  <c r="F6" i="6" a="1"/>
  <c r="N6" i="6" a="1"/>
  <c r="V6" i="6" a="1"/>
  <c r="AD6" i="6" a="1"/>
  <c r="AL6" i="6" a="1"/>
  <c r="AT6" i="6" a="1"/>
  <c r="E7" i="6" a="1"/>
  <c r="M7" i="6" a="1"/>
  <c r="U7" i="6" a="1"/>
  <c r="AC7" i="6" a="1"/>
  <c r="AK7" i="6" a="1"/>
  <c r="AS7" i="6" a="1"/>
  <c r="D8" i="6" a="1"/>
  <c r="L8" i="6" a="1"/>
  <c r="T8" i="6" a="1"/>
  <c r="AB8" i="6" a="1"/>
  <c r="AJ8" i="6" a="1"/>
  <c r="AR8" i="6" a="1"/>
  <c r="AZ8" i="6" a="1"/>
  <c r="K9" i="6" a="1"/>
  <c r="S9" i="6" a="1"/>
  <c r="AA9" i="6" a="1"/>
  <c r="AI9" i="6" a="1"/>
  <c r="AQ9" i="6" a="1"/>
  <c r="AN6" i="6" a="1"/>
  <c r="S7" i="6" a="1"/>
  <c r="U8" i="6" a="1"/>
  <c r="U9" i="6" a="1"/>
  <c r="AW9" i="6" a="1"/>
  <c r="K11" i="6" a="1"/>
  <c r="AF11" i="6" a="1"/>
  <c r="AL12" i="6" a="1"/>
  <c r="G13" i="6" a="1"/>
  <c r="X13" i="6" a="1"/>
  <c r="AO13" i="6" a="1"/>
  <c r="M14" i="6" a="1"/>
  <c r="F15" i="6" a="1"/>
  <c r="AO15" i="6" a="1"/>
  <c r="D16" i="6" a="1"/>
  <c r="AA16" i="6" a="1"/>
  <c r="AL16" i="6" a="1"/>
  <c r="AD15" i="6" a="1"/>
  <c r="AB16" i="6" a="1"/>
  <c r="I17" i="6" a="1"/>
  <c r="Y17" i="6" a="1"/>
  <c r="AO17" i="6" a="1"/>
  <c r="H18" i="6" a="1"/>
  <c r="P18" i="6" a="1"/>
  <c r="AF18" i="6" a="1"/>
  <c r="AV18" i="6" a="1"/>
  <c r="AG12" i="6" a="1"/>
  <c r="AT18" i="6" a="1"/>
  <c r="J3" i="6" a="1"/>
  <c r="AP3" i="6" a="1"/>
  <c r="Y4" i="6" a="1"/>
  <c r="H5" i="6" a="1"/>
  <c r="AN5" i="6" a="1"/>
  <c r="P6" i="6" a="1"/>
  <c r="AR6" i="6" a="1"/>
  <c r="AT7" i="6" a="1"/>
  <c r="AT8" i="6" a="1"/>
  <c r="Y9" i="6" a="1"/>
  <c r="AY9" i="6" a="1"/>
  <c r="T10" i="6" a="1"/>
  <c r="AQ10" i="6" a="1"/>
  <c r="O11" i="6" a="1"/>
  <c r="AG11" i="6" a="1"/>
  <c r="AX11" i="6" a="1"/>
  <c r="R12" i="6" a="1"/>
  <c r="AM12" i="6" a="1"/>
  <c r="AS13" i="6" a="1"/>
  <c r="N14" i="6" a="1"/>
  <c r="AE14" i="6" a="1"/>
  <c r="AR14" i="6" a="1"/>
  <c r="S15" i="6" a="1"/>
  <c r="P16" i="6" a="1"/>
  <c r="AX16" i="6" a="1"/>
  <c r="Q17" i="6" a="1"/>
  <c r="AG17" i="6" a="1"/>
  <c r="AW17" i="6" a="1"/>
  <c r="X18" i="6" a="1"/>
  <c r="AN18" i="6" a="1"/>
  <c r="G19" i="6" a="1"/>
  <c r="O19" i="6" a="1"/>
  <c r="W19" i="6" a="1"/>
  <c r="AE19" i="6" a="1"/>
  <c r="AM19" i="6" a="1"/>
  <c r="N8" i="6" a="1"/>
  <c r="AY15" i="6" a="1"/>
  <c r="AM7" i="6" a="1"/>
  <c r="T6" i="6" a="1"/>
  <c r="V7" i="6" a="1"/>
  <c r="V8" i="6" a="1"/>
  <c r="AX8" i="6" a="1"/>
  <c r="X10" i="6" a="1"/>
  <c r="P11" i="6" a="1"/>
  <c r="V12" i="6" a="1"/>
  <c r="AN12" i="6" a="1"/>
  <c r="H13" i="6" a="1"/>
  <c r="Y13" i="6" a="1"/>
  <c r="AT13" i="6" a="1"/>
  <c r="AS14" i="6" a="1"/>
  <c r="G15" i="6" a="1"/>
  <c r="AQ15" i="6" a="1"/>
  <c r="E16" i="6" a="1"/>
  <c r="AN16" i="6" a="1"/>
  <c r="AP16" i="6" a="1"/>
  <c r="Y19" i="6" a="1"/>
  <c r="O13" i="6" a="1"/>
  <c r="AF16" i="6" a="1"/>
  <c r="T17" i="6" a="1"/>
  <c r="K18" i="6" a="1"/>
  <c r="AI18" i="6" a="1"/>
  <c r="AH19" i="6" a="1"/>
  <c r="K19" i="6" a="1"/>
  <c r="L6" i="6" a="1"/>
  <c r="V13" i="6" a="1"/>
  <c r="G17" i="6" a="1"/>
  <c r="U19" i="6" a="1"/>
  <c r="AC14" i="6" a="1"/>
  <c r="AV16" i="6" a="1"/>
  <c r="K3" i="6" a="1"/>
  <c r="AQ3" i="6" a="1"/>
  <c r="Z4" i="6" a="1"/>
  <c r="I5" i="6" a="1"/>
  <c r="AO5" i="6" a="1"/>
  <c r="AU6" i="6" a="1"/>
  <c r="AU7" i="6" a="1"/>
  <c r="Z8" i="6" a="1"/>
  <c r="AB9" i="6" a="1"/>
  <c r="AZ9" i="6" a="1"/>
  <c r="Z10" i="6" a="1"/>
  <c r="AR10" i="6" a="1"/>
  <c r="Q11" i="6" a="1"/>
  <c r="AH11" i="6" a="1"/>
  <c r="AY11" i="6" a="1"/>
  <c r="W12" i="6" a="1"/>
  <c r="AC13" i="6" a="1"/>
  <c r="AU13" i="6" a="1"/>
  <c r="O14" i="6" a="1"/>
  <c r="AF14" i="6" a="1"/>
  <c r="AT14" i="6" a="1"/>
  <c r="T15" i="6" a="1"/>
  <c r="AE15" i="6" a="1"/>
  <c r="R16" i="6" a="1"/>
  <c r="AC16" i="6" a="1"/>
  <c r="AY16" i="6" a="1"/>
  <c r="J17" i="6" a="1"/>
  <c r="R17" i="6" a="1"/>
  <c r="Z17" i="6" a="1"/>
  <c r="AH17" i="6" a="1"/>
  <c r="AP17" i="6" a="1"/>
  <c r="AX17" i="6" a="1"/>
  <c r="I18" i="6" a="1"/>
  <c r="Q18" i="6" a="1"/>
  <c r="Y18" i="6" a="1"/>
  <c r="AG18" i="6" a="1"/>
  <c r="AO18" i="6" a="1"/>
  <c r="AW18" i="6" a="1"/>
  <c r="H19" i="6" a="1"/>
  <c r="P19" i="6" a="1"/>
  <c r="X19" i="6" a="1"/>
  <c r="AF19" i="6" a="1"/>
  <c r="AN19" i="6" a="1"/>
  <c r="AV19" i="6" a="1"/>
  <c r="F16" i="6" a="1"/>
  <c r="AG19" i="6" a="1"/>
  <c r="AW19" i="6" a="1"/>
  <c r="AW13" i="6" a="1"/>
  <c r="AI15" i="6" a="1"/>
  <c r="AR16" i="6" a="1"/>
  <c r="D17" i="6" a="1"/>
  <c r="AJ17" i="6" a="1"/>
  <c r="AZ17" i="6" a="1"/>
  <c r="AA18" i="6" a="1"/>
  <c r="AQ18" i="6" a="1"/>
  <c r="Z19" i="6" a="1"/>
  <c r="AP19" i="6" a="1"/>
  <c r="AZ18" i="6" a="1"/>
  <c r="AQ19" i="6" a="1"/>
  <c r="AW4" i="6" a="1"/>
  <c r="AU11" i="6" a="1"/>
  <c r="AN14" i="6" a="1"/>
  <c r="M16" i="6" a="1"/>
  <c r="AU17" i="6" a="1"/>
  <c r="M19" i="6" a="1"/>
  <c r="T9" i="6" a="1"/>
  <c r="H14" i="6" a="1"/>
  <c r="Z16" i="6" a="1"/>
  <c r="W6" i="6" a="1"/>
  <c r="W7" i="6" a="1"/>
  <c r="AY7" i="6" a="1"/>
  <c r="D9" i="6" a="1"/>
  <c r="AV10" i="6" a="1"/>
  <c r="F12" i="6" a="1"/>
  <c r="X12" i="6" a="1"/>
  <c r="AO12" i="6" a="1"/>
  <c r="I13" i="6" a="1"/>
  <c r="AD13" i="6" a="1"/>
  <c r="I15" i="6" a="1"/>
  <c r="U15" i="6" a="1"/>
  <c r="AR15" i="6" a="1"/>
  <c r="AV14" i="6" a="1"/>
  <c r="AY18" i="6" a="1"/>
  <c r="AE17" i="6" a="1"/>
  <c r="R3" i="6" a="1"/>
  <c r="AX3" i="6" a="1"/>
  <c r="AG4" i="6" a="1"/>
  <c r="P5" i="6" a="1"/>
  <c r="AV5" i="6" a="1"/>
  <c r="AV6" i="6" a="1"/>
  <c r="AA7" i="6" a="1"/>
  <c r="AC8" i="6" a="1"/>
  <c r="AC9" i="6" a="1"/>
  <c r="D10" i="6" a="1"/>
  <c r="AA10" i="6" a="1"/>
  <c r="AX10" i="6" a="1"/>
  <c r="R11" i="6" a="1"/>
  <c r="AI11" i="6" a="1"/>
  <c r="G12" i="6" a="1"/>
  <c r="M13" i="6" a="1"/>
  <c r="AE13" i="6" a="1"/>
  <c r="AV13" i="6" a="1"/>
  <c r="P14" i="6" a="1"/>
  <c r="AH14" i="6" a="1"/>
  <c r="AU14" i="6" a="1"/>
  <c r="AG15" i="6" a="1"/>
  <c r="AS15" i="6" a="1"/>
  <c r="S16" i="6" a="1"/>
  <c r="AD16" i="6" a="1"/>
  <c r="AZ16" i="6" a="1"/>
  <c r="K17" i="6" a="1"/>
  <c r="S17" i="6" a="1"/>
  <c r="AA17" i="6" a="1"/>
  <c r="AI17" i="6" a="1"/>
  <c r="AQ17" i="6" a="1"/>
  <c r="AY17" i="6" a="1"/>
  <c r="J18" i="6" a="1"/>
  <c r="R18" i="6" a="1"/>
  <c r="Z18" i="6" a="1"/>
  <c r="AH18" i="6" a="1"/>
  <c r="AP18" i="6" a="1"/>
  <c r="AX18" i="6" a="1"/>
  <c r="I19" i="6" a="1"/>
  <c r="Q19" i="6" a="1"/>
  <c r="AO19" i="6" a="1"/>
  <c r="U14" i="6" a="1"/>
  <c r="AR17" i="6" a="1"/>
  <c r="R19" i="6" a="1"/>
  <c r="AI19" i="6" a="1"/>
  <c r="N7" i="6" a="1"/>
  <c r="E19" i="6" a="1"/>
  <c r="X6" i="6" a="1"/>
  <c r="AZ6" i="6" a="1"/>
  <c r="E8" i="6" a="1"/>
  <c r="E9" i="6" a="1"/>
  <c r="AG9" i="6" a="1"/>
  <c r="H10" i="6" a="1"/>
  <c r="AM11" i="6" a="1"/>
  <c r="H12" i="6" a="1"/>
  <c r="Y12" i="6" a="1"/>
  <c r="AP12" i="6" a="1"/>
  <c r="N13" i="6" a="1"/>
  <c r="T14" i="6" a="1"/>
  <c r="K15" i="6" a="1"/>
  <c r="V15" i="6" a="1"/>
  <c r="H16" i="6" a="1"/>
  <c r="T16" i="6" a="1"/>
  <c r="AQ16" i="6" a="1"/>
  <c r="AY10" i="6" a="1"/>
  <c r="AT15" i="6" a="1"/>
  <c r="AB17" i="6" a="1"/>
  <c r="S18" i="6" a="1"/>
  <c r="J19" i="6" a="1"/>
  <c r="AX19" i="6" a="1"/>
  <c r="S19" i="6" a="1"/>
  <c r="AY19" i="6" a="1"/>
  <c r="AF5" i="6" a="1"/>
  <c r="N18" i="6" a="1"/>
  <c r="AK19" i="6" a="1"/>
  <c r="AM6" i="6" a="1"/>
  <c r="E13" i="6" a="1"/>
  <c r="S3" i="6" a="1"/>
  <c r="AY3" i="6" a="1"/>
  <c r="AH4" i="6" a="1"/>
  <c r="Q5" i="6" a="1"/>
  <c r="AW5" i="6" a="1"/>
  <c r="AB6" i="6" a="1"/>
  <c r="AD7" i="6" a="1"/>
  <c r="AD8" i="6" a="1"/>
  <c r="I9" i="6" a="1"/>
  <c r="J10" i="6" a="1"/>
  <c r="AB10" i="6" a="1"/>
  <c r="S11" i="6" a="1"/>
  <c r="AN11" i="6" a="1"/>
  <c r="AT12" i="6" a="1"/>
  <c r="AF13" i="6" a="1"/>
  <c r="AJ14" i="6" a="1"/>
  <c r="L17" i="6" a="1"/>
  <c r="R10" i="6" a="1"/>
  <c r="AB15" i="6" a="1"/>
  <c r="D6" i="6" a="1"/>
  <c r="F7" i="6" a="1"/>
  <c r="F8" i="6" a="1"/>
  <c r="AH8" i="6" a="1"/>
  <c r="AJ9" i="6" a="1"/>
  <c r="AF10" i="6" a="1"/>
  <c r="W11" i="6" a="1"/>
  <c r="AO11" i="6" a="1"/>
  <c r="I12" i="6" a="1"/>
  <c r="Z12" i="6" a="1"/>
  <c r="AU12" i="6" a="1"/>
  <c r="D14" i="6" a="1"/>
  <c r="V14" i="6" a="1"/>
  <c r="AK14" i="6" a="1"/>
  <c r="L15" i="6" a="1"/>
  <c r="W15" i="6" a="1"/>
  <c r="J16" i="6" a="1"/>
  <c r="U16" i="6" a="1"/>
  <c r="AH3" i="6" a="1"/>
  <c r="AD18" i="6" a="1"/>
  <c r="Z3" i="6" a="1"/>
  <c r="I4" i="6" a="1"/>
  <c r="AO4" i="6" a="1"/>
  <c r="X5" i="6" a="1"/>
  <c r="AE6" i="6" a="1"/>
  <c r="AE7" i="6" a="1"/>
  <c r="J8" i="6" a="1"/>
  <c r="L9" i="6" a="1"/>
  <c r="K10" i="6" a="1"/>
  <c r="AH10" i="6" a="1"/>
  <c r="AZ10" i="6" a="1"/>
  <c r="X11" i="6" a="1"/>
  <c r="AD12" i="6" a="1"/>
  <c r="AV12" i="6" a="1"/>
  <c r="P13" i="6" a="1"/>
  <c r="AG13" i="6" a="1"/>
  <c r="E14" i="6" a="1"/>
  <c r="AL14" i="6" a="1"/>
  <c r="AX14" i="6" a="1"/>
  <c r="M15" i="6" a="1"/>
  <c r="AJ15" i="6" a="1"/>
  <c r="AU15" i="6" a="1"/>
  <c r="AH16" i="6" a="1"/>
  <c r="AS16" i="6" a="1"/>
  <c r="E17" i="6" a="1"/>
  <c r="M17" i="6" a="1"/>
  <c r="U17" i="6" a="1"/>
  <c r="AC17" i="6" a="1"/>
  <c r="AK17" i="6" a="1"/>
  <c r="AS17" i="6" a="1"/>
  <c r="D18" i="6" a="1"/>
  <c r="L18" i="6" a="1"/>
  <c r="T18" i="6" a="1"/>
  <c r="AB18" i="6" a="1"/>
  <c r="AJ18" i="6" a="1"/>
  <c r="AR18" i="6" a="1"/>
  <c r="AA19" i="6" a="1"/>
  <c r="Q4" i="6" a="1"/>
  <c r="O17" i="6" a="1"/>
  <c r="R8" i="6" a="1"/>
  <c r="J11" i="6" a="1"/>
  <c r="E15" i="6" a="1"/>
  <c r="G6" i="6" a="1"/>
  <c r="G7" i="6" a="1"/>
  <c r="AI7" i="6" a="1"/>
  <c r="AK8" i="6" a="1"/>
  <c r="AK9" i="6" a="1"/>
  <c r="G11" i="6" a="1"/>
  <c r="Y11" i="6" a="1"/>
  <c r="AP11" i="6" a="1"/>
  <c r="J12" i="6" a="1"/>
  <c r="AE12" i="6" a="1"/>
  <c r="AK13" i="6" a="1"/>
  <c r="F14" i="6" a="1"/>
  <c r="W14" i="6" a="1"/>
  <c r="Y15" i="6" a="1"/>
  <c r="AK15" i="6" a="1"/>
  <c r="K16" i="6" a="1"/>
  <c r="V16" i="6" a="1"/>
  <c r="AR9" i="6" a="1"/>
  <c r="AL18" i="6" a="1"/>
  <c r="AV11" i="6" a="1"/>
  <c r="AA3" i="6" a="1"/>
  <c r="J4" i="6" a="1"/>
  <c r="AP4" i="6" a="1"/>
  <c r="Y5" i="6" a="1"/>
  <c r="AF6" i="6" a="1"/>
  <c r="K7" i="6" a="1"/>
  <c r="M8" i="6" a="1"/>
  <c r="M9" i="6" a="1"/>
  <c r="AO9" i="6" a="1"/>
  <c r="L10" i="6" a="1"/>
  <c r="AI10" i="6" a="1"/>
  <c r="H11" i="6" a="1"/>
  <c r="N12" i="6" a="1"/>
  <c r="AF12" i="6" a="1"/>
  <c r="AW12" i="6" a="1"/>
  <c r="Q13" i="6" a="1"/>
  <c r="AL13" i="6" a="1"/>
  <c r="AM14" i="6" a="1"/>
  <c r="AZ14" i="6" a="1"/>
  <c r="N15" i="6" a="1"/>
  <c r="AW15" i="6" a="1"/>
  <c r="L16" i="6" a="1"/>
  <c r="AI16" i="6" a="1"/>
  <c r="AT16" i="6" a="1"/>
  <c r="F17" i="6" a="1"/>
  <c r="N17" i="6" a="1"/>
  <c r="V17" i="6" a="1"/>
  <c r="AD17" i="6" a="1"/>
  <c r="AL17" i="6" a="1"/>
  <c r="AT17" i="6" a="1"/>
  <c r="E18" i="6" a="1"/>
  <c r="M18" i="6" a="1"/>
  <c r="U18" i="6" a="1"/>
  <c r="AC18" i="6" a="1"/>
  <c r="AK18" i="6" a="1"/>
  <c r="AS18" i="6" a="1"/>
  <c r="D19" i="6" a="1"/>
  <c r="L19" i="6" a="1"/>
  <c r="T19" i="6" a="1"/>
  <c r="AB19" i="6" a="1"/>
  <c r="AJ19" i="6" a="1"/>
  <c r="AR19" i="6" a="1"/>
  <c r="AZ19" i="6" a="1"/>
  <c r="Z11" i="6" a="1"/>
  <c r="AQ11" i="6" a="1"/>
  <c r="U13" i="6" a="1"/>
  <c r="AM13" i="6" a="1"/>
  <c r="G14" i="6" a="1"/>
  <c r="AA15" i="6" a="1"/>
  <c r="AL15" i="6" a="1"/>
  <c r="X16" i="6" a="1"/>
  <c r="AJ16" i="6" a="1"/>
  <c r="AJ10" i="6" a="1"/>
  <c r="P12" i="6" a="1"/>
  <c r="AX12" i="6" a="1"/>
  <c r="AB14" i="6" a="1"/>
  <c r="O15" i="6" a="1"/>
  <c r="W17" i="6" a="1"/>
  <c r="V18" i="6" a="1"/>
  <c r="AC19" i="6" a="1"/>
  <c r="AN10" i="6" a="1"/>
  <c r="AN13" i="6" a="1"/>
  <c r="AM15" i="6" a="1"/>
  <c r="H6" i="6" a="1"/>
  <c r="AJ6" i="6" a="1"/>
  <c r="AL7" i="6" a="1"/>
  <c r="AL8" i="6" a="1"/>
  <c r="Q9" i="6" a="1"/>
  <c r="P10" i="6" a="1"/>
  <c r="I11" i="6" a="1"/>
  <c r="O12" i="6" a="1"/>
  <c r="X14" i="6" a="1"/>
  <c r="AP8" i="6" a="1"/>
  <c r="F18" i="6" a="1"/>
  <c r="AI3" i="6" a="1"/>
  <c r="R4" i="6" a="1"/>
  <c r="AX4" i="6" a="1"/>
  <c r="AG5" i="6" a="1"/>
  <c r="O6" i="6" a="1"/>
  <c r="O7" i="6" a="1"/>
  <c r="AQ7" i="6" a="1"/>
  <c r="AS8" i="6" a="1"/>
  <c r="AS9" i="6" a="1"/>
  <c r="S10" i="6" a="1"/>
  <c r="AP10" i="6" a="1"/>
  <c r="AE11" i="6" a="1"/>
  <c r="AW11" i="6" a="1"/>
  <c r="Q12" i="6" a="1"/>
  <c r="AH12" i="6" a="1"/>
  <c r="F13" i="6" a="1"/>
  <c r="L14" i="6" a="1"/>
  <c r="AD14" i="6" a="1"/>
  <c r="AP14" i="6" a="1"/>
  <c r="Q15" i="6" a="1"/>
  <c r="AC15" i="6" a="1"/>
  <c r="AZ15" i="6" a="1"/>
  <c r="N16" i="6" a="1"/>
  <c r="H17" i="6" a="1"/>
  <c r="P17" i="6" a="1"/>
  <c r="X17" i="6" a="1"/>
  <c r="AF17" i="6" a="1"/>
  <c r="AN17" i="6" a="1"/>
  <c r="AV17" i="6" a="1"/>
  <c r="G18" i="6" a="1"/>
  <c r="O18" i="6" a="1"/>
  <c r="W18" i="6" a="1"/>
  <c r="AE18" i="6" a="1"/>
  <c r="AM18" i="6" a="1"/>
  <c r="AU18" i="6" a="1"/>
  <c r="F19" i="6" a="1"/>
  <c r="N19" i="6" a="1"/>
  <c r="V19" i="6" a="1"/>
  <c r="AD19" i="6" a="1"/>
  <c r="AL19" i="6" a="1"/>
  <c r="AT19" i="6" a="1"/>
  <c r="AU19" i="6" a="1"/>
  <c r="D15" i="6" a="1"/>
  <c r="AM17" i="6" a="1"/>
  <c r="AS19" i="6" a="1"/>
  <c r="W13" i="6" a="1"/>
  <c r="AA11" i="6" a="1"/>
  <c r="AK16" i="6" a="1"/>
  <c r="C4" i="6" a="1"/>
  <c r="C12" i="6" a="1"/>
  <c r="C13" i="6" a="1"/>
  <c r="C14" i="6" a="1"/>
  <c r="C7" i="6" a="1"/>
  <c r="C5" i="6" a="1"/>
  <c r="C19" i="6" a="1"/>
  <c r="C6" i="6" a="1"/>
  <c r="C15" i="6" a="1"/>
  <c r="C16" i="6" a="1"/>
  <c r="C17" i="6" a="1"/>
  <c r="C18" i="6" a="1"/>
  <c r="C8" i="6" a="1"/>
  <c r="C10" i="6" a="1"/>
  <c r="C11" i="6" a="1"/>
  <c r="C9" i="6" a="1"/>
  <c r="C3" i="6" a="1"/>
  <c r="D45" i="5" a="1"/>
  <c r="L45" i="5" a="1"/>
  <c r="T45" i="5" a="1"/>
  <c r="AB45" i="5" a="1"/>
  <c r="AJ45" i="5" a="1"/>
  <c r="AR45" i="5" a="1"/>
  <c r="AZ45" i="5" a="1"/>
  <c r="K46" i="5" a="1"/>
  <c r="S46" i="5" a="1"/>
  <c r="AA46" i="5" a="1"/>
  <c r="AI46" i="5" a="1"/>
  <c r="AQ46" i="5" a="1"/>
  <c r="AY46" i="5" a="1"/>
  <c r="J47" i="5" a="1"/>
  <c r="R47" i="5" a="1"/>
  <c r="Z47" i="5" a="1"/>
  <c r="AH47" i="5" a="1"/>
  <c r="AP47" i="5" a="1"/>
  <c r="AX47" i="5" a="1"/>
  <c r="I48" i="5" a="1"/>
  <c r="Q48" i="5" a="1"/>
  <c r="Y48" i="5" a="1"/>
  <c r="AG48" i="5" a="1"/>
  <c r="AO48" i="5" a="1"/>
  <c r="AW48" i="5" a="1"/>
  <c r="H49" i="5" a="1"/>
  <c r="P49" i="5" a="1"/>
  <c r="X49" i="5" a="1"/>
  <c r="AF49" i="5" a="1"/>
  <c r="AN49" i="5" a="1"/>
  <c r="AV49" i="5" a="1"/>
  <c r="G50" i="5" a="1"/>
  <c r="O50" i="5" a="1"/>
  <c r="W50" i="5" a="1"/>
  <c r="AE50" i="5" a="1"/>
  <c r="AM50" i="5" a="1"/>
  <c r="AU50" i="5" a="1"/>
  <c r="F51" i="5" a="1"/>
  <c r="N51" i="5" a="1"/>
  <c r="V51" i="5" a="1"/>
  <c r="AD51" i="5" a="1"/>
  <c r="AL51" i="5" a="1"/>
  <c r="AT51" i="5" a="1"/>
  <c r="E52" i="5" a="1"/>
  <c r="M52" i="5" a="1"/>
  <c r="U52" i="5" a="1"/>
  <c r="AC52" i="5" a="1"/>
  <c r="AK52" i="5" a="1"/>
  <c r="AS52" i="5" a="1"/>
  <c r="D53" i="5" a="1"/>
  <c r="L53" i="5" a="1"/>
  <c r="T53" i="5" a="1"/>
  <c r="AB53" i="5" a="1"/>
  <c r="E45" i="5" a="1"/>
  <c r="M45" i="5" a="1"/>
  <c r="U45" i="5" a="1"/>
  <c r="AC45" i="5" a="1"/>
  <c r="AK45" i="5" a="1"/>
  <c r="AS45" i="5" a="1"/>
  <c r="D46" i="5" a="1"/>
  <c r="L46" i="5" a="1"/>
  <c r="T46" i="5" a="1"/>
  <c r="AB46" i="5" a="1"/>
  <c r="AJ46" i="5" a="1"/>
  <c r="AR46" i="5" a="1"/>
  <c r="AZ46" i="5" a="1"/>
  <c r="K47" i="5" a="1"/>
  <c r="S47" i="5" a="1"/>
  <c r="AA47" i="5" a="1"/>
  <c r="AI47" i="5" a="1"/>
  <c r="AQ47" i="5" a="1"/>
  <c r="AY47" i="5" a="1"/>
  <c r="J48" i="5" a="1"/>
  <c r="R48" i="5" a="1"/>
  <c r="Z48" i="5" a="1"/>
  <c r="AH48" i="5" a="1"/>
  <c r="AP48" i="5" a="1"/>
  <c r="AX48" i="5" a="1"/>
  <c r="I49" i="5" a="1"/>
  <c r="Q49" i="5" a="1"/>
  <c r="Y49" i="5" a="1"/>
  <c r="AG49" i="5" a="1"/>
  <c r="AO49" i="5" a="1"/>
  <c r="AW49" i="5" a="1"/>
  <c r="H50" i="5" a="1"/>
  <c r="P50" i="5" a="1"/>
  <c r="X50" i="5" a="1"/>
  <c r="AF50" i="5" a="1"/>
  <c r="AN50" i="5" a="1"/>
  <c r="AV50" i="5" a="1"/>
  <c r="G51" i="5" a="1"/>
  <c r="O51" i="5" a="1"/>
  <c r="W51" i="5" a="1"/>
  <c r="AE51" i="5" a="1"/>
  <c r="AM51" i="5" a="1"/>
  <c r="AU51" i="5" a="1"/>
  <c r="F52" i="5" a="1"/>
  <c r="N52" i="5" a="1"/>
  <c r="V52" i="5" a="1"/>
  <c r="AD52" i="5" a="1"/>
  <c r="AL52" i="5" a="1"/>
  <c r="AT52" i="5" a="1"/>
  <c r="E53" i="5" a="1"/>
  <c r="M53" i="5" a="1"/>
  <c r="U53" i="5" a="1"/>
  <c r="AC53" i="5" a="1"/>
  <c r="AK53" i="5" a="1"/>
  <c r="AS53" i="5" a="1"/>
  <c r="D54" i="5" a="1"/>
  <c r="L54" i="5" a="1"/>
  <c r="T54" i="5" a="1"/>
  <c r="AB54" i="5" a="1"/>
  <c r="AJ54" i="5" a="1"/>
  <c r="AR54" i="5" a="1"/>
  <c r="AZ54" i="5" a="1"/>
  <c r="K55" i="5" a="1"/>
  <c r="S55" i="5" a="1"/>
  <c r="AA55" i="5" a="1"/>
  <c r="AI55" i="5" a="1"/>
  <c r="AQ55" i="5" a="1"/>
  <c r="AY55" i="5" a="1"/>
  <c r="J56" i="5" a="1"/>
  <c r="R56" i="5" a="1"/>
  <c r="Z56" i="5" a="1"/>
  <c r="F45" i="5" a="1"/>
  <c r="N45" i="5" a="1"/>
  <c r="V45" i="5" a="1"/>
  <c r="AD45" i="5" a="1"/>
  <c r="AL45" i="5" a="1"/>
  <c r="AT45" i="5" a="1"/>
  <c r="E46" i="5" a="1"/>
  <c r="M46" i="5" a="1"/>
  <c r="U46" i="5" a="1"/>
  <c r="AC46" i="5" a="1"/>
  <c r="AK46" i="5" a="1"/>
  <c r="AS46" i="5" a="1"/>
  <c r="D47" i="5" a="1"/>
  <c r="L47" i="5" a="1"/>
  <c r="T47" i="5" a="1"/>
  <c r="AB47" i="5" a="1"/>
  <c r="AJ47" i="5" a="1"/>
  <c r="AR47" i="5" a="1"/>
  <c r="AZ47" i="5" a="1"/>
  <c r="K48" i="5" a="1"/>
  <c r="S48" i="5" a="1"/>
  <c r="AA48" i="5" a="1"/>
  <c r="AI48" i="5" a="1"/>
  <c r="AQ48" i="5" a="1"/>
  <c r="AY48" i="5" a="1"/>
  <c r="J49" i="5" a="1"/>
  <c r="R49" i="5" a="1"/>
  <c r="Z49" i="5" a="1"/>
  <c r="AH49" i="5" a="1"/>
  <c r="AP49" i="5" a="1"/>
  <c r="AX49" i="5" a="1"/>
  <c r="I50" i="5" a="1"/>
  <c r="Q50" i="5" a="1"/>
  <c r="Y50" i="5" a="1"/>
  <c r="AG50" i="5" a="1"/>
  <c r="AO50" i="5" a="1"/>
  <c r="AW50" i="5" a="1"/>
  <c r="H51" i="5" a="1"/>
  <c r="P51" i="5" a="1"/>
  <c r="X51" i="5" a="1"/>
  <c r="AF51" i="5" a="1"/>
  <c r="AN51" i="5" a="1"/>
  <c r="AV51" i="5" a="1"/>
  <c r="G52" i="5" a="1"/>
  <c r="O52" i="5" a="1"/>
  <c r="W52" i="5" a="1"/>
  <c r="AE52" i="5" a="1"/>
  <c r="AM52" i="5" a="1"/>
  <c r="AU52" i="5" a="1"/>
  <c r="F53" i="5" a="1"/>
  <c r="N53" i="5" a="1"/>
  <c r="V53" i="5" a="1"/>
  <c r="AD53" i="5" a="1"/>
  <c r="AL53" i="5" a="1"/>
  <c r="AT53" i="5" a="1"/>
  <c r="E54" i="5" a="1"/>
  <c r="M54" i="5" a="1"/>
  <c r="U54" i="5" a="1"/>
  <c r="AC54" i="5" a="1"/>
  <c r="AK54" i="5" a="1"/>
  <c r="G45" i="5" a="1"/>
  <c r="O45" i="5" a="1"/>
  <c r="W45" i="5" a="1"/>
  <c r="AE45" i="5" a="1"/>
  <c r="AM45" i="5" a="1"/>
  <c r="AU45" i="5" a="1"/>
  <c r="F46" i="5" a="1"/>
  <c r="N46" i="5" a="1"/>
  <c r="V46" i="5" a="1"/>
  <c r="AD46" i="5" a="1"/>
  <c r="AL46" i="5" a="1"/>
  <c r="AT46" i="5" a="1"/>
  <c r="E47" i="5" a="1"/>
  <c r="M47" i="5" a="1"/>
  <c r="U47" i="5" a="1"/>
  <c r="AC47" i="5" a="1"/>
  <c r="AK47" i="5" a="1"/>
  <c r="AS47" i="5" a="1"/>
  <c r="D48" i="5" a="1"/>
  <c r="L48" i="5" a="1"/>
  <c r="T48" i="5" a="1"/>
  <c r="AB48" i="5" a="1"/>
  <c r="AJ48" i="5" a="1"/>
  <c r="AR48" i="5" a="1"/>
  <c r="AZ48" i="5" a="1"/>
  <c r="K49" i="5" a="1"/>
  <c r="S49" i="5" a="1"/>
  <c r="AA49" i="5" a="1"/>
  <c r="AI49" i="5" a="1"/>
  <c r="AQ49" i="5" a="1"/>
  <c r="AY49" i="5" a="1"/>
  <c r="J50" i="5" a="1"/>
  <c r="R50" i="5" a="1"/>
  <c r="Z50" i="5" a="1"/>
  <c r="AH50" i="5" a="1"/>
  <c r="AP50" i="5" a="1"/>
  <c r="AX50" i="5" a="1"/>
  <c r="I51" i="5" a="1"/>
  <c r="Q51" i="5" a="1"/>
  <c r="Y51" i="5" a="1"/>
  <c r="AG51" i="5" a="1"/>
  <c r="AO51" i="5" a="1"/>
  <c r="AW51" i="5" a="1"/>
  <c r="H52" i="5" a="1"/>
  <c r="P52" i="5" a="1"/>
  <c r="X52" i="5" a="1"/>
  <c r="AF52" i="5" a="1"/>
  <c r="AN52" i="5" a="1"/>
  <c r="AV52" i="5" a="1"/>
  <c r="G53" i="5" a="1"/>
  <c r="O53" i="5" a="1"/>
  <c r="W53" i="5" a="1"/>
  <c r="AE53" i="5" a="1"/>
  <c r="AM53" i="5" a="1"/>
  <c r="AU53" i="5" a="1"/>
  <c r="F54" i="5" a="1"/>
  <c r="N54" i="5" a="1"/>
  <c r="V54" i="5" a="1"/>
  <c r="AD54" i="5" a="1"/>
  <c r="AL54" i="5" a="1"/>
  <c r="H45" i="5" a="1"/>
  <c r="P45" i="5" a="1"/>
  <c r="X45" i="5" a="1"/>
  <c r="AF45" i="5" a="1"/>
  <c r="AN45" i="5" a="1"/>
  <c r="AV45" i="5" a="1"/>
  <c r="G46" i="5" a="1"/>
  <c r="O46" i="5" a="1"/>
  <c r="W46" i="5" a="1"/>
  <c r="AE46" i="5" a="1"/>
  <c r="AM46" i="5" a="1"/>
  <c r="AU46" i="5" a="1"/>
  <c r="F47" i="5" a="1"/>
  <c r="N47" i="5" a="1"/>
  <c r="V47" i="5" a="1"/>
  <c r="AD47" i="5" a="1"/>
  <c r="AL47" i="5" a="1"/>
  <c r="AT47" i="5" a="1"/>
  <c r="E48" i="5" a="1"/>
  <c r="M48" i="5" a="1"/>
  <c r="U48" i="5" a="1"/>
  <c r="AC48" i="5" a="1"/>
  <c r="AK48" i="5" a="1"/>
  <c r="AS48" i="5" a="1"/>
  <c r="D49" i="5" a="1"/>
  <c r="L49" i="5" a="1"/>
  <c r="T49" i="5" a="1"/>
  <c r="AB49" i="5" a="1"/>
  <c r="AJ49" i="5" a="1"/>
  <c r="AR49" i="5" a="1"/>
  <c r="AZ49" i="5" a="1"/>
  <c r="K50" i="5" a="1"/>
  <c r="S50" i="5" a="1"/>
  <c r="AA50" i="5" a="1"/>
  <c r="AI50" i="5" a="1"/>
  <c r="AQ50" i="5" a="1"/>
  <c r="AY50" i="5" a="1"/>
  <c r="J51" i="5" a="1"/>
  <c r="R51" i="5" a="1"/>
  <c r="Z51" i="5" a="1"/>
  <c r="AH51" i="5" a="1"/>
  <c r="AP51" i="5" a="1"/>
  <c r="AX51" i="5" a="1"/>
  <c r="I52" i="5" a="1"/>
  <c r="Q52" i="5" a="1"/>
  <c r="Y52" i="5" a="1"/>
  <c r="AG52" i="5" a="1"/>
  <c r="AO52" i="5" a="1"/>
  <c r="AW52" i="5" a="1"/>
  <c r="H53" i="5" a="1"/>
  <c r="P53" i="5" a="1"/>
  <c r="X53" i="5" a="1"/>
  <c r="AF53" i="5" a="1"/>
  <c r="AN53" i="5" a="1"/>
  <c r="AV53" i="5" a="1"/>
  <c r="G54" i="5" a="1"/>
  <c r="O54" i="5" a="1"/>
  <c r="W54" i="5" a="1"/>
  <c r="AE54" i="5" a="1"/>
  <c r="AM54" i="5" a="1"/>
  <c r="AU54" i="5" a="1"/>
  <c r="F55" i="5" a="1"/>
  <c r="N55" i="5" a="1"/>
  <c r="V55" i="5" a="1"/>
  <c r="AD55" i="5" a="1"/>
  <c r="AL55" i="5" a="1"/>
  <c r="AT55" i="5" a="1"/>
  <c r="E56" i="5" a="1"/>
  <c r="M56" i="5" a="1"/>
  <c r="U56" i="5" a="1"/>
  <c r="I45" i="5" a="1"/>
  <c r="Q45" i="5" a="1"/>
  <c r="Y45" i="5" a="1"/>
  <c r="AG45" i="5" a="1"/>
  <c r="AO45" i="5" a="1"/>
  <c r="AW45" i="5" a="1"/>
  <c r="H46" i="5" a="1"/>
  <c r="P46" i="5" a="1"/>
  <c r="X46" i="5" a="1"/>
  <c r="AF46" i="5" a="1"/>
  <c r="AN46" i="5" a="1"/>
  <c r="AV46" i="5" a="1"/>
  <c r="G47" i="5" a="1"/>
  <c r="O47" i="5" a="1"/>
  <c r="W47" i="5" a="1"/>
  <c r="AE47" i="5" a="1"/>
  <c r="AM47" i="5" a="1"/>
  <c r="AU47" i="5" a="1"/>
  <c r="F48" i="5" a="1"/>
  <c r="N48" i="5" a="1"/>
  <c r="V48" i="5" a="1"/>
  <c r="AD48" i="5" a="1"/>
  <c r="AL48" i="5" a="1"/>
  <c r="AT48" i="5" a="1"/>
  <c r="E49" i="5" a="1"/>
  <c r="M49" i="5" a="1"/>
  <c r="U49" i="5" a="1"/>
  <c r="AC49" i="5" a="1"/>
  <c r="AK49" i="5" a="1"/>
  <c r="AS49" i="5" a="1"/>
  <c r="D50" i="5" a="1"/>
  <c r="L50" i="5" a="1"/>
  <c r="T50" i="5" a="1"/>
  <c r="AB50" i="5" a="1"/>
  <c r="AJ50" i="5" a="1"/>
  <c r="AR50" i="5" a="1"/>
  <c r="AZ50" i="5" a="1"/>
  <c r="K51" i="5" a="1"/>
  <c r="S51" i="5" a="1"/>
  <c r="AA51" i="5" a="1"/>
  <c r="AI51" i="5" a="1"/>
  <c r="AQ51" i="5" a="1"/>
  <c r="AY51" i="5" a="1"/>
  <c r="J52" i="5" a="1"/>
  <c r="R52" i="5" a="1"/>
  <c r="Z52" i="5" a="1"/>
  <c r="AH52" i="5" a="1"/>
  <c r="AP52" i="5" a="1"/>
  <c r="AX52" i="5" a="1"/>
  <c r="I53" i="5" a="1"/>
  <c r="Q53" i="5" a="1"/>
  <c r="Y53" i="5" a="1"/>
  <c r="AG53" i="5" a="1"/>
  <c r="AO53" i="5" a="1"/>
  <c r="AW53" i="5" a="1"/>
  <c r="H54" i="5" a="1"/>
  <c r="P54" i="5" a="1"/>
  <c r="X54" i="5" a="1"/>
  <c r="AF54" i="5" a="1"/>
  <c r="AN54" i="5" a="1"/>
  <c r="AV54" i="5" a="1"/>
  <c r="G55" i="5" a="1"/>
  <c r="O55" i="5" a="1"/>
  <c r="W55" i="5" a="1"/>
  <c r="AE55" i="5" a="1"/>
  <c r="AM55" i="5" a="1"/>
  <c r="AU55" i="5" a="1"/>
  <c r="J45" i="5" a="1"/>
  <c r="R45" i="5" a="1"/>
  <c r="Z45" i="5" a="1"/>
  <c r="AH45" i="5" a="1"/>
  <c r="AP45" i="5" a="1"/>
  <c r="AX45" i="5" a="1"/>
  <c r="I46" i="5" a="1"/>
  <c r="Q46" i="5" a="1"/>
  <c r="Y46" i="5" a="1"/>
  <c r="AG46" i="5" a="1"/>
  <c r="AO46" i="5" a="1"/>
  <c r="AW46" i="5" a="1"/>
  <c r="H47" i="5" a="1"/>
  <c r="P47" i="5" a="1"/>
  <c r="X47" i="5" a="1"/>
  <c r="AF47" i="5" a="1"/>
  <c r="AN47" i="5" a="1"/>
  <c r="AV47" i="5" a="1"/>
  <c r="G48" i="5" a="1"/>
  <c r="O48" i="5" a="1"/>
  <c r="W48" i="5" a="1"/>
  <c r="AE48" i="5" a="1"/>
  <c r="AM48" i="5" a="1"/>
  <c r="AU48" i="5" a="1"/>
  <c r="F49" i="5" a="1"/>
  <c r="N49" i="5" a="1"/>
  <c r="V49" i="5" a="1"/>
  <c r="AD49" i="5" a="1"/>
  <c r="AL49" i="5" a="1"/>
  <c r="AT49" i="5" a="1"/>
  <c r="E50" i="5" a="1"/>
  <c r="M50" i="5" a="1"/>
  <c r="U50" i="5" a="1"/>
  <c r="AC50" i="5" a="1"/>
  <c r="AK50" i="5" a="1"/>
  <c r="AS50" i="5" a="1"/>
  <c r="D51" i="5" a="1"/>
  <c r="L51" i="5" a="1"/>
  <c r="T51" i="5" a="1"/>
  <c r="AB51" i="5" a="1"/>
  <c r="AJ51" i="5" a="1"/>
  <c r="AR51" i="5" a="1"/>
  <c r="AZ51" i="5" a="1"/>
  <c r="K52" i="5" a="1"/>
  <c r="S52" i="5" a="1"/>
  <c r="AA52" i="5" a="1"/>
  <c r="AI52" i="5" a="1"/>
  <c r="AQ52" i="5" a="1"/>
  <c r="AY52" i="5" a="1"/>
  <c r="J53" i="5" a="1"/>
  <c r="R53" i="5" a="1"/>
  <c r="Z53" i="5" a="1"/>
  <c r="AH53" i="5" a="1"/>
  <c r="AP53" i="5" a="1"/>
  <c r="AX53" i="5" a="1"/>
  <c r="I54" i="5" a="1"/>
  <c r="Q54" i="5" a="1"/>
  <c r="Y54" i="5" a="1"/>
  <c r="AG54" i="5" a="1"/>
  <c r="AO54" i="5" a="1"/>
  <c r="K45" i="5" a="1"/>
  <c r="AO47" i="5" a="1"/>
  <c r="V50" i="5" a="1"/>
  <c r="D52" i="5" a="1"/>
  <c r="S53" i="5" a="1"/>
  <c r="R54" i="5" a="1"/>
  <c r="X55" i="5" a="1"/>
  <c r="AR55" i="5" a="1"/>
  <c r="O56" i="5" a="1"/>
  <c r="AF56" i="5" a="1"/>
  <c r="AT56" i="5" a="1"/>
  <c r="K57" i="5" a="1"/>
  <c r="Y57" i="5" a="1"/>
  <c r="E58" i="5" a="1"/>
  <c r="S58" i="5" a="1"/>
  <c r="AG58" i="5" a="1"/>
  <c r="AU58" i="5" a="1"/>
  <c r="F59" i="5" a="1"/>
  <c r="N59" i="5" a="1"/>
  <c r="V59" i="5" a="1"/>
  <c r="AD59" i="5" a="1"/>
  <c r="AL59" i="5" a="1"/>
  <c r="AT59" i="5" a="1"/>
  <c r="E60" i="5" a="1"/>
  <c r="M60" i="5" a="1"/>
  <c r="U60" i="5" a="1"/>
  <c r="AC60" i="5" a="1"/>
  <c r="AK60" i="5" a="1"/>
  <c r="AS60" i="5" a="1"/>
  <c r="D61" i="5" a="1"/>
  <c r="L61" i="5" a="1"/>
  <c r="T61" i="5" a="1"/>
  <c r="AB61" i="5" a="1"/>
  <c r="AR61" i="5" a="1"/>
  <c r="P59" i="5" a="1"/>
  <c r="O60" i="5" a="1"/>
  <c r="F61" i="5" a="1"/>
  <c r="AT61" i="5" a="1"/>
  <c r="AZ56" i="5" a="1"/>
  <c r="AC56" i="5" a="1"/>
  <c r="Y47" i="5" a="1"/>
  <c r="L60" i="5" a="1"/>
  <c r="S45" i="5" a="1"/>
  <c r="AW47" i="5" a="1"/>
  <c r="AD50" i="5" a="1"/>
  <c r="AY54" i="5" a="1"/>
  <c r="Y55" i="5" a="1"/>
  <c r="AS55" i="5" a="1"/>
  <c r="P56" i="5" a="1"/>
  <c r="AU56" i="5" a="1"/>
  <c r="L57" i="5" a="1"/>
  <c r="Z57" i="5" a="1"/>
  <c r="AN57" i="5" a="1"/>
  <c r="F58" i="5" a="1"/>
  <c r="T58" i="5" a="1"/>
  <c r="AH58" i="5" a="1"/>
  <c r="AW58" i="5" a="1"/>
  <c r="AV59" i="5" a="1"/>
  <c r="V61" i="5" a="1"/>
  <c r="AL56" i="5" a="1"/>
  <c r="AQ56" i="5" a="1"/>
  <c r="F50" i="5" a="1"/>
  <c r="Q58" i="5" a="1"/>
  <c r="AR60" i="5" a="1"/>
  <c r="AA45" i="5" a="1"/>
  <c r="H48" i="5" a="1"/>
  <c r="AL50" i="5" a="1"/>
  <c r="L52" i="5" a="1"/>
  <c r="AA53" i="5" a="1"/>
  <c r="S54" i="5" a="1"/>
  <c r="D55" i="5" a="1"/>
  <c r="AV55" i="5" a="1"/>
  <c r="AG56" i="5" a="1"/>
  <c r="AV56" i="5" a="1"/>
  <c r="M57" i="5" a="1"/>
  <c r="AA57" i="5" a="1"/>
  <c r="AO57" i="5" a="1"/>
  <c r="U58" i="5" a="1"/>
  <c r="AI58" i="5" a="1"/>
  <c r="AV58" i="5" a="1"/>
  <c r="G59" i="5" a="1"/>
  <c r="O59" i="5" a="1"/>
  <c r="W59" i="5" a="1"/>
  <c r="AE59" i="5" a="1"/>
  <c r="AM59" i="5" a="1"/>
  <c r="AU59" i="5" a="1"/>
  <c r="F60" i="5" a="1"/>
  <c r="N60" i="5" a="1"/>
  <c r="V60" i="5" a="1"/>
  <c r="AD60" i="5" a="1"/>
  <c r="AL60" i="5" a="1"/>
  <c r="AT60" i="5" a="1"/>
  <c r="E61" i="5" a="1"/>
  <c r="M61" i="5" a="1"/>
  <c r="U61" i="5" a="1"/>
  <c r="AC61" i="5" a="1"/>
  <c r="AK61" i="5" a="1"/>
  <c r="AS61" i="5" a="1"/>
  <c r="AF59" i="5" a="1"/>
  <c r="AE60" i="5" a="1"/>
  <c r="AU60" i="5" a="1"/>
  <c r="AD61" i="5" a="1"/>
  <c r="AT57" i="5" a="1"/>
  <c r="K56" i="5" a="1"/>
  <c r="AS58" i="5" a="1"/>
  <c r="AL57" i="5" a="1"/>
  <c r="AC59" i="5" a="1"/>
  <c r="S61" i="5" a="1"/>
  <c r="AI45" i="5" a="1"/>
  <c r="P48" i="5" a="1"/>
  <c r="AT50" i="5" a="1"/>
  <c r="Z54" i="5" a="1"/>
  <c r="E55" i="5" a="1"/>
  <c r="Z55" i="5" a="1"/>
  <c r="AW55" i="5" a="1"/>
  <c r="Q56" i="5" a="1"/>
  <c r="AH56" i="5" a="1"/>
  <c r="N57" i="5" a="1"/>
  <c r="AB57" i="5" a="1"/>
  <c r="AP57" i="5" a="1"/>
  <c r="G58" i="5" a="1"/>
  <c r="V58" i="5" a="1"/>
  <c r="AJ58" i="5" a="1"/>
  <c r="H58" i="5" a="1"/>
  <c r="W60" i="5" a="1"/>
  <c r="AL61" i="5" a="1"/>
  <c r="K58" i="5" a="1"/>
  <c r="AO55" i="5" a="1"/>
  <c r="AS51" i="5" a="1"/>
  <c r="M59" i="5" a="1"/>
  <c r="K61" i="5" a="1"/>
  <c r="AQ45" i="5" a="1"/>
  <c r="X48" i="5" a="1"/>
  <c r="E51" i="5" a="1"/>
  <c r="T52" i="5" a="1"/>
  <c r="AI53" i="5" a="1"/>
  <c r="H55" i="5" a="1"/>
  <c r="AB55" i="5" a="1"/>
  <c r="S56" i="5" a="1"/>
  <c r="AI56" i="5" a="1"/>
  <c r="AW56" i="5" a="1"/>
  <c r="O57" i="5" a="1"/>
  <c r="AC57" i="5" a="1"/>
  <c r="AQ57" i="5" a="1"/>
  <c r="AK58" i="5" a="1"/>
  <c r="H59" i="5" a="1"/>
  <c r="AN59" i="5" a="1"/>
  <c r="AM60" i="5" a="1"/>
  <c r="AM58" i="5" a="1"/>
  <c r="P58" i="5" a="1"/>
  <c r="E59" i="5" a="1"/>
  <c r="AI61" i="5" a="1"/>
  <c r="AY45" i="5" a="1"/>
  <c r="AF48" i="5" a="1"/>
  <c r="AA54" i="5" a="1"/>
  <c r="I55" i="5" a="1"/>
  <c r="AC55" i="5" a="1"/>
  <c r="AX55" i="5" a="1"/>
  <c r="T56" i="5" a="1"/>
  <c r="AJ56" i="5" a="1"/>
  <c r="AX56" i="5" a="1"/>
  <c r="AD57" i="5" a="1"/>
  <c r="AR57" i="5" a="1"/>
  <c r="I58" i="5" a="1"/>
  <c r="W58" i="5" a="1"/>
  <c r="AL58" i="5" a="1"/>
  <c r="AQ53" i="5" a="1"/>
  <c r="AG55" i="5" a="1"/>
  <c r="Q57" i="5" a="1"/>
  <c r="AT54" i="5" a="1"/>
  <c r="W57" i="5" a="1"/>
  <c r="T55" i="5" a="1"/>
  <c r="AZ57" i="5" a="1"/>
  <c r="T60" i="5" a="1"/>
  <c r="J46" i="5" a="1"/>
  <c r="AN48" i="5" a="1"/>
  <c r="M51" i="5" a="1"/>
  <c r="AB52" i="5" a="1"/>
  <c r="AJ53" i="5" a="1"/>
  <c r="AH54" i="5" a="1"/>
  <c r="AF55" i="5" a="1"/>
  <c r="AZ55" i="5" a="1"/>
  <c r="V56" i="5" a="1"/>
  <c r="AK56" i="5" a="1"/>
  <c r="AY56" i="5" a="1"/>
  <c r="P57" i="5" a="1"/>
  <c r="AE57" i="5" a="1"/>
  <c r="AS57" i="5" a="1"/>
  <c r="J58" i="5" a="1"/>
  <c r="X58" i="5" a="1"/>
  <c r="AX58" i="5" a="1"/>
  <c r="I59" i="5" a="1"/>
  <c r="Q59" i="5" a="1"/>
  <c r="Y59" i="5" a="1"/>
  <c r="AG59" i="5" a="1"/>
  <c r="AO59" i="5" a="1"/>
  <c r="AW59" i="5" a="1"/>
  <c r="H60" i="5" a="1"/>
  <c r="P60" i="5" a="1"/>
  <c r="X60" i="5" a="1"/>
  <c r="AF60" i="5" a="1"/>
  <c r="AN60" i="5" a="1"/>
  <c r="AV60" i="5" a="1"/>
  <c r="G61" i="5" a="1"/>
  <c r="O61" i="5" a="1"/>
  <c r="W61" i="5" a="1"/>
  <c r="AE61" i="5" a="1"/>
  <c r="AM61" i="5" a="1"/>
  <c r="AU61" i="5" a="1"/>
  <c r="J55" i="5" a="1"/>
  <c r="D56" i="5" a="1"/>
  <c r="Y58" i="5" a="1"/>
  <c r="R55" i="5" a="1"/>
  <c r="AK57" i="5" a="1"/>
  <c r="AW54" i="5" a="1"/>
  <c r="AT58" i="5" a="1"/>
  <c r="AZ60" i="5" a="1"/>
  <c r="R46" i="5" a="1"/>
  <c r="AV48" i="5" a="1"/>
  <c r="Z46" i="5" a="1"/>
  <c r="G49" i="5" a="1"/>
  <c r="U51" i="5" a="1"/>
  <c r="AJ52" i="5" a="1"/>
  <c r="AI54" i="5" a="1"/>
  <c r="L55" i="5" a="1"/>
  <c r="F56" i="5" a="1"/>
  <c r="X56" i="5" a="1"/>
  <c r="AM56" i="5" a="1"/>
  <c r="D57" i="5" a="1"/>
  <c r="R57" i="5" a="1"/>
  <c r="AF57" i="5" a="1"/>
  <c r="AU57" i="5" a="1"/>
  <c r="L58" i="5" a="1"/>
  <c r="Z58" i="5" a="1"/>
  <c r="AN58" i="5" a="1"/>
  <c r="AY58" i="5" a="1"/>
  <c r="J59" i="5" a="1"/>
  <c r="R59" i="5" a="1"/>
  <c r="Z59" i="5" a="1"/>
  <c r="AH59" i="5" a="1"/>
  <c r="AP59" i="5" a="1"/>
  <c r="AX59" i="5" a="1"/>
  <c r="I60" i="5" a="1"/>
  <c r="Q60" i="5" a="1"/>
  <c r="Y60" i="5" a="1"/>
  <c r="AG60" i="5" a="1"/>
  <c r="AO60" i="5" a="1"/>
  <c r="AW60" i="5" a="1"/>
  <c r="H61" i="5" a="1"/>
  <c r="P61" i="5" a="1"/>
  <c r="X61" i="5" a="1"/>
  <c r="AF61" i="5" a="1"/>
  <c r="AN61" i="5" a="1"/>
  <c r="AV61" i="5" a="1"/>
  <c r="S60" i="5" a="1"/>
  <c r="AY60" i="5" a="1"/>
  <c r="AP61" i="5" a="1"/>
  <c r="Q47" i="5" a="1"/>
  <c r="AR56" i="5" a="1"/>
  <c r="D60" i="5" a="1"/>
  <c r="AH46" i="5" a="1"/>
  <c r="O49" i="5" a="1"/>
  <c r="AR53" i="5" a="1"/>
  <c r="AP54" i="5" a="1"/>
  <c r="M55" i="5" a="1"/>
  <c r="AH55" i="5" a="1"/>
  <c r="G56" i="5" a="1"/>
  <c r="AN56" i="5" a="1"/>
  <c r="E57" i="5" a="1"/>
  <c r="S57" i="5" a="1"/>
  <c r="AG57" i="5" a="1"/>
  <c r="M58" i="5" a="1"/>
  <c r="AA58" i="5" a="1"/>
  <c r="AO58" i="5" a="1"/>
  <c r="AG61" i="5" a="1"/>
  <c r="AW61" i="5" a="1"/>
  <c r="K60" i="5" a="1"/>
  <c r="AQ60" i="5" a="1"/>
  <c r="AH61" i="5" a="1"/>
  <c r="AU49" i="5" a="1"/>
  <c r="L56" i="5" a="1"/>
  <c r="AE58" i="5" a="1"/>
  <c r="AJ60" i="5" a="1"/>
  <c r="AY61" i="5" a="1"/>
  <c r="AP46" i="5" a="1"/>
  <c r="W49" i="5" a="1"/>
  <c r="AC51" i="5" a="1"/>
  <c r="AR52" i="5" a="1"/>
  <c r="AY53" i="5" a="1"/>
  <c r="P55" i="5" a="1"/>
  <c r="AJ55" i="5" a="1"/>
  <c r="H56" i="5" a="1"/>
  <c r="Y56" i="5" a="1"/>
  <c r="F57" i="5" a="1"/>
  <c r="T57" i="5" a="1"/>
  <c r="AH57" i="5" a="1"/>
  <c r="AV57" i="5" a="1"/>
  <c r="N58" i="5" a="1"/>
  <c r="AB58" i="5" a="1"/>
  <c r="AP58" i="5" a="1"/>
  <c r="AZ58" i="5" a="1"/>
  <c r="K59" i="5" a="1"/>
  <c r="S59" i="5" a="1"/>
  <c r="AA59" i="5" a="1"/>
  <c r="AI59" i="5" a="1"/>
  <c r="AQ59" i="5" a="1"/>
  <c r="AY59" i="5" a="1"/>
  <c r="J60" i="5" a="1"/>
  <c r="R60" i="5" a="1"/>
  <c r="Z60" i="5" a="1"/>
  <c r="AH60" i="5" a="1"/>
  <c r="AP60" i="5" a="1"/>
  <c r="AX60" i="5" a="1"/>
  <c r="I61" i="5" a="1"/>
  <c r="Q61" i="5" a="1"/>
  <c r="Y61" i="5" a="1"/>
  <c r="AO61" i="5" a="1"/>
  <c r="AQ58" i="5" a="1"/>
  <c r="AI60" i="5" a="1"/>
  <c r="R61" i="5" a="1"/>
  <c r="AX61" i="5" a="1"/>
  <c r="AD56" i="5" a="1"/>
  <c r="AS59" i="5" a="1"/>
  <c r="AX46" i="5" a="1"/>
  <c r="AE49" i="5" a="1"/>
  <c r="AQ54" i="5" a="1"/>
  <c r="Q55" i="5" a="1"/>
  <c r="AK55" i="5" a="1"/>
  <c r="AA56" i="5" a="1"/>
  <c r="AO56" i="5" a="1"/>
  <c r="G57" i="5" a="1"/>
  <c r="U57" i="5" a="1"/>
  <c r="AI57" i="5" a="1"/>
  <c r="AW57" i="5" a="1"/>
  <c r="AC58" i="5" a="1"/>
  <c r="Z61" i="5" a="1"/>
  <c r="AB60" i="5" a="1"/>
  <c r="I47" i="5" a="1"/>
  <c r="AM49" i="5" a="1"/>
  <c r="AK51" i="5" a="1"/>
  <c r="AZ52" i="5" a="1"/>
  <c r="AZ53" i="5" a="1"/>
  <c r="AS54" i="5" a="1"/>
  <c r="AN55" i="5" a="1"/>
  <c r="I56" i="5" a="1"/>
  <c r="AB56" i="5" a="1"/>
  <c r="AP56" i="5" a="1"/>
  <c r="V57" i="5" a="1"/>
  <c r="AJ57" i="5" a="1"/>
  <c r="AX57" i="5" a="1"/>
  <c r="O58" i="5" a="1"/>
  <c r="AD58" i="5" a="1"/>
  <c r="AR58" i="5" a="1"/>
  <c r="D59" i="5" a="1"/>
  <c r="L59" i="5" a="1"/>
  <c r="T59" i="5" a="1"/>
  <c r="AB59" i="5" a="1"/>
  <c r="AJ59" i="5" a="1"/>
  <c r="AR59" i="5" a="1"/>
  <c r="AZ59" i="5" a="1"/>
  <c r="AA60" i="5" a="1"/>
  <c r="J61" i="5" a="1"/>
  <c r="J54" i="5" a="1"/>
  <c r="AY57" i="5" a="1"/>
  <c r="I57" i="5" a="1"/>
  <c r="AK59" i="5" a="1"/>
  <c r="AA61" i="5" a="1"/>
  <c r="AG47" i="5" a="1"/>
  <c r="N50" i="5" a="1"/>
  <c r="K54" i="5" a="1"/>
  <c r="AX54" i="5" a="1"/>
  <c r="U55" i="5" a="1"/>
  <c r="AP55" i="5" a="1"/>
  <c r="N56" i="5" a="1"/>
  <c r="AE56" i="5" a="1"/>
  <c r="AS56" i="5" a="1"/>
  <c r="J57" i="5" a="1"/>
  <c r="X57" i="5" a="1"/>
  <c r="AM57" i="5" a="1"/>
  <c r="D58" i="5" a="1"/>
  <c r="R58" i="5" a="1"/>
  <c r="AF58" i="5" a="1"/>
  <c r="AJ61" i="5" a="1"/>
  <c r="AZ61" i="5" a="1"/>
  <c r="X59" i="5" a="1"/>
  <c r="G60" i="5" a="1"/>
  <c r="N61" i="5" a="1"/>
  <c r="W56" i="5" a="1"/>
  <c r="H57" i="5" a="1"/>
  <c r="K53" i="5" a="1"/>
  <c r="U59" i="5" a="1"/>
  <c r="AQ61" i="5" a="1"/>
  <c r="C46" i="5" a="1"/>
  <c r="C54" i="5" a="1"/>
  <c r="C55" i="5" a="1"/>
  <c r="C56" i="5" a="1"/>
  <c r="C50" i="5" a="1"/>
  <c r="C51" i="5" a="1"/>
  <c r="C60" i="5" a="1"/>
  <c r="C47" i="5" a="1"/>
  <c r="C48" i="5" a="1"/>
  <c r="C49" i="5" a="1"/>
  <c r="C58" i="5" a="1"/>
  <c r="C59" i="5" a="1"/>
  <c r="C52" i="5" a="1"/>
  <c r="C57" i="5" a="1"/>
  <c r="C53" i="5" a="1"/>
  <c r="C61" i="5" a="1"/>
  <c r="C45" i="5" a="1"/>
  <c r="AP24" i="5" a="1"/>
  <c r="AX24" i="5" a="1"/>
  <c r="AU25" i="5" a="1"/>
  <c r="AR26" i="5" a="1"/>
  <c r="AZ26" i="5" a="1"/>
  <c r="AW27" i="5" a="1"/>
  <c r="AT28" i="5" a="1"/>
  <c r="AQ29" i="5" a="1"/>
  <c r="AY29" i="5" a="1"/>
  <c r="AV30" i="5" a="1"/>
  <c r="AS31" i="5" a="1"/>
  <c r="AP32" i="5" a="1"/>
  <c r="AX32" i="5" a="1"/>
  <c r="AU33" i="5" a="1"/>
  <c r="AR34" i="5" a="1"/>
  <c r="AZ34" i="5" a="1"/>
  <c r="AW35" i="5" a="1"/>
  <c r="AT36" i="5" a="1"/>
  <c r="AQ37" i="5" a="1"/>
  <c r="AY37" i="5" a="1"/>
  <c r="AV38" i="5" a="1"/>
  <c r="AS39" i="5" a="1"/>
  <c r="AP40" i="5" a="1"/>
  <c r="AX40" i="5" a="1"/>
  <c r="AY32" i="5" a="1"/>
  <c r="AS34" i="5" a="1"/>
  <c r="AP35" i="5" a="1"/>
  <c r="AU36" i="5" a="1"/>
  <c r="AR37" i="5" a="1"/>
  <c r="AZ37" i="5" a="1"/>
  <c r="AT39" i="5" a="1"/>
  <c r="AQ40" i="5" a="1"/>
  <c r="AY40" i="5" a="1"/>
  <c r="AZ40" i="5" a="1"/>
  <c r="AT37" i="5" a="1"/>
  <c r="AS40" i="5" a="1"/>
  <c r="AP37" i="5" a="1"/>
  <c r="AT31" i="5" a="1"/>
  <c r="AW39" i="5" a="1"/>
  <c r="AQ24" i="5" a="1"/>
  <c r="AY24" i="5" a="1"/>
  <c r="AV25" i="5" a="1"/>
  <c r="AS26" i="5" a="1"/>
  <c r="AP27" i="5" a="1"/>
  <c r="AX27" i="5" a="1"/>
  <c r="AU28" i="5" a="1"/>
  <c r="AR29" i="5" a="1"/>
  <c r="AZ29" i="5" a="1"/>
  <c r="AW30" i="5" a="1"/>
  <c r="AQ32" i="5" a="1"/>
  <c r="AV33" i="5" a="1"/>
  <c r="AX35" i="5" a="1"/>
  <c r="AW38" i="5" a="1"/>
  <c r="AQ38" i="5" a="1"/>
  <c r="AT40" i="5" a="1"/>
  <c r="AQ35" i="5" a="1"/>
  <c r="AZ38" i="5" a="1"/>
  <c r="AZ39" i="5" a="1"/>
  <c r="AR24" i="5" a="1"/>
  <c r="AZ24" i="5" a="1"/>
  <c r="AW25" i="5" a="1"/>
  <c r="AT26" i="5" a="1"/>
  <c r="AQ27" i="5" a="1"/>
  <c r="AY27" i="5" a="1"/>
  <c r="AV28" i="5" a="1"/>
  <c r="AS29" i="5" a="1"/>
  <c r="AP30" i="5" a="1"/>
  <c r="AX30" i="5" a="1"/>
  <c r="AU31" i="5" a="1"/>
  <c r="AR32" i="5" a="1"/>
  <c r="AZ32" i="5" a="1"/>
  <c r="AW33" i="5" a="1"/>
  <c r="AT34" i="5" a="1"/>
  <c r="AY35" i="5" a="1"/>
  <c r="AV36" i="5" a="1"/>
  <c r="AS37" i="5" a="1"/>
  <c r="AP38" i="5" a="1"/>
  <c r="AX38" i="5" a="1"/>
  <c r="AU39" i="5" a="1"/>
  <c r="AR40" i="5" a="1"/>
  <c r="AY38" i="5" a="1"/>
  <c r="AV31" i="5" a="1"/>
  <c r="AZ35" i="5" a="1"/>
  <c r="AS24" i="5" a="1"/>
  <c r="AP25" i="5" a="1"/>
  <c r="AX25" i="5" a="1"/>
  <c r="AU26" i="5" a="1"/>
  <c r="AR27" i="5" a="1"/>
  <c r="AZ27" i="5" a="1"/>
  <c r="AW28" i="5" a="1"/>
  <c r="AT29" i="5" a="1"/>
  <c r="AQ30" i="5" a="1"/>
  <c r="AY30" i="5" a="1"/>
  <c r="AS32" i="5" a="1"/>
  <c r="AP33" i="5" a="1"/>
  <c r="AX33" i="5" a="1"/>
  <c r="AU34" i="5" a="1"/>
  <c r="AR35" i="5" a="1"/>
  <c r="AW36" i="5" a="1"/>
  <c r="AV39" i="5" a="1"/>
  <c r="AW40" i="5" a="1"/>
  <c r="AZ30" i="5" a="1"/>
  <c r="AP36" i="5" a="1"/>
  <c r="AT24" i="5" a="1"/>
  <c r="AQ25" i="5" a="1"/>
  <c r="AY25" i="5" a="1"/>
  <c r="AV26" i="5" a="1"/>
  <c r="AS27" i="5" a="1"/>
  <c r="AP28" i="5" a="1"/>
  <c r="AX28" i="5" a="1"/>
  <c r="AU29" i="5" a="1"/>
  <c r="AR30" i="5" a="1"/>
  <c r="AW31" i="5" a="1"/>
  <c r="AT32" i="5" a="1"/>
  <c r="AQ33" i="5" a="1"/>
  <c r="AY33" i="5" a="1"/>
  <c r="AV34" i="5" a="1"/>
  <c r="AS35" i="5" a="1"/>
  <c r="AX36" i="5" a="1"/>
  <c r="AU37" i="5" a="1"/>
  <c r="AU38" i="5" a="1"/>
  <c r="AP31" i="5" a="1"/>
  <c r="AW34" i="5" a="1"/>
  <c r="AQ36" i="5" a="1"/>
  <c r="AV37" i="5" a="1"/>
  <c r="AP39" i="5" a="1"/>
  <c r="AX39" i="5" a="1"/>
  <c r="AU40" i="5" a="1"/>
  <c r="AV35" i="5" a="1"/>
  <c r="AR39" i="5" a="1"/>
  <c r="AU24" i="5" a="1"/>
  <c r="AR25" i="5" a="1"/>
  <c r="AZ25" i="5" a="1"/>
  <c r="AW26" i="5" a="1"/>
  <c r="AT27" i="5" a="1"/>
  <c r="AQ28" i="5" a="1"/>
  <c r="AY28" i="5" a="1"/>
  <c r="AV29" i="5" a="1"/>
  <c r="AS30" i="5" a="1"/>
  <c r="AX31" i="5" a="1"/>
  <c r="AU32" i="5" a="1"/>
  <c r="AR33" i="5" a="1"/>
  <c r="AZ33" i="5" a="1"/>
  <c r="AT35" i="5" a="1"/>
  <c r="AY36" i="5" a="1"/>
  <c r="AS38" i="5" a="1"/>
  <c r="AS36" i="5" a="1"/>
  <c r="AT25" i="5" a="1"/>
  <c r="AQ34" i="5" a="1"/>
  <c r="AV24" i="5" a="1"/>
  <c r="AS25" i="5" a="1"/>
  <c r="AP26" i="5" a="1"/>
  <c r="AX26" i="5" a="1"/>
  <c r="AU27" i="5" a="1"/>
  <c r="AR28" i="5" a="1"/>
  <c r="AZ28" i="5" a="1"/>
  <c r="AW29" i="5" a="1"/>
  <c r="AT30" i="5" a="1"/>
  <c r="AQ31" i="5" a="1"/>
  <c r="AY31" i="5" a="1"/>
  <c r="AV32" i="5" a="1"/>
  <c r="AS33" i="5" a="1"/>
  <c r="AP34" i="5" a="1"/>
  <c r="AX34" i="5" a="1"/>
  <c r="AU35" i="5" a="1"/>
  <c r="AR36" i="5" a="1"/>
  <c r="AZ36" i="5" a="1"/>
  <c r="AW37" i="5" a="1"/>
  <c r="AT38" i="5" a="1"/>
  <c r="AQ39" i="5" a="1"/>
  <c r="AY39" i="5" a="1"/>
  <c r="AV40" i="5" a="1"/>
  <c r="AW24" i="5" a="1"/>
  <c r="AY26" i="5" a="1"/>
  <c r="AV27" i="5" a="1"/>
  <c r="AS28" i="5" a="1"/>
  <c r="AP29" i="5" a="1"/>
  <c r="AX29" i="5" a="1"/>
  <c r="AU30" i="5" a="1"/>
  <c r="AR31" i="5" a="1"/>
  <c r="AZ31" i="5" a="1"/>
  <c r="AT33" i="5" a="1"/>
  <c r="AY34" i="5" a="1"/>
  <c r="AX37" i="5" a="1"/>
  <c r="AQ26" i="5" a="1"/>
  <c r="AW32" i="5" a="1"/>
  <c r="AR38" i="5" a="1"/>
  <c r="AE24" i="5" a="1"/>
  <c r="AM24" i="5" a="1"/>
  <c r="AJ25" i="5" a="1"/>
  <c r="AG26" i="5" a="1"/>
  <c r="AO26" i="5" a="1"/>
  <c r="AL27" i="5" a="1"/>
  <c r="AI28" i="5" a="1"/>
  <c r="AF29" i="5" a="1"/>
  <c r="AN29" i="5" a="1"/>
  <c r="AK30" i="5" a="1"/>
  <c r="AH31" i="5" a="1"/>
  <c r="AE32" i="5" a="1"/>
  <c r="AM32" i="5" a="1"/>
  <c r="AJ33" i="5" a="1"/>
  <c r="AG34" i="5" a="1"/>
  <c r="AO34" i="5" a="1"/>
  <c r="AL35" i="5" a="1"/>
  <c r="AI36" i="5" a="1"/>
  <c r="AF37" i="5" a="1"/>
  <c r="AN37" i="5" a="1"/>
  <c r="AK38" i="5" a="1"/>
  <c r="AH39" i="5" a="1"/>
  <c r="AE40" i="5" a="1"/>
  <c r="AM40" i="5" a="1"/>
  <c r="AE33" i="5" a="1"/>
  <c r="AI37" i="5" a="1"/>
  <c r="AG40" i="5" a="1"/>
  <c r="AI33" i="5" a="1"/>
  <c r="AF24" i="5" a="1"/>
  <c r="AN24" i="5" a="1"/>
  <c r="AK25" i="5" a="1"/>
  <c r="AH26" i="5" a="1"/>
  <c r="AE27" i="5" a="1"/>
  <c r="AM27" i="5" a="1"/>
  <c r="AJ28" i="5" a="1"/>
  <c r="AG29" i="5" a="1"/>
  <c r="AO29" i="5" a="1"/>
  <c r="AL30" i="5" a="1"/>
  <c r="AI31" i="5" a="1"/>
  <c r="AF32" i="5" a="1"/>
  <c r="AN32" i="5" a="1"/>
  <c r="AK33" i="5" a="1"/>
  <c r="AH34" i="5" a="1"/>
  <c r="AE35" i="5" a="1"/>
  <c r="AM35" i="5" a="1"/>
  <c r="AJ36" i="5" a="1"/>
  <c r="AG37" i="5" a="1"/>
  <c r="AO37" i="5" a="1"/>
  <c r="AL38" i="5" a="1"/>
  <c r="AI39" i="5" a="1"/>
  <c r="AF40" i="5" a="1"/>
  <c r="AN40" i="5" a="1"/>
  <c r="AN30" i="5" a="1"/>
  <c r="AL36" i="5" a="1"/>
  <c r="AM37" i="5" a="1"/>
  <c r="AO40" i="5" a="1"/>
  <c r="AH40" i="5" a="1"/>
  <c r="AL40" i="5" a="1"/>
  <c r="AG24" i="5" a="1"/>
  <c r="AO24" i="5" a="1"/>
  <c r="AL25" i="5" a="1"/>
  <c r="AI26" i="5" a="1"/>
  <c r="AF27" i="5" a="1"/>
  <c r="AN27" i="5" a="1"/>
  <c r="AK28" i="5" a="1"/>
  <c r="AH29" i="5" a="1"/>
  <c r="AE30" i="5" a="1"/>
  <c r="AM30" i="5" a="1"/>
  <c r="AJ31" i="5" a="1"/>
  <c r="AG32" i="5" a="1"/>
  <c r="AO32" i="5" a="1"/>
  <c r="AL33" i="5" a="1"/>
  <c r="AI34" i="5" a="1"/>
  <c r="AF35" i="5" a="1"/>
  <c r="AN35" i="5" a="1"/>
  <c r="AK36" i="5" a="1"/>
  <c r="AH37" i="5" a="1"/>
  <c r="AE38" i="5" a="1"/>
  <c r="AM38" i="5" a="1"/>
  <c r="AH32" i="5" a="1"/>
  <c r="AG35" i="5" a="1"/>
  <c r="AK39" i="5" a="1"/>
  <c r="AK31" i="5" a="1"/>
  <c r="AH24" i="5" a="1"/>
  <c r="AE25" i="5" a="1"/>
  <c r="AM25" i="5" a="1"/>
  <c r="AJ26" i="5" a="1"/>
  <c r="AG27" i="5" a="1"/>
  <c r="AO27" i="5" a="1"/>
  <c r="AL28" i="5" a="1"/>
  <c r="AI29" i="5" a="1"/>
  <c r="AF30" i="5" a="1"/>
  <c r="AM33" i="5" a="1"/>
  <c r="AJ34" i="5" a="1"/>
  <c r="AO35" i="5" a="1"/>
  <c r="AF38" i="5" a="1"/>
  <c r="AO39" i="5" a="1"/>
  <c r="AJ40" i="5" a="1"/>
  <c r="AM29" i="5" a="1"/>
  <c r="AI24" i="5" a="1"/>
  <c r="AF25" i="5" a="1"/>
  <c r="AN25" i="5" a="1"/>
  <c r="AK26" i="5" a="1"/>
  <c r="AH27" i="5" a="1"/>
  <c r="AE28" i="5" a="1"/>
  <c r="AM28" i="5" a="1"/>
  <c r="AJ29" i="5" a="1"/>
  <c r="AG30" i="5" a="1"/>
  <c r="AO30" i="5" a="1"/>
  <c r="AL31" i="5" a="1"/>
  <c r="AI32" i="5" a="1"/>
  <c r="AF33" i="5" a="1"/>
  <c r="AN33" i="5" a="1"/>
  <c r="AK34" i="5" a="1"/>
  <c r="AH35" i="5" a="1"/>
  <c r="AE36" i="5" a="1"/>
  <c r="AM36" i="5" a="1"/>
  <c r="AJ37" i="5" a="1"/>
  <c r="AG38" i="5" a="1"/>
  <c r="AO38" i="5" a="1"/>
  <c r="AL39" i="5" a="1"/>
  <c r="AI40" i="5" a="1"/>
  <c r="AE39" i="5" a="1"/>
  <c r="AN39" i="5" a="1"/>
  <c r="AI25" i="5" a="1"/>
  <c r="AH28" i="5" a="1"/>
  <c r="AG31" i="5" a="1"/>
  <c r="AL32" i="5" a="1"/>
  <c r="AK35" i="5" a="1"/>
  <c r="AM39" i="5" a="1"/>
  <c r="AK27" i="5" a="1"/>
  <c r="AJ24" i="5" a="1"/>
  <c r="AG25" i="5" a="1"/>
  <c r="AO25" i="5" a="1"/>
  <c r="AL26" i="5" a="1"/>
  <c r="AI27" i="5" a="1"/>
  <c r="AF28" i="5" a="1"/>
  <c r="AN28" i="5" a="1"/>
  <c r="AK29" i="5" a="1"/>
  <c r="AH30" i="5" a="1"/>
  <c r="AE31" i="5" a="1"/>
  <c r="AM31" i="5" a="1"/>
  <c r="AJ32" i="5" a="1"/>
  <c r="AG33" i="5" a="1"/>
  <c r="AO33" i="5" a="1"/>
  <c r="AL34" i="5" a="1"/>
  <c r="AI35" i="5" a="1"/>
  <c r="AF36" i="5" a="1"/>
  <c r="AN36" i="5" a="1"/>
  <c r="AK37" i="5" a="1"/>
  <c r="AH38" i="5" a="1"/>
  <c r="AK40" i="5" a="1"/>
  <c r="AF26" i="5" a="1"/>
  <c r="AE29" i="5" a="1"/>
  <c r="AO31" i="5" a="1"/>
  <c r="AN34" i="5" a="1"/>
  <c r="AG39" i="5" a="1"/>
  <c r="AI38" i="5" a="1"/>
  <c r="AH36" i="5" a="1"/>
  <c r="AK24" i="5" a="1"/>
  <c r="AH25" i="5" a="1"/>
  <c r="AE26" i="5" a="1"/>
  <c r="AM26" i="5" a="1"/>
  <c r="AJ27" i="5" a="1"/>
  <c r="AG28" i="5" a="1"/>
  <c r="AO28" i="5" a="1"/>
  <c r="AL29" i="5" a="1"/>
  <c r="AI30" i="5" a="1"/>
  <c r="AF31" i="5" a="1"/>
  <c r="AN31" i="5" a="1"/>
  <c r="AK32" i="5" a="1"/>
  <c r="AH33" i="5" a="1"/>
  <c r="AE34" i="5" a="1"/>
  <c r="AM34" i="5" a="1"/>
  <c r="AJ35" i="5" a="1"/>
  <c r="AG36" i="5" a="1"/>
  <c r="AO36" i="5" a="1"/>
  <c r="AL37" i="5" a="1"/>
  <c r="AF39" i="5" a="1"/>
  <c r="AN26" i="5" a="1"/>
  <c r="AJ30" i="5" a="1"/>
  <c r="AE37" i="5" a="1"/>
  <c r="AL24" i="5" a="1"/>
  <c r="AJ39" i="5" a="1"/>
  <c r="AN38" i="5" a="1"/>
  <c r="AF34" i="5" a="1"/>
  <c r="AJ38" i="5" a="1"/>
  <c r="R24" i="5" a="1"/>
  <c r="Z24" i="5" a="1"/>
  <c r="U25" i="5" a="1"/>
  <c r="AC25" i="5" a="1"/>
  <c r="X26" i="5" a="1"/>
  <c r="S27" i="5" a="1"/>
  <c r="AA27" i="5" a="1"/>
  <c r="V28" i="5" a="1"/>
  <c r="AD28" i="5" a="1"/>
  <c r="Y29" i="5" a="1"/>
  <c r="T30" i="5" a="1"/>
  <c r="AB30" i="5" a="1"/>
  <c r="W31" i="5" a="1"/>
  <c r="R32" i="5" a="1"/>
  <c r="Z32" i="5" a="1"/>
  <c r="U33" i="5" a="1"/>
  <c r="AC33" i="5" a="1"/>
  <c r="X34" i="5" a="1"/>
  <c r="S35" i="5" a="1"/>
  <c r="AA35" i="5" a="1"/>
  <c r="V36" i="5" a="1"/>
  <c r="AD36" i="5" a="1"/>
  <c r="Y37" i="5" a="1"/>
  <c r="T38" i="5" a="1"/>
  <c r="AB38" i="5" a="1"/>
  <c r="W39" i="5" a="1"/>
  <c r="R40" i="5" a="1"/>
  <c r="AD33" i="5" a="1"/>
  <c r="W36" i="5" a="1"/>
  <c r="X39" i="5" a="1"/>
  <c r="AD30" i="5" a="1"/>
  <c r="AC35" i="5" a="1"/>
  <c r="T40" i="5" a="1"/>
  <c r="AD35" i="5" a="1"/>
  <c r="Z39" i="5" a="1"/>
  <c r="U36" i="5" a="1"/>
  <c r="V33" i="5" a="1"/>
  <c r="Y31" i="5" a="1"/>
  <c r="Z34" i="5" a="1"/>
  <c r="AD38" i="5" a="1"/>
  <c r="V35" i="5" a="1"/>
  <c r="R39" i="5" a="1"/>
  <c r="S30" i="5" a="1"/>
  <c r="S24" i="5" a="1"/>
  <c r="AA24" i="5" a="1"/>
  <c r="V25" i="5" a="1"/>
  <c r="AD25" i="5" a="1"/>
  <c r="Y26" i="5" a="1"/>
  <c r="T27" i="5" a="1"/>
  <c r="AB27" i="5" a="1"/>
  <c r="W28" i="5" a="1"/>
  <c r="R29" i="5" a="1"/>
  <c r="Z29" i="5" a="1"/>
  <c r="U30" i="5" a="1"/>
  <c r="AC30" i="5" a="1"/>
  <c r="X31" i="5" a="1"/>
  <c r="S32" i="5" a="1"/>
  <c r="AA32" i="5" a="1"/>
  <c r="Y34" i="5" a="1"/>
  <c r="T35" i="5" a="1"/>
  <c r="R37" i="5" a="1"/>
  <c r="AC38" i="5" a="1"/>
  <c r="AB32" i="5" a="1"/>
  <c r="U35" i="5" a="1"/>
  <c r="Y39" i="5" a="1"/>
  <c r="Y36" i="5" a="1"/>
  <c r="U40" i="5" a="1"/>
  <c r="AD31" i="5" a="1"/>
  <c r="S37" i="5" a="1"/>
  <c r="X29" i="5" a="1"/>
  <c r="T24" i="5" a="1"/>
  <c r="AB24" i="5" a="1"/>
  <c r="W25" i="5" a="1"/>
  <c r="R26" i="5" a="1"/>
  <c r="Z26" i="5" a="1"/>
  <c r="U27" i="5" a="1"/>
  <c r="AC27" i="5" a="1"/>
  <c r="X28" i="5" a="1"/>
  <c r="S29" i="5" a="1"/>
  <c r="AA29" i="5" a="1"/>
  <c r="T32" i="5" a="1"/>
  <c r="R34" i="5" a="1"/>
  <c r="AA37" i="5" a="1"/>
  <c r="T37" i="5" a="1"/>
  <c r="V31" i="5" a="1"/>
  <c r="Y40" i="5" a="1"/>
  <c r="U32" i="5" a="1"/>
  <c r="AC36" i="5" a="1"/>
  <c r="U24" i="5" a="1"/>
  <c r="AC24" i="5" a="1"/>
  <c r="X25" i="5" a="1"/>
  <c r="S26" i="5" a="1"/>
  <c r="AA26" i="5" a="1"/>
  <c r="V27" i="5" a="1"/>
  <c r="AD27" i="5" a="1"/>
  <c r="Y28" i="5" a="1"/>
  <c r="T29" i="5" a="1"/>
  <c r="AB29" i="5" a="1"/>
  <c r="W30" i="5" a="1"/>
  <c r="R31" i="5" a="1"/>
  <c r="Z31" i="5" a="1"/>
  <c r="AC32" i="5" a="1"/>
  <c r="X33" i="5" a="1"/>
  <c r="AA34" i="5" a="1"/>
  <c r="W38" i="5" a="1"/>
  <c r="X37" i="5" a="1"/>
  <c r="AD39" i="5" a="1"/>
  <c r="R33" i="5" a="1"/>
  <c r="AC31" i="5" a="1"/>
  <c r="T36" i="5" a="1"/>
  <c r="AC39" i="5" a="1"/>
  <c r="Z27" i="5" a="1"/>
  <c r="W34" i="5" a="1"/>
  <c r="V24" i="5" a="1"/>
  <c r="AD24" i="5" a="1"/>
  <c r="Y25" i="5" a="1"/>
  <c r="T26" i="5" a="1"/>
  <c r="AB26" i="5" a="1"/>
  <c r="W27" i="5" a="1"/>
  <c r="R28" i="5" a="1"/>
  <c r="Z28" i="5" a="1"/>
  <c r="U29" i="5" a="1"/>
  <c r="AC29" i="5" a="1"/>
  <c r="X30" i="5" a="1"/>
  <c r="S31" i="5" a="1"/>
  <c r="AA31" i="5" a="1"/>
  <c r="V32" i="5" a="1"/>
  <c r="AD32" i="5" a="1"/>
  <c r="Y33" i="5" a="1"/>
  <c r="T34" i="5" a="1"/>
  <c r="AB34" i="5" a="1"/>
  <c r="W35" i="5" a="1"/>
  <c r="R36" i="5" a="1"/>
  <c r="Z36" i="5" a="1"/>
  <c r="U37" i="5" a="1"/>
  <c r="AC37" i="5" a="1"/>
  <c r="X38" i="5" a="1"/>
  <c r="S39" i="5" a="1"/>
  <c r="AA39" i="5" a="1"/>
  <c r="V40" i="5" a="1"/>
  <c r="AD40" i="5" a="1"/>
  <c r="U34" i="5" a="1"/>
  <c r="X35" i="5" a="1"/>
  <c r="S36" i="5" a="1"/>
  <c r="V37" i="5" a="1"/>
  <c r="AD37" i="5" a="1"/>
  <c r="Y38" i="5" a="1"/>
  <c r="AB39" i="5" a="1"/>
  <c r="W40" i="5" a="1"/>
  <c r="R30" i="5" a="1"/>
  <c r="S33" i="5" a="1"/>
  <c r="AD34" i="5" a="1"/>
  <c r="R38" i="5" a="1"/>
  <c r="X40" i="5" a="1"/>
  <c r="T25" i="5" a="1"/>
  <c r="Z35" i="5" a="1"/>
  <c r="W32" i="5" a="1"/>
  <c r="Z30" i="5" a="1"/>
  <c r="V34" i="5" a="1"/>
  <c r="Z38" i="5" a="1"/>
  <c r="W26" i="5" a="1"/>
  <c r="Y32" i="5" a="1"/>
  <c r="W24" i="5" a="1"/>
  <c r="R25" i="5" a="1"/>
  <c r="Z25" i="5" a="1"/>
  <c r="U26" i="5" a="1"/>
  <c r="AC26" i="5" a="1"/>
  <c r="X27" i="5" a="1"/>
  <c r="S28" i="5" a="1"/>
  <c r="AA28" i="5" a="1"/>
  <c r="V29" i="5" a="1"/>
  <c r="AD29" i="5" a="1"/>
  <c r="Y30" i="5" a="1"/>
  <c r="T31" i="5" a="1"/>
  <c r="AB31" i="5" a="1"/>
  <c r="Z33" i="5" a="1"/>
  <c r="AC34" i="5" a="1"/>
  <c r="AA36" i="5" a="1"/>
  <c r="T39" i="5" a="1"/>
  <c r="X32" i="5" a="1"/>
  <c r="Y35" i="5" a="1"/>
  <c r="U39" i="5" a="1"/>
  <c r="AB25" i="5" a="1"/>
  <c r="R35" i="5" a="1"/>
  <c r="AB36" i="5" a="1"/>
  <c r="U28" i="5" a="1"/>
  <c r="AB33" i="5" a="1"/>
  <c r="V39" i="5" a="1"/>
  <c r="X24" i="5" a="1"/>
  <c r="S25" i="5" a="1"/>
  <c r="AA25" i="5" a="1"/>
  <c r="V26" i="5" a="1"/>
  <c r="AD26" i="5" a="1"/>
  <c r="Y27" i="5" a="1"/>
  <c r="T28" i="5" a="1"/>
  <c r="AB28" i="5" a="1"/>
  <c r="W29" i="5" a="1"/>
  <c r="U31" i="5" a="1"/>
  <c r="AA33" i="5" a="1"/>
  <c r="W37" i="5" a="1"/>
  <c r="R27" i="5" a="1"/>
  <c r="AA30" i="5" a="1"/>
  <c r="AA38" i="5" a="1"/>
  <c r="Y24" i="5" a="1"/>
  <c r="T33" i="5" a="1"/>
  <c r="Z40" i="5" a="1"/>
  <c r="AB35" i="5" a="1"/>
  <c r="Z37" i="5" a="1"/>
  <c r="U38" i="5" a="1"/>
  <c r="S40" i="5" a="1"/>
  <c r="AA40" i="5" a="1"/>
  <c r="V30" i="5" a="1"/>
  <c r="W33" i="5" a="1"/>
  <c r="X36" i="5" a="1"/>
  <c r="V38" i="5" a="1"/>
  <c r="AB40" i="5" a="1"/>
  <c r="S34" i="5" a="1"/>
  <c r="AB37" i="5" a="1"/>
  <c r="AC40" i="5" a="1"/>
  <c r="AC28" i="5" a="1"/>
  <c r="S38" i="5" a="1"/>
  <c r="D24" i="5" a="1"/>
  <c r="L24" i="5" a="1"/>
  <c r="F25" i="5" a="1"/>
  <c r="N25" i="5" a="1"/>
  <c r="H26" i="5" a="1"/>
  <c r="P26" i="5" a="1"/>
  <c r="J27" i="5" a="1"/>
  <c r="D28" i="5" a="1"/>
  <c r="L28" i="5" a="1"/>
  <c r="F29" i="5" a="1"/>
  <c r="N29" i="5" a="1"/>
  <c r="H30" i="5" a="1"/>
  <c r="P30" i="5" a="1"/>
  <c r="J31" i="5" a="1"/>
  <c r="D32" i="5" a="1"/>
  <c r="L32" i="5" a="1"/>
  <c r="F33" i="5" a="1"/>
  <c r="N33" i="5" a="1"/>
  <c r="H34" i="5" a="1"/>
  <c r="P34" i="5" a="1"/>
  <c r="J35" i="5" a="1"/>
  <c r="D36" i="5" a="1"/>
  <c r="L36" i="5" a="1"/>
  <c r="F37" i="5" a="1"/>
  <c r="N37" i="5" a="1"/>
  <c r="H38" i="5" a="1"/>
  <c r="P38" i="5" a="1"/>
  <c r="J39" i="5" a="1"/>
  <c r="D40" i="5" a="1"/>
  <c r="L40" i="5" a="1"/>
  <c r="Q36" i="5" a="1"/>
  <c r="O34" i="5" a="1"/>
  <c r="M28" i="5" a="1"/>
  <c r="Q30" i="5" a="1"/>
  <c r="E32" i="5" a="1"/>
  <c r="G33" i="5" a="1"/>
  <c r="O33" i="5" a="1"/>
  <c r="Q34" i="5" a="1"/>
  <c r="K35" i="5" a="1"/>
  <c r="M36" i="5" a="1"/>
  <c r="G37" i="5" a="1"/>
  <c r="I38" i="5" a="1"/>
  <c r="K39" i="5" a="1"/>
  <c r="E40" i="5" a="1"/>
  <c r="M40" i="5" a="1"/>
  <c r="F35" i="5" a="1"/>
  <c r="D38" i="5" a="1"/>
  <c r="H40" i="5" a="1"/>
  <c r="E38" i="5" a="1"/>
  <c r="O26" i="5" a="1"/>
  <c r="K32" i="5" a="1"/>
  <c r="K36" i="5" a="1"/>
  <c r="K40" i="5" a="1"/>
  <c r="E24" i="5" a="1"/>
  <c r="M24" i="5" a="1"/>
  <c r="G25" i="5" a="1"/>
  <c r="O25" i="5" a="1"/>
  <c r="I26" i="5" a="1"/>
  <c r="Q26" i="5" a="1"/>
  <c r="K27" i="5" a="1"/>
  <c r="E28" i="5" a="1"/>
  <c r="G29" i="5" a="1"/>
  <c r="O29" i="5" a="1"/>
  <c r="I30" i="5" a="1"/>
  <c r="K31" i="5" a="1"/>
  <c r="M32" i="5" a="1"/>
  <c r="I34" i="5" a="1"/>
  <c r="E36" i="5" a="1"/>
  <c r="O37" i="5" a="1"/>
  <c r="Q38" i="5" a="1"/>
  <c r="P36" i="5" a="1"/>
  <c r="I40" i="5" a="1"/>
  <c r="M29" i="5" a="1"/>
  <c r="O38" i="5" a="1"/>
  <c r="K30" i="5" a="1"/>
  <c r="E39" i="5" a="1"/>
  <c r="F39" i="5" a="1"/>
  <c r="G39" i="5" a="1"/>
  <c r="O30" i="5" a="1"/>
  <c r="F24" i="5" a="1"/>
  <c r="N24" i="5" a="1"/>
  <c r="H25" i="5" a="1"/>
  <c r="P25" i="5" a="1"/>
  <c r="J26" i="5" a="1"/>
  <c r="D27" i="5" a="1"/>
  <c r="L27" i="5" a="1"/>
  <c r="F28" i="5" a="1"/>
  <c r="N28" i="5" a="1"/>
  <c r="H29" i="5" a="1"/>
  <c r="P29" i="5" a="1"/>
  <c r="J30" i="5" a="1"/>
  <c r="D31" i="5" a="1"/>
  <c r="L31" i="5" a="1"/>
  <c r="F32" i="5" a="1"/>
  <c r="N32" i="5" a="1"/>
  <c r="H33" i="5" a="1"/>
  <c r="P33" i="5" a="1"/>
  <c r="J34" i="5" a="1"/>
  <c r="D35" i="5" a="1"/>
  <c r="L35" i="5" a="1"/>
  <c r="F36" i="5" a="1"/>
  <c r="N36" i="5" a="1"/>
  <c r="H37" i="5" a="1"/>
  <c r="P37" i="5" a="1"/>
  <c r="J38" i="5" a="1"/>
  <c r="D39" i="5" a="1"/>
  <c r="L39" i="5" a="1"/>
  <c r="F40" i="5" a="1"/>
  <c r="N40" i="5" a="1"/>
  <c r="Q29" i="5" a="1"/>
  <c r="G32" i="5" a="1"/>
  <c r="I33" i="5" a="1"/>
  <c r="Q33" i="5" a="1"/>
  <c r="E35" i="5" a="1"/>
  <c r="M35" i="5" a="1"/>
  <c r="G36" i="5" a="1"/>
  <c r="I37" i="5" a="1"/>
  <c r="Q37" i="5" a="1"/>
  <c r="G40" i="5" a="1"/>
  <c r="D34" i="5" a="1"/>
  <c r="H36" i="5" a="1"/>
  <c r="L38" i="5" a="1"/>
  <c r="P40" i="5" a="1"/>
  <c r="I36" i="5" a="1"/>
  <c r="Q40" i="5" a="1"/>
  <c r="K28" i="5" a="1"/>
  <c r="E33" i="5" a="1"/>
  <c r="Q35" i="5" a="1"/>
  <c r="Q39" i="5" a="1"/>
  <c r="M31" i="5" a="1"/>
  <c r="M39" i="5" a="1"/>
  <c r="N39" i="5" a="1"/>
  <c r="O39" i="5" a="1"/>
  <c r="E29" i="5" a="1"/>
  <c r="I39" i="5" a="1"/>
  <c r="G24" i="5" a="1"/>
  <c r="O24" i="5" a="1"/>
  <c r="I25" i="5" a="1"/>
  <c r="Q25" i="5" a="1"/>
  <c r="K26" i="5" a="1"/>
  <c r="E27" i="5" a="1"/>
  <c r="M27" i="5" a="1"/>
  <c r="G28" i="5" a="1"/>
  <c r="O28" i="5" a="1"/>
  <c r="I29" i="5" a="1"/>
  <c r="E31" i="5" a="1"/>
  <c r="O32" i="5" a="1"/>
  <c r="K34" i="5" a="1"/>
  <c r="O36" i="5" a="1"/>
  <c r="K38" i="5" a="1"/>
  <c r="O40" i="5" a="1"/>
  <c r="J37" i="5" a="1"/>
  <c r="M38" i="5" a="1"/>
  <c r="G30" i="5" a="1"/>
  <c r="N35" i="5" a="1"/>
  <c r="H24" i="5" a="1"/>
  <c r="P24" i="5" a="1"/>
  <c r="J25" i="5" a="1"/>
  <c r="D26" i="5" a="1"/>
  <c r="L26" i="5" a="1"/>
  <c r="F27" i="5" a="1"/>
  <c r="N27" i="5" a="1"/>
  <c r="H28" i="5" a="1"/>
  <c r="P28" i="5" a="1"/>
  <c r="J29" i="5" a="1"/>
  <c r="D30" i="5" a="1"/>
  <c r="L30" i="5" a="1"/>
  <c r="F31" i="5" a="1"/>
  <c r="N31" i="5" a="1"/>
  <c r="H32" i="5" a="1"/>
  <c r="P32" i="5" a="1"/>
  <c r="J33" i="5" a="1"/>
  <c r="L34" i="5" a="1"/>
  <c r="M37" i="5" a="1"/>
  <c r="M34" i="5" a="1"/>
  <c r="I24" i="5" a="1"/>
  <c r="Q24" i="5" a="1"/>
  <c r="K25" i="5" a="1"/>
  <c r="E26" i="5" a="1"/>
  <c r="M26" i="5" a="1"/>
  <c r="G27" i="5" a="1"/>
  <c r="O27" i="5" a="1"/>
  <c r="I28" i="5" a="1"/>
  <c r="Q28" i="5" a="1"/>
  <c r="K29" i="5" a="1"/>
  <c r="E30" i="5" a="1"/>
  <c r="M30" i="5" a="1"/>
  <c r="G31" i="5" a="1"/>
  <c r="O31" i="5" a="1"/>
  <c r="I32" i="5" a="1"/>
  <c r="Q32" i="5" a="1"/>
  <c r="K33" i="5" a="1"/>
  <c r="E34" i="5" a="1"/>
  <c r="G35" i="5" a="1"/>
  <c r="O35" i="5" a="1"/>
  <c r="K37" i="5" a="1"/>
  <c r="I35" i="5" a="1"/>
  <c r="P31" i="5" a="1"/>
  <c r="H35" i="5" a="1"/>
  <c r="D37" i="5" a="1"/>
  <c r="F38" i="5" a="1"/>
  <c r="H39" i="5" a="1"/>
  <c r="J40" i="5" a="1"/>
  <c r="K24" i="5" a="1"/>
  <c r="M25" i="5" a="1"/>
  <c r="I27" i="5" a="1"/>
  <c r="I31" i="5" a="1"/>
  <c r="M33" i="5" a="1"/>
  <c r="E37" i="5" a="1"/>
  <c r="J24" i="5" a="1"/>
  <c r="D25" i="5" a="1"/>
  <c r="L25" i="5" a="1"/>
  <c r="F26" i="5" a="1"/>
  <c r="N26" i="5" a="1"/>
  <c r="H27" i="5" a="1"/>
  <c r="P27" i="5" a="1"/>
  <c r="J28" i="5" a="1"/>
  <c r="D29" i="5" a="1"/>
  <c r="L29" i="5" a="1"/>
  <c r="F30" i="5" a="1"/>
  <c r="N30" i="5" a="1"/>
  <c r="H31" i="5" a="1"/>
  <c r="J32" i="5" a="1"/>
  <c r="D33" i="5" a="1"/>
  <c r="L33" i="5" a="1"/>
  <c r="F34" i="5" a="1"/>
  <c r="N34" i="5" a="1"/>
  <c r="P35" i="5" a="1"/>
  <c r="J36" i="5" a="1"/>
  <c r="L37" i="5" a="1"/>
  <c r="N38" i="5" a="1"/>
  <c r="P39" i="5" a="1"/>
  <c r="E25" i="5" a="1"/>
  <c r="G26" i="5" a="1"/>
  <c r="Q27" i="5" a="1"/>
  <c r="Q31" i="5" a="1"/>
  <c r="G34" i="5" a="1"/>
  <c r="G38" i="5" a="1"/>
  <c r="C29" i="5" a="1"/>
  <c r="C37" i="5" a="1"/>
  <c r="C38" i="5" a="1"/>
  <c r="C31" i="5" a="1"/>
  <c r="C32" i="5" a="1"/>
  <c r="C40" i="5" a="1"/>
  <c r="C36" i="5" a="1"/>
  <c r="C30" i="5" a="1"/>
  <c r="C39" i="5" a="1"/>
  <c r="C25" i="5" a="1"/>
  <c r="C33" i="5" a="1"/>
  <c r="C26" i="5" a="1"/>
  <c r="C34" i="5" a="1"/>
  <c r="C27" i="5" a="1"/>
  <c r="C35" i="5" a="1"/>
  <c r="C28" i="5" a="1"/>
  <c r="C24" i="5" a="1"/>
  <c r="D3" i="5" a="1"/>
  <c r="L3" i="5" a="1"/>
  <c r="T3" i="5" a="1"/>
  <c r="AB3" i="5" a="1"/>
  <c r="AJ3" i="5" a="1"/>
  <c r="AR3" i="5" a="1"/>
  <c r="AZ3" i="5" a="1"/>
  <c r="K4" i="5" a="1"/>
  <c r="S4" i="5" a="1"/>
  <c r="AA4" i="5" a="1"/>
  <c r="AI4" i="5" a="1"/>
  <c r="AQ4" i="5" a="1"/>
  <c r="AY4" i="5" a="1"/>
  <c r="J5" i="5" a="1"/>
  <c r="R5" i="5" a="1"/>
  <c r="Z5" i="5" a="1"/>
  <c r="AH5" i="5" a="1"/>
  <c r="AP5" i="5" a="1"/>
  <c r="AX5" i="5" a="1"/>
  <c r="I6" i="5" a="1"/>
  <c r="Q6" i="5" a="1"/>
  <c r="Y6" i="5" a="1"/>
  <c r="AG6" i="5" a="1"/>
  <c r="AO6" i="5" a="1"/>
  <c r="AW6" i="5" a="1"/>
  <c r="H7" i="5" a="1"/>
  <c r="P7" i="5" a="1"/>
  <c r="X7" i="5" a="1"/>
  <c r="AF7" i="5" a="1"/>
  <c r="AN7" i="5" a="1"/>
  <c r="AV7" i="5" a="1"/>
  <c r="G8" i="5" a="1"/>
  <c r="O8" i="5" a="1"/>
  <c r="W8" i="5" a="1"/>
  <c r="AE8" i="5" a="1"/>
  <c r="AM8" i="5" a="1"/>
  <c r="AU8" i="5" a="1"/>
  <c r="F9" i="5" a="1"/>
  <c r="N9" i="5" a="1"/>
  <c r="V9" i="5" a="1"/>
  <c r="AD9" i="5" a="1"/>
  <c r="AL9" i="5" a="1"/>
  <c r="AT9" i="5" a="1"/>
  <c r="E10" i="5" a="1"/>
  <c r="M10" i="5" a="1"/>
  <c r="U10" i="5" a="1"/>
  <c r="AC10" i="5" a="1"/>
  <c r="AK10" i="5" a="1"/>
  <c r="AS10" i="5" a="1"/>
  <c r="D11" i="5" a="1"/>
  <c r="L11" i="5" a="1"/>
  <c r="T11" i="5" a="1"/>
  <c r="AB11" i="5" a="1"/>
  <c r="AJ11" i="5" a="1"/>
  <c r="AR11" i="5" a="1"/>
  <c r="AZ11" i="5" a="1"/>
  <c r="K12" i="5" a="1"/>
  <c r="S12" i="5" a="1"/>
  <c r="AA12" i="5" a="1"/>
  <c r="AI12" i="5" a="1"/>
  <c r="AQ12" i="5" a="1"/>
  <c r="AY12" i="5" a="1"/>
  <c r="J13" i="5" a="1"/>
  <c r="R13" i="5" a="1"/>
  <c r="Z13" i="5" a="1"/>
  <c r="AH13" i="5" a="1"/>
  <c r="AP13" i="5" a="1"/>
  <c r="AX13" i="5" a="1"/>
  <c r="I14" i="5" a="1"/>
  <c r="Q14" i="5" a="1"/>
  <c r="Y14" i="5" a="1"/>
  <c r="AG14" i="5" a="1"/>
  <c r="AO14" i="5" a="1"/>
  <c r="AW14" i="5" a="1"/>
  <c r="H15" i="5" a="1"/>
  <c r="P15" i="5" a="1"/>
  <c r="X15" i="5" a="1"/>
  <c r="AF15" i="5" a="1"/>
  <c r="AN15" i="5" a="1"/>
  <c r="AV15" i="5" a="1"/>
  <c r="G16" i="5" a="1"/>
  <c r="O16" i="5" a="1"/>
  <c r="W16" i="5" a="1"/>
  <c r="AE16" i="5" a="1"/>
  <c r="AM16" i="5" a="1"/>
  <c r="E3" i="5" a="1"/>
  <c r="M3" i="5" a="1"/>
  <c r="U3" i="5" a="1"/>
  <c r="AC3" i="5" a="1"/>
  <c r="AK3" i="5" a="1"/>
  <c r="AS3" i="5" a="1"/>
  <c r="D4" i="5" a="1"/>
  <c r="L4" i="5" a="1"/>
  <c r="T4" i="5" a="1"/>
  <c r="AB4" i="5" a="1"/>
  <c r="AJ4" i="5" a="1"/>
  <c r="AR4" i="5" a="1"/>
  <c r="AZ4" i="5" a="1"/>
  <c r="K5" i="5" a="1"/>
  <c r="S5" i="5" a="1"/>
  <c r="AA5" i="5" a="1"/>
  <c r="AI5" i="5" a="1"/>
  <c r="AQ5" i="5" a="1"/>
  <c r="AY5" i="5" a="1"/>
  <c r="J6" i="5" a="1"/>
  <c r="R6" i="5" a="1"/>
  <c r="Z6" i="5" a="1"/>
  <c r="AH6" i="5" a="1"/>
  <c r="AP6" i="5" a="1"/>
  <c r="AX6" i="5" a="1"/>
  <c r="I7" i="5" a="1"/>
  <c r="Q7" i="5" a="1"/>
  <c r="Y7" i="5" a="1"/>
  <c r="AG7" i="5" a="1"/>
  <c r="AO7" i="5" a="1"/>
  <c r="AW7" i="5" a="1"/>
  <c r="H8" i="5" a="1"/>
  <c r="P8" i="5" a="1"/>
  <c r="X8" i="5" a="1"/>
  <c r="AF8" i="5" a="1"/>
  <c r="AN8" i="5" a="1"/>
  <c r="AV8" i="5" a="1"/>
  <c r="G9" i="5" a="1"/>
  <c r="O9" i="5" a="1"/>
  <c r="W9" i="5" a="1"/>
  <c r="AE9" i="5" a="1"/>
  <c r="AM9" i="5" a="1"/>
  <c r="AU9" i="5" a="1"/>
  <c r="F10" i="5" a="1"/>
  <c r="N10" i="5" a="1"/>
  <c r="V10" i="5" a="1"/>
  <c r="AD10" i="5" a="1"/>
  <c r="AL10" i="5" a="1"/>
  <c r="AT10" i="5" a="1"/>
  <c r="E11" i="5" a="1"/>
  <c r="M11" i="5" a="1"/>
  <c r="U11" i="5" a="1"/>
  <c r="AC11" i="5" a="1"/>
  <c r="AK11" i="5" a="1"/>
  <c r="AS11" i="5" a="1"/>
  <c r="D12" i="5" a="1"/>
  <c r="L12" i="5" a="1"/>
  <c r="T12" i="5" a="1"/>
  <c r="AB12" i="5" a="1"/>
  <c r="AJ12" i="5" a="1"/>
  <c r="AR12" i="5" a="1"/>
  <c r="AZ12" i="5" a="1"/>
  <c r="K13" i="5" a="1"/>
  <c r="S13" i="5" a="1"/>
  <c r="AA13" i="5" a="1"/>
  <c r="AI13" i="5" a="1"/>
  <c r="AQ13" i="5" a="1"/>
  <c r="AY13" i="5" a="1"/>
  <c r="J14" i="5" a="1"/>
  <c r="R14" i="5" a="1"/>
  <c r="Z14" i="5" a="1"/>
  <c r="AH14" i="5" a="1"/>
  <c r="AP14" i="5" a="1"/>
  <c r="AX14" i="5" a="1"/>
  <c r="I15" i="5" a="1"/>
  <c r="Q15" i="5" a="1"/>
  <c r="Y15" i="5" a="1"/>
  <c r="AG15" i="5" a="1"/>
  <c r="AO15" i="5" a="1"/>
  <c r="AW15" i="5" a="1"/>
  <c r="H16" i="5" a="1"/>
  <c r="P16" i="5" a="1"/>
  <c r="F3" i="5" a="1"/>
  <c r="N3" i="5" a="1"/>
  <c r="V3" i="5" a="1"/>
  <c r="AD3" i="5" a="1"/>
  <c r="AL3" i="5" a="1"/>
  <c r="AT3" i="5" a="1"/>
  <c r="E4" i="5" a="1"/>
  <c r="M4" i="5" a="1"/>
  <c r="U4" i="5" a="1"/>
  <c r="AC4" i="5" a="1"/>
  <c r="AK4" i="5" a="1"/>
  <c r="AS4" i="5" a="1"/>
  <c r="D5" i="5" a="1"/>
  <c r="L5" i="5" a="1"/>
  <c r="T5" i="5" a="1"/>
  <c r="AB5" i="5" a="1"/>
  <c r="AJ5" i="5" a="1"/>
  <c r="AR5" i="5" a="1"/>
  <c r="AZ5" i="5" a="1"/>
  <c r="K6" i="5" a="1"/>
  <c r="S6" i="5" a="1"/>
  <c r="AA6" i="5" a="1"/>
  <c r="AI6" i="5" a="1"/>
  <c r="AQ6" i="5" a="1"/>
  <c r="AY6" i="5" a="1"/>
  <c r="J7" i="5" a="1"/>
  <c r="R7" i="5" a="1"/>
  <c r="Z7" i="5" a="1"/>
  <c r="AH7" i="5" a="1"/>
  <c r="AP7" i="5" a="1"/>
  <c r="AX7" i="5" a="1"/>
  <c r="I8" i="5" a="1"/>
  <c r="Q8" i="5" a="1"/>
  <c r="Y8" i="5" a="1"/>
  <c r="AG8" i="5" a="1"/>
  <c r="AO8" i="5" a="1"/>
  <c r="AW8" i="5" a="1"/>
  <c r="H9" i="5" a="1"/>
  <c r="P9" i="5" a="1"/>
  <c r="X9" i="5" a="1"/>
  <c r="AF9" i="5" a="1"/>
  <c r="AN9" i="5" a="1"/>
  <c r="AV9" i="5" a="1"/>
  <c r="G10" i="5" a="1"/>
  <c r="O10" i="5" a="1"/>
  <c r="W10" i="5" a="1"/>
  <c r="AE10" i="5" a="1"/>
  <c r="AM10" i="5" a="1"/>
  <c r="AU10" i="5" a="1"/>
  <c r="F11" i="5" a="1"/>
  <c r="N11" i="5" a="1"/>
  <c r="V11" i="5" a="1"/>
  <c r="AD11" i="5" a="1"/>
  <c r="AL11" i="5" a="1"/>
  <c r="AT11" i="5" a="1"/>
  <c r="E12" i="5" a="1"/>
  <c r="M12" i="5" a="1"/>
  <c r="U12" i="5" a="1"/>
  <c r="AC12" i="5" a="1"/>
  <c r="AK12" i="5" a="1"/>
  <c r="AS12" i="5" a="1"/>
  <c r="D13" i="5" a="1"/>
  <c r="L13" i="5" a="1"/>
  <c r="T13" i="5" a="1"/>
  <c r="AB13" i="5" a="1"/>
  <c r="AJ13" i="5" a="1"/>
  <c r="AR13" i="5" a="1"/>
  <c r="AZ13" i="5" a="1"/>
  <c r="K14" i="5" a="1"/>
  <c r="S14" i="5" a="1"/>
  <c r="AA14" i="5" a="1"/>
  <c r="AI14" i="5" a="1"/>
  <c r="AQ14" i="5" a="1"/>
  <c r="AY14" i="5" a="1"/>
  <c r="J15" i="5" a="1"/>
  <c r="R15" i="5" a="1"/>
  <c r="Z15" i="5" a="1"/>
  <c r="AH15" i="5" a="1"/>
  <c r="AP15" i="5" a="1"/>
  <c r="AX15" i="5" a="1"/>
  <c r="I16" i="5" a="1"/>
  <c r="Q16" i="5" a="1"/>
  <c r="Y16" i="5" a="1"/>
  <c r="AG16" i="5" a="1"/>
  <c r="G3" i="5" a="1"/>
  <c r="O3" i="5" a="1"/>
  <c r="W3" i="5" a="1"/>
  <c r="AE3" i="5" a="1"/>
  <c r="AM3" i="5" a="1"/>
  <c r="AU3" i="5" a="1"/>
  <c r="F4" i="5" a="1"/>
  <c r="N4" i="5" a="1"/>
  <c r="V4" i="5" a="1"/>
  <c r="AD4" i="5" a="1"/>
  <c r="AL4" i="5" a="1"/>
  <c r="AT4" i="5" a="1"/>
  <c r="E5" i="5" a="1"/>
  <c r="M5" i="5" a="1"/>
  <c r="U5" i="5" a="1"/>
  <c r="AC5" i="5" a="1"/>
  <c r="AK5" i="5" a="1"/>
  <c r="AS5" i="5" a="1"/>
  <c r="D6" i="5" a="1"/>
  <c r="L6" i="5" a="1"/>
  <c r="T6" i="5" a="1"/>
  <c r="AB6" i="5" a="1"/>
  <c r="AJ6" i="5" a="1"/>
  <c r="AR6" i="5" a="1"/>
  <c r="AZ6" i="5" a="1"/>
  <c r="K7" i="5" a="1"/>
  <c r="S7" i="5" a="1"/>
  <c r="AA7" i="5" a="1"/>
  <c r="AI7" i="5" a="1"/>
  <c r="AQ7" i="5" a="1"/>
  <c r="AY7" i="5" a="1"/>
  <c r="J8" i="5" a="1"/>
  <c r="R8" i="5" a="1"/>
  <c r="Z8" i="5" a="1"/>
  <c r="AH8" i="5" a="1"/>
  <c r="AP8" i="5" a="1"/>
  <c r="AX8" i="5" a="1"/>
  <c r="I9" i="5" a="1"/>
  <c r="Q9" i="5" a="1"/>
  <c r="Y9" i="5" a="1"/>
  <c r="AG9" i="5" a="1"/>
  <c r="AO9" i="5" a="1"/>
  <c r="AW9" i="5" a="1"/>
  <c r="H10" i="5" a="1"/>
  <c r="P10" i="5" a="1"/>
  <c r="X10" i="5" a="1"/>
  <c r="AF10" i="5" a="1"/>
  <c r="AN10" i="5" a="1"/>
  <c r="AV10" i="5" a="1"/>
  <c r="G11" i="5" a="1"/>
  <c r="O11" i="5" a="1"/>
  <c r="W11" i="5" a="1"/>
  <c r="AE11" i="5" a="1"/>
  <c r="AM11" i="5" a="1"/>
  <c r="AU11" i="5" a="1"/>
  <c r="F12" i="5" a="1"/>
  <c r="N12" i="5" a="1"/>
  <c r="V12" i="5" a="1"/>
  <c r="AD12" i="5" a="1"/>
  <c r="AL12" i="5" a="1"/>
  <c r="AT12" i="5" a="1"/>
  <c r="E13" i="5" a="1"/>
  <c r="M13" i="5" a="1"/>
  <c r="U13" i="5" a="1"/>
  <c r="AC13" i="5" a="1"/>
  <c r="AK13" i="5" a="1"/>
  <c r="AS13" i="5" a="1"/>
  <c r="D14" i="5" a="1"/>
  <c r="L14" i="5" a="1"/>
  <c r="T14" i="5" a="1"/>
  <c r="AB14" i="5" a="1"/>
  <c r="AJ14" i="5" a="1"/>
  <c r="AR14" i="5" a="1"/>
  <c r="AZ14" i="5" a="1"/>
  <c r="K15" i="5" a="1"/>
  <c r="S15" i="5" a="1"/>
  <c r="AA15" i="5" a="1"/>
  <c r="AI15" i="5" a="1"/>
  <c r="AQ15" i="5" a="1"/>
  <c r="AY15" i="5" a="1"/>
  <c r="J16" i="5" a="1"/>
  <c r="R16" i="5" a="1"/>
  <c r="Z16" i="5" a="1"/>
  <c r="AH16" i="5" a="1"/>
  <c r="H3" i="5" a="1"/>
  <c r="P3" i="5" a="1"/>
  <c r="X3" i="5" a="1"/>
  <c r="AF3" i="5" a="1"/>
  <c r="AN3" i="5" a="1"/>
  <c r="AV3" i="5" a="1"/>
  <c r="G4" i="5" a="1"/>
  <c r="O4" i="5" a="1"/>
  <c r="W4" i="5" a="1"/>
  <c r="AE4" i="5" a="1"/>
  <c r="AM4" i="5" a="1"/>
  <c r="AU4" i="5" a="1"/>
  <c r="F5" i="5" a="1"/>
  <c r="N5" i="5" a="1"/>
  <c r="V5" i="5" a="1"/>
  <c r="AD5" i="5" a="1"/>
  <c r="AL5" i="5" a="1"/>
  <c r="AT5" i="5" a="1"/>
  <c r="E6" i="5" a="1"/>
  <c r="M6" i="5" a="1"/>
  <c r="U6" i="5" a="1"/>
  <c r="AC6" i="5" a="1"/>
  <c r="AK6" i="5" a="1"/>
  <c r="AS6" i="5" a="1"/>
  <c r="D7" i="5" a="1"/>
  <c r="L7" i="5" a="1"/>
  <c r="T7" i="5" a="1"/>
  <c r="AB7" i="5" a="1"/>
  <c r="AJ7" i="5" a="1"/>
  <c r="AR7" i="5" a="1"/>
  <c r="AZ7" i="5" a="1"/>
  <c r="K8" i="5" a="1"/>
  <c r="S8" i="5" a="1"/>
  <c r="AA8" i="5" a="1"/>
  <c r="AI8" i="5" a="1"/>
  <c r="AQ8" i="5" a="1"/>
  <c r="AY8" i="5" a="1"/>
  <c r="J9" i="5" a="1"/>
  <c r="R9" i="5" a="1"/>
  <c r="Z9" i="5" a="1"/>
  <c r="AH9" i="5" a="1"/>
  <c r="AP9" i="5" a="1"/>
  <c r="AX9" i="5" a="1"/>
  <c r="I10" i="5" a="1"/>
  <c r="Q10" i="5" a="1"/>
  <c r="Y10" i="5" a="1"/>
  <c r="AG10" i="5" a="1"/>
  <c r="AO10" i="5" a="1"/>
  <c r="AW10" i="5" a="1"/>
  <c r="H11" i="5" a="1"/>
  <c r="P11" i="5" a="1"/>
  <c r="X11" i="5" a="1"/>
  <c r="AF11" i="5" a="1"/>
  <c r="AN11" i="5" a="1"/>
  <c r="AV11" i="5" a="1"/>
  <c r="G12" i="5" a="1"/>
  <c r="O12" i="5" a="1"/>
  <c r="W12" i="5" a="1"/>
  <c r="AE12" i="5" a="1"/>
  <c r="AM12" i="5" a="1"/>
  <c r="AU12" i="5" a="1"/>
  <c r="F13" i="5" a="1"/>
  <c r="N13" i="5" a="1"/>
  <c r="V13" i="5" a="1"/>
  <c r="AD13" i="5" a="1"/>
  <c r="AL13" i="5" a="1"/>
  <c r="AT13" i="5" a="1"/>
  <c r="E14" i="5" a="1"/>
  <c r="M14" i="5" a="1"/>
  <c r="U14" i="5" a="1"/>
  <c r="AC14" i="5" a="1"/>
  <c r="AK14" i="5" a="1"/>
  <c r="AS14" i="5" a="1"/>
  <c r="D15" i="5" a="1"/>
  <c r="L15" i="5" a="1"/>
  <c r="T15" i="5" a="1"/>
  <c r="AB15" i="5" a="1"/>
  <c r="AJ15" i="5" a="1"/>
  <c r="AR15" i="5" a="1"/>
  <c r="AZ15" i="5" a="1"/>
  <c r="K16" i="5" a="1"/>
  <c r="S16" i="5" a="1"/>
  <c r="AA16" i="5" a="1"/>
  <c r="AI16" i="5" a="1"/>
  <c r="I3" i="5" a="1"/>
  <c r="Q3" i="5" a="1"/>
  <c r="Y3" i="5" a="1"/>
  <c r="AG3" i="5" a="1"/>
  <c r="AO3" i="5" a="1"/>
  <c r="AW3" i="5" a="1"/>
  <c r="H4" i="5" a="1"/>
  <c r="P4" i="5" a="1"/>
  <c r="X4" i="5" a="1"/>
  <c r="AF4" i="5" a="1"/>
  <c r="AN4" i="5" a="1"/>
  <c r="AV4" i="5" a="1"/>
  <c r="G5" i="5" a="1"/>
  <c r="O5" i="5" a="1"/>
  <c r="W5" i="5" a="1"/>
  <c r="AE5" i="5" a="1"/>
  <c r="AM5" i="5" a="1"/>
  <c r="AU5" i="5" a="1"/>
  <c r="F6" i="5" a="1"/>
  <c r="N6" i="5" a="1"/>
  <c r="V6" i="5" a="1"/>
  <c r="AD6" i="5" a="1"/>
  <c r="AL6" i="5" a="1"/>
  <c r="AT6" i="5" a="1"/>
  <c r="E7" i="5" a="1"/>
  <c r="M7" i="5" a="1"/>
  <c r="U7" i="5" a="1"/>
  <c r="AC7" i="5" a="1"/>
  <c r="AK7" i="5" a="1"/>
  <c r="AS7" i="5" a="1"/>
  <c r="D8" i="5" a="1"/>
  <c r="L8" i="5" a="1"/>
  <c r="T8" i="5" a="1"/>
  <c r="AB8" i="5" a="1"/>
  <c r="AJ8" i="5" a="1"/>
  <c r="AR8" i="5" a="1"/>
  <c r="AZ8" i="5" a="1"/>
  <c r="K9" i="5" a="1"/>
  <c r="S9" i="5" a="1"/>
  <c r="AA9" i="5" a="1"/>
  <c r="AI9" i="5" a="1"/>
  <c r="AQ9" i="5" a="1"/>
  <c r="AY9" i="5" a="1"/>
  <c r="J10" i="5" a="1"/>
  <c r="R10" i="5" a="1"/>
  <c r="Z10" i="5" a="1"/>
  <c r="AH10" i="5" a="1"/>
  <c r="AP10" i="5" a="1"/>
  <c r="AX10" i="5" a="1"/>
  <c r="I11" i="5" a="1"/>
  <c r="Q11" i="5" a="1"/>
  <c r="Y11" i="5" a="1"/>
  <c r="AG11" i="5" a="1"/>
  <c r="AO11" i="5" a="1"/>
  <c r="AW11" i="5" a="1"/>
  <c r="H12" i="5" a="1"/>
  <c r="P12" i="5" a="1"/>
  <c r="X12" i="5" a="1"/>
  <c r="AF12" i="5" a="1"/>
  <c r="AN12" i="5" a="1"/>
  <c r="AV12" i="5" a="1"/>
  <c r="G13" i="5" a="1"/>
  <c r="O13" i="5" a="1"/>
  <c r="W13" i="5" a="1"/>
  <c r="AE13" i="5" a="1"/>
  <c r="AM13" i="5" a="1"/>
  <c r="AU13" i="5" a="1"/>
  <c r="F14" i="5" a="1"/>
  <c r="N14" i="5" a="1"/>
  <c r="V14" i="5" a="1"/>
  <c r="AD14" i="5" a="1"/>
  <c r="AL14" i="5" a="1"/>
  <c r="AT14" i="5" a="1"/>
  <c r="E15" i="5" a="1"/>
  <c r="M15" i="5" a="1"/>
  <c r="U15" i="5" a="1"/>
  <c r="AC15" i="5" a="1"/>
  <c r="AK15" i="5" a="1"/>
  <c r="AS15" i="5" a="1"/>
  <c r="D16" i="5" a="1"/>
  <c r="L16" i="5" a="1"/>
  <c r="T16" i="5" a="1"/>
  <c r="AB16" i="5" a="1"/>
  <c r="AJ16" i="5" a="1"/>
  <c r="AR16" i="5" a="1"/>
  <c r="J3" i="5" a="1"/>
  <c r="R3" i="5" a="1"/>
  <c r="Z3" i="5" a="1"/>
  <c r="AH3" i="5" a="1"/>
  <c r="AP3" i="5" a="1"/>
  <c r="AX3" i="5" a="1"/>
  <c r="I4" i="5" a="1"/>
  <c r="Q4" i="5" a="1"/>
  <c r="Y4" i="5" a="1"/>
  <c r="AG4" i="5" a="1"/>
  <c r="AO4" i="5" a="1"/>
  <c r="AW4" i="5" a="1"/>
  <c r="H5" i="5" a="1"/>
  <c r="P5" i="5" a="1"/>
  <c r="X5" i="5" a="1"/>
  <c r="AF5" i="5" a="1"/>
  <c r="AN5" i="5" a="1"/>
  <c r="AV5" i="5" a="1"/>
  <c r="G6" i="5" a="1"/>
  <c r="O6" i="5" a="1"/>
  <c r="W6" i="5" a="1"/>
  <c r="AE6" i="5" a="1"/>
  <c r="AM6" i="5" a="1"/>
  <c r="AU6" i="5" a="1"/>
  <c r="F7" i="5" a="1"/>
  <c r="N7" i="5" a="1"/>
  <c r="V7" i="5" a="1"/>
  <c r="AD7" i="5" a="1"/>
  <c r="AL7" i="5" a="1"/>
  <c r="AT7" i="5" a="1"/>
  <c r="E8" i="5" a="1"/>
  <c r="M8" i="5" a="1"/>
  <c r="U8" i="5" a="1"/>
  <c r="AC8" i="5" a="1"/>
  <c r="AK8" i="5" a="1"/>
  <c r="AS8" i="5" a="1"/>
  <c r="D9" i="5" a="1"/>
  <c r="L9" i="5" a="1"/>
  <c r="T9" i="5" a="1"/>
  <c r="AB9" i="5" a="1"/>
  <c r="AJ9" i="5" a="1"/>
  <c r="AR9" i="5" a="1"/>
  <c r="AZ9" i="5" a="1"/>
  <c r="K10" i="5" a="1"/>
  <c r="S10" i="5" a="1"/>
  <c r="AA10" i="5" a="1"/>
  <c r="AI10" i="5" a="1"/>
  <c r="AQ10" i="5" a="1"/>
  <c r="AY10" i="5" a="1"/>
  <c r="J11" i="5" a="1"/>
  <c r="R11" i="5" a="1"/>
  <c r="Z11" i="5" a="1"/>
  <c r="AH11" i="5" a="1"/>
  <c r="AP11" i="5" a="1"/>
  <c r="AX11" i="5" a="1"/>
  <c r="I12" i="5" a="1"/>
  <c r="Q12" i="5" a="1"/>
  <c r="Y12" i="5" a="1"/>
  <c r="AG12" i="5" a="1"/>
  <c r="AO12" i="5" a="1"/>
  <c r="AW12" i="5" a="1"/>
  <c r="H13" i="5" a="1"/>
  <c r="P13" i="5" a="1"/>
  <c r="X13" i="5" a="1"/>
  <c r="AF13" i="5" a="1"/>
  <c r="AN13" i="5" a="1"/>
  <c r="AV13" i="5" a="1"/>
  <c r="G14" i="5" a="1"/>
  <c r="O14" i="5" a="1"/>
  <c r="W14" i="5" a="1"/>
  <c r="AE14" i="5" a="1"/>
  <c r="AM14" i="5" a="1"/>
  <c r="AU14" i="5" a="1"/>
  <c r="F15" i="5" a="1"/>
  <c r="N15" i="5" a="1"/>
  <c r="V15" i="5" a="1"/>
  <c r="AD15" i="5" a="1"/>
  <c r="AL15" i="5" a="1"/>
  <c r="AT15" i="5" a="1"/>
  <c r="E16" i="5" a="1"/>
  <c r="M16" i="5" a="1"/>
  <c r="AQ16" i="5" a="1"/>
  <c r="D17" i="5" a="1"/>
  <c r="L17" i="5" a="1"/>
  <c r="T17" i="5" a="1"/>
  <c r="AB17" i="5" a="1"/>
  <c r="AJ17" i="5" a="1"/>
  <c r="AR17" i="5" a="1"/>
  <c r="AZ17" i="5" a="1"/>
  <c r="K18" i="5" a="1"/>
  <c r="S18" i="5" a="1"/>
  <c r="AA18" i="5" a="1"/>
  <c r="AI18" i="5" a="1"/>
  <c r="AQ18" i="5" a="1"/>
  <c r="AY18" i="5" a="1"/>
  <c r="J19" i="5" a="1"/>
  <c r="R19" i="5" a="1"/>
  <c r="Z19" i="5" a="1"/>
  <c r="AH19" i="5" a="1"/>
  <c r="K3" i="5" a="1"/>
  <c r="Z4" i="5" a="1"/>
  <c r="AO5" i="5" a="1"/>
  <c r="G7" i="5" a="1"/>
  <c r="V8" i="5" a="1"/>
  <c r="AK9" i="5" a="1"/>
  <c r="AZ10" i="5" a="1"/>
  <c r="R12" i="5" a="1"/>
  <c r="AG13" i="5" a="1"/>
  <c r="AV14" i="5" a="1"/>
  <c r="N16" i="5" a="1"/>
  <c r="AS16" i="5" a="1"/>
  <c r="Q19" i="5" a="1"/>
  <c r="J12" i="5" a="1"/>
  <c r="U16" i="5" a="1"/>
  <c r="E17" i="5" a="1"/>
  <c r="M17" i="5" a="1"/>
  <c r="U17" i="5" a="1"/>
  <c r="AC17" i="5" a="1"/>
  <c r="AK17" i="5" a="1"/>
  <c r="AS17" i="5" a="1"/>
  <c r="D18" i="5" a="1"/>
  <c r="L18" i="5" a="1"/>
  <c r="T18" i="5" a="1"/>
  <c r="AB18" i="5" a="1"/>
  <c r="AJ18" i="5" a="1"/>
  <c r="AR18" i="5" a="1"/>
  <c r="AZ18" i="5" a="1"/>
  <c r="K19" i="5" a="1"/>
  <c r="S19" i="5" a="1"/>
  <c r="AA19" i="5" a="1"/>
  <c r="AI19" i="5" a="1"/>
  <c r="AQ19" i="5" a="1"/>
  <c r="AY19" i="5" a="1"/>
  <c r="E19" i="5" a="1"/>
  <c r="AK19" i="5" a="1"/>
  <c r="R18" i="5" a="1"/>
  <c r="AR10" i="5" a="1"/>
  <c r="S3" i="5" a="1"/>
  <c r="AH4" i="5" a="1"/>
  <c r="AW5" i="5" a="1"/>
  <c r="O7" i="5" a="1"/>
  <c r="AD8" i="5" a="1"/>
  <c r="AS9" i="5" a="1"/>
  <c r="K11" i="5" a="1"/>
  <c r="Z12" i="5" a="1"/>
  <c r="AO13" i="5" a="1"/>
  <c r="G15" i="5" a="1"/>
  <c r="AT16" i="5" a="1"/>
  <c r="AL17" i="5" a="1"/>
  <c r="AT17" i="5" a="1"/>
  <c r="M18" i="5" a="1"/>
  <c r="U18" i="5" a="1"/>
  <c r="AC18" i="5" a="1"/>
  <c r="AK18" i="5" a="1"/>
  <c r="AS18" i="5" a="1"/>
  <c r="D19" i="5" a="1"/>
  <c r="L19" i="5" a="1"/>
  <c r="T19" i="5" a="1"/>
  <c r="AB19" i="5" a="1"/>
  <c r="AJ19" i="5" a="1"/>
  <c r="AZ19" i="5" a="1"/>
  <c r="AU17" i="5" a="1"/>
  <c r="N18" i="5" a="1"/>
  <c r="AD18" i="5" a="1"/>
  <c r="AL18" i="5" a="1"/>
  <c r="M19" i="5" a="1"/>
  <c r="U19" i="5" a="1"/>
  <c r="AC19" i="5" a="1"/>
  <c r="AS19" i="5" a="1"/>
  <c r="S17" i="5" a="1"/>
  <c r="AX18" i="5" a="1"/>
  <c r="R4" i="5" a="1"/>
  <c r="AN14" i="5" a="1"/>
  <c r="V16" i="5" a="1"/>
  <c r="AU16" i="5" a="1"/>
  <c r="F17" i="5" a="1"/>
  <c r="N17" i="5" a="1"/>
  <c r="V17" i="5" a="1"/>
  <c r="AD17" i="5" a="1"/>
  <c r="E18" i="5" a="1"/>
  <c r="AR19" i="5" a="1"/>
  <c r="AO19" i="5" a="1"/>
  <c r="AC9" i="5" a="1"/>
  <c r="AA3" i="5" a="1"/>
  <c r="AP4" i="5" a="1"/>
  <c r="H6" i="5" a="1"/>
  <c r="W7" i="5" a="1"/>
  <c r="AL8" i="5" a="1"/>
  <c r="D10" i="5" a="1"/>
  <c r="S11" i="5" a="1"/>
  <c r="AH12" i="5" a="1"/>
  <c r="AW13" i="5" a="1"/>
  <c r="O15" i="5" a="1"/>
  <c r="X16" i="5" a="1"/>
  <c r="AI17" i="5" a="1"/>
  <c r="AP19" i="5" a="1"/>
  <c r="AC16" i="5" a="1"/>
  <c r="AV16" i="5" a="1"/>
  <c r="G17" i="5" a="1"/>
  <c r="O17" i="5" a="1"/>
  <c r="W17" i="5" a="1"/>
  <c r="AE17" i="5" a="1"/>
  <c r="AM17" i="5" a="1"/>
  <c r="F18" i="5" a="1"/>
  <c r="V18" i="5" a="1"/>
  <c r="AT18" i="5" a="1"/>
  <c r="AP18" i="5" a="1"/>
  <c r="F16" i="5" a="1"/>
  <c r="AI3" i="5" a="1"/>
  <c r="AX4" i="5" a="1"/>
  <c r="P6" i="5" a="1"/>
  <c r="AE7" i="5" a="1"/>
  <c r="AT8" i="5" a="1"/>
  <c r="L10" i="5" a="1"/>
  <c r="AA11" i="5" a="1"/>
  <c r="AP12" i="5" a="1"/>
  <c r="H14" i="5" a="1"/>
  <c r="W15" i="5" a="1"/>
  <c r="AY11" i="5" a="1"/>
  <c r="AO16" i="5" a="1"/>
  <c r="AG19" i="5" a="1"/>
  <c r="AD16" i="5" a="1"/>
  <c r="AW16" i="5" a="1"/>
  <c r="H17" i="5" a="1"/>
  <c r="P17" i="5" a="1"/>
  <c r="X17" i="5" a="1"/>
  <c r="AF17" i="5" a="1"/>
  <c r="AN17" i="5" a="1"/>
  <c r="AV17" i="5" a="1"/>
  <c r="G18" i="5" a="1"/>
  <c r="O18" i="5" a="1"/>
  <c r="W18" i="5" a="1"/>
  <c r="AE18" i="5" a="1"/>
  <c r="AM18" i="5" a="1"/>
  <c r="AU18" i="5" a="1"/>
  <c r="F19" i="5" a="1"/>
  <c r="N19" i="5" a="1"/>
  <c r="V19" i="5" a="1"/>
  <c r="AD19" i="5" a="1"/>
  <c r="AL19" i="5" a="1"/>
  <c r="AT19" i="5" a="1"/>
  <c r="R17" i="5" a="1"/>
  <c r="I18" i="5" a="1"/>
  <c r="AG18" i="5" a="1"/>
  <c r="X19" i="5" a="1"/>
  <c r="AV19" i="5" a="1"/>
  <c r="AN6" i="5" a="1"/>
  <c r="U9" i="5" a="1"/>
  <c r="AF14" i="5" a="1"/>
  <c r="AA17" i="5" a="1"/>
  <c r="Z18" i="5" a="1"/>
  <c r="AW19" i="5" a="1"/>
  <c r="N8" i="5" a="1"/>
  <c r="AX19" i="5" a="1"/>
  <c r="AQ3" i="5" a="1"/>
  <c r="I5" i="5" a="1"/>
  <c r="X6" i="5" a="1"/>
  <c r="AM7" i="5" a="1"/>
  <c r="E9" i="5" a="1"/>
  <c r="T10" i="5" a="1"/>
  <c r="AI11" i="5" a="1"/>
  <c r="AX12" i="5" a="1"/>
  <c r="P14" i="5" a="1"/>
  <c r="AE15" i="5" a="1"/>
  <c r="AF16" i="5" a="1"/>
  <c r="AH17" i="5" a="1"/>
  <c r="Q18" i="5" a="1"/>
  <c r="AO18" i="5" a="1"/>
  <c r="P19" i="5" a="1"/>
  <c r="AN19" i="5" a="1"/>
  <c r="J4" i="5" a="1"/>
  <c r="AJ10" i="5" a="1"/>
  <c r="AU15" i="5" a="1"/>
  <c r="K17" i="5" a="1"/>
  <c r="AQ17" i="5" a="1"/>
  <c r="I19" i="5" a="1"/>
  <c r="AG5" i="5" a="1"/>
  <c r="AK16" i="5" a="1"/>
  <c r="AX16" i="5" a="1"/>
  <c r="I17" i="5" a="1"/>
  <c r="Q17" i="5" a="1"/>
  <c r="Y17" i="5" a="1"/>
  <c r="AG17" i="5" a="1"/>
  <c r="AO17" i="5" a="1"/>
  <c r="AW17" i="5" a="1"/>
  <c r="H18" i="5" a="1"/>
  <c r="P18" i="5" a="1"/>
  <c r="X18" i="5" a="1"/>
  <c r="AF18" i="5" a="1"/>
  <c r="AN18" i="5" a="1"/>
  <c r="AV18" i="5" a="1"/>
  <c r="G19" i="5" a="1"/>
  <c r="O19" i="5" a="1"/>
  <c r="W19" i="5" a="1"/>
  <c r="AE19" i="5" a="1"/>
  <c r="AM19" i="5" a="1"/>
  <c r="AU19" i="5" a="1"/>
  <c r="Z17" i="5" a="1"/>
  <c r="AX17" i="5" a="1"/>
  <c r="Y18" i="5" a="1"/>
  <c r="H19" i="5" a="1"/>
  <c r="AF19" i="5" a="1"/>
  <c r="Y5" i="5" a="1"/>
  <c r="F8" i="5" a="1"/>
  <c r="Q13" i="5" a="1"/>
  <c r="AN16" i="5" a="1"/>
  <c r="AZ16" i="5" a="1"/>
  <c r="AY17" i="5" a="1"/>
  <c r="Y19" i="5" a="1"/>
  <c r="AV6" i="5" a="1"/>
  <c r="AY3" i="5" a="1"/>
  <c r="Q5" i="5" a="1"/>
  <c r="AF6" i="5" a="1"/>
  <c r="AU7" i="5" a="1"/>
  <c r="M9" i="5" a="1"/>
  <c r="AB10" i="5" a="1"/>
  <c r="AQ11" i="5" a="1"/>
  <c r="I13" i="5" a="1"/>
  <c r="X14" i="5" a="1"/>
  <c r="AM15" i="5" a="1"/>
  <c r="AH18" i="5" a="1"/>
  <c r="Y13" i="5" a="1"/>
  <c r="AL16" i="5" a="1"/>
  <c r="AY16" i="5" a="1"/>
  <c r="J17" i="5" a="1"/>
  <c r="AP17" i="5" a="1"/>
  <c r="AW18" i="5" a="1"/>
  <c r="J18" i="5" a="1"/>
  <c r="AP16" i="5" a="1"/>
  <c r="C4" i="5" a="1"/>
  <c r="C12" i="5" a="1"/>
  <c r="C13" i="5" a="1"/>
  <c r="C5" i="5" a="1"/>
  <c r="C14" i="5" a="1"/>
  <c r="C6" i="5" a="1"/>
  <c r="C7" i="5" a="1"/>
  <c r="C18" i="5" a="1"/>
  <c r="C11" i="5" a="1"/>
  <c r="C15" i="5" a="1"/>
  <c r="C16" i="5" a="1"/>
  <c r="C8" i="5" a="1"/>
  <c r="C17" i="5" a="1"/>
  <c r="C9" i="5" a="1"/>
  <c r="C19" i="5" a="1"/>
  <c r="C10" i="5" a="1"/>
  <c r="C3" i="5" a="1"/>
  <c r="D45" i="4" a="1"/>
  <c r="L45" i="4" a="1"/>
  <c r="T45" i="4" a="1"/>
  <c r="AB45" i="4" a="1"/>
  <c r="AJ45" i="4" a="1"/>
  <c r="AR45" i="4" a="1"/>
  <c r="AZ45" i="4" a="1"/>
  <c r="K46" i="4" a="1"/>
  <c r="S46" i="4" a="1"/>
  <c r="AA46" i="4" a="1"/>
  <c r="AI46" i="4" a="1"/>
  <c r="AQ46" i="4" a="1"/>
  <c r="AY46" i="4" a="1"/>
  <c r="J47" i="4" a="1"/>
  <c r="R47" i="4" a="1"/>
  <c r="Z47" i="4" a="1"/>
  <c r="AH47" i="4" a="1"/>
  <c r="AP47" i="4" a="1"/>
  <c r="AX47" i="4" a="1"/>
  <c r="I48" i="4" a="1"/>
  <c r="Q48" i="4" a="1"/>
  <c r="Y48" i="4" a="1"/>
  <c r="AG48" i="4" a="1"/>
  <c r="AO48" i="4" a="1"/>
  <c r="AW48" i="4" a="1"/>
  <c r="H49" i="4" a="1"/>
  <c r="P49" i="4" a="1"/>
  <c r="X49" i="4" a="1"/>
  <c r="AF49" i="4" a="1"/>
  <c r="AN49" i="4" a="1"/>
  <c r="AV49" i="4" a="1"/>
  <c r="G50" i="4" a="1"/>
  <c r="O50" i="4" a="1"/>
  <c r="W50" i="4" a="1"/>
  <c r="AE50" i="4" a="1"/>
  <c r="AM50" i="4" a="1"/>
  <c r="AU50" i="4" a="1"/>
  <c r="F51" i="4" a="1"/>
  <c r="N51" i="4" a="1"/>
  <c r="V51" i="4" a="1"/>
  <c r="AD51" i="4" a="1"/>
  <c r="AL51" i="4" a="1"/>
  <c r="AT51" i="4" a="1"/>
  <c r="E52" i="4" a="1"/>
  <c r="M52" i="4" a="1"/>
  <c r="U52" i="4" a="1"/>
  <c r="AC52" i="4" a="1"/>
  <c r="AK52" i="4" a="1"/>
  <c r="AS52" i="4" a="1"/>
  <c r="D53" i="4" a="1"/>
  <c r="L53" i="4" a="1"/>
  <c r="T53" i="4" a="1"/>
  <c r="AB53" i="4" a="1"/>
  <c r="AJ53" i="4" a="1"/>
  <c r="AR53" i="4" a="1"/>
  <c r="AZ53" i="4" a="1"/>
  <c r="K54" i="4" a="1"/>
  <c r="S54" i="4" a="1"/>
  <c r="AA54" i="4" a="1"/>
  <c r="AI54" i="4" a="1"/>
  <c r="AQ54" i="4" a="1"/>
  <c r="E45" i="4" a="1"/>
  <c r="M45" i="4" a="1"/>
  <c r="U45" i="4" a="1"/>
  <c r="AC45" i="4" a="1"/>
  <c r="AK45" i="4" a="1"/>
  <c r="AS45" i="4" a="1"/>
  <c r="D46" i="4" a="1"/>
  <c r="L46" i="4" a="1"/>
  <c r="T46" i="4" a="1"/>
  <c r="AB46" i="4" a="1"/>
  <c r="AJ46" i="4" a="1"/>
  <c r="AR46" i="4" a="1"/>
  <c r="AZ46" i="4" a="1"/>
  <c r="K47" i="4" a="1"/>
  <c r="S47" i="4" a="1"/>
  <c r="AA47" i="4" a="1"/>
  <c r="AI47" i="4" a="1"/>
  <c r="AQ47" i="4" a="1"/>
  <c r="AY47" i="4" a="1"/>
  <c r="J48" i="4" a="1"/>
  <c r="R48" i="4" a="1"/>
  <c r="Z48" i="4" a="1"/>
  <c r="AH48" i="4" a="1"/>
  <c r="AP48" i="4" a="1"/>
  <c r="AX48" i="4" a="1"/>
  <c r="I49" i="4" a="1"/>
  <c r="Q49" i="4" a="1"/>
  <c r="Y49" i="4" a="1"/>
  <c r="AG49" i="4" a="1"/>
  <c r="AO49" i="4" a="1"/>
  <c r="AW49" i="4" a="1"/>
  <c r="H50" i="4" a="1"/>
  <c r="P50" i="4" a="1"/>
  <c r="X50" i="4" a="1"/>
  <c r="AF50" i="4" a="1"/>
  <c r="AN50" i="4" a="1"/>
  <c r="AV50" i="4" a="1"/>
  <c r="G51" i="4" a="1"/>
  <c r="O51" i="4" a="1"/>
  <c r="W51" i="4" a="1"/>
  <c r="AE51" i="4" a="1"/>
  <c r="AM51" i="4" a="1"/>
  <c r="AU51" i="4" a="1"/>
  <c r="F52" i="4" a="1"/>
  <c r="N52" i="4" a="1"/>
  <c r="V52" i="4" a="1"/>
  <c r="AD52" i="4" a="1"/>
  <c r="AL52" i="4" a="1"/>
  <c r="AT52" i="4" a="1"/>
  <c r="E53" i="4" a="1"/>
  <c r="M53" i="4" a="1"/>
  <c r="U53" i="4" a="1"/>
  <c r="AC53" i="4" a="1"/>
  <c r="AK53" i="4" a="1"/>
  <c r="AS53" i="4" a="1"/>
  <c r="D54" i="4" a="1"/>
  <c r="L54" i="4" a="1"/>
  <c r="T54" i="4" a="1"/>
  <c r="AB54" i="4" a="1"/>
  <c r="AJ54" i="4" a="1"/>
  <c r="F45" i="4" a="1"/>
  <c r="N45" i="4" a="1"/>
  <c r="V45" i="4" a="1"/>
  <c r="AD45" i="4" a="1"/>
  <c r="AL45" i="4" a="1"/>
  <c r="AT45" i="4" a="1"/>
  <c r="E46" i="4" a="1"/>
  <c r="M46" i="4" a="1"/>
  <c r="U46" i="4" a="1"/>
  <c r="AC46" i="4" a="1"/>
  <c r="AK46" i="4" a="1"/>
  <c r="AS46" i="4" a="1"/>
  <c r="D47" i="4" a="1"/>
  <c r="L47" i="4" a="1"/>
  <c r="T47" i="4" a="1"/>
  <c r="AB47" i="4" a="1"/>
  <c r="AJ47" i="4" a="1"/>
  <c r="AR47" i="4" a="1"/>
  <c r="AZ47" i="4" a="1"/>
  <c r="K48" i="4" a="1"/>
  <c r="S48" i="4" a="1"/>
  <c r="AA48" i="4" a="1"/>
  <c r="AI48" i="4" a="1"/>
  <c r="AQ48" i="4" a="1"/>
  <c r="AY48" i="4" a="1"/>
  <c r="J49" i="4" a="1"/>
  <c r="R49" i="4" a="1"/>
  <c r="Z49" i="4" a="1"/>
  <c r="AH49" i="4" a="1"/>
  <c r="AP49" i="4" a="1"/>
  <c r="AX49" i="4" a="1"/>
  <c r="I50" i="4" a="1"/>
  <c r="Q50" i="4" a="1"/>
  <c r="G45" i="4" a="1"/>
  <c r="O45" i="4" a="1"/>
  <c r="W45" i="4" a="1"/>
  <c r="AE45" i="4" a="1"/>
  <c r="AM45" i="4" a="1"/>
  <c r="AU45" i="4" a="1"/>
  <c r="F46" i="4" a="1"/>
  <c r="N46" i="4" a="1"/>
  <c r="V46" i="4" a="1"/>
  <c r="AD46" i="4" a="1"/>
  <c r="AL46" i="4" a="1"/>
  <c r="AT46" i="4" a="1"/>
  <c r="E47" i="4" a="1"/>
  <c r="M47" i="4" a="1"/>
  <c r="U47" i="4" a="1"/>
  <c r="AC47" i="4" a="1"/>
  <c r="AK47" i="4" a="1"/>
  <c r="AS47" i="4" a="1"/>
  <c r="D48" i="4" a="1"/>
  <c r="L48" i="4" a="1"/>
  <c r="T48" i="4" a="1"/>
  <c r="AB48" i="4" a="1"/>
  <c r="AJ48" i="4" a="1"/>
  <c r="AR48" i="4" a="1"/>
  <c r="AZ48" i="4" a="1"/>
  <c r="K49" i="4" a="1"/>
  <c r="S49" i="4" a="1"/>
  <c r="AA49" i="4" a="1"/>
  <c r="AI49" i="4" a="1"/>
  <c r="AQ49" i="4" a="1"/>
  <c r="AY49" i="4" a="1"/>
  <c r="J50" i="4" a="1"/>
  <c r="R50" i="4" a="1"/>
  <c r="H45" i="4" a="1"/>
  <c r="P45" i="4" a="1"/>
  <c r="X45" i="4" a="1"/>
  <c r="AF45" i="4" a="1"/>
  <c r="AN45" i="4" a="1"/>
  <c r="AV45" i="4" a="1"/>
  <c r="G46" i="4" a="1"/>
  <c r="O46" i="4" a="1"/>
  <c r="W46" i="4" a="1"/>
  <c r="AE46" i="4" a="1"/>
  <c r="AM46" i="4" a="1"/>
  <c r="AU46" i="4" a="1"/>
  <c r="F47" i="4" a="1"/>
  <c r="N47" i="4" a="1"/>
  <c r="V47" i="4" a="1"/>
  <c r="AD47" i="4" a="1"/>
  <c r="AL47" i="4" a="1"/>
  <c r="AT47" i="4" a="1"/>
  <c r="E48" i="4" a="1"/>
  <c r="M48" i="4" a="1"/>
  <c r="U48" i="4" a="1"/>
  <c r="AC48" i="4" a="1"/>
  <c r="AK48" i="4" a="1"/>
  <c r="AS48" i="4" a="1"/>
  <c r="D49" i="4" a="1"/>
  <c r="L49" i="4" a="1"/>
  <c r="T49" i="4" a="1"/>
  <c r="AB49" i="4" a="1"/>
  <c r="AJ49" i="4" a="1"/>
  <c r="AR49" i="4" a="1"/>
  <c r="AZ49" i="4" a="1"/>
  <c r="K50" i="4" a="1"/>
  <c r="S50" i="4" a="1"/>
  <c r="AA50" i="4" a="1"/>
  <c r="AI50" i="4" a="1"/>
  <c r="AQ50" i="4" a="1"/>
  <c r="AY50" i="4" a="1"/>
  <c r="J51" i="4" a="1"/>
  <c r="R51" i="4" a="1"/>
  <c r="Z51" i="4" a="1"/>
  <c r="AH51" i="4" a="1"/>
  <c r="AP51" i="4" a="1"/>
  <c r="AX51" i="4" a="1"/>
  <c r="I52" i="4" a="1"/>
  <c r="Q52" i="4" a="1"/>
  <c r="Y52" i="4" a="1"/>
  <c r="AG52" i="4" a="1"/>
  <c r="AO52" i="4" a="1"/>
  <c r="I45" i="4" a="1"/>
  <c r="Q45" i="4" a="1"/>
  <c r="Y45" i="4" a="1"/>
  <c r="AG45" i="4" a="1"/>
  <c r="AO45" i="4" a="1"/>
  <c r="AW45" i="4" a="1"/>
  <c r="H46" i="4" a="1"/>
  <c r="P46" i="4" a="1"/>
  <c r="X46" i="4" a="1"/>
  <c r="AF46" i="4" a="1"/>
  <c r="AN46" i="4" a="1"/>
  <c r="AV46" i="4" a="1"/>
  <c r="G47" i="4" a="1"/>
  <c r="O47" i="4" a="1"/>
  <c r="W47" i="4" a="1"/>
  <c r="AE47" i="4" a="1"/>
  <c r="AM47" i="4" a="1"/>
  <c r="AU47" i="4" a="1"/>
  <c r="F48" i="4" a="1"/>
  <c r="N48" i="4" a="1"/>
  <c r="V48" i="4" a="1"/>
  <c r="AD48" i="4" a="1"/>
  <c r="AL48" i="4" a="1"/>
  <c r="AT48" i="4" a="1"/>
  <c r="E49" i="4" a="1"/>
  <c r="M49" i="4" a="1"/>
  <c r="U49" i="4" a="1"/>
  <c r="AC49" i="4" a="1"/>
  <c r="AK49" i="4" a="1"/>
  <c r="AS49" i="4" a="1"/>
  <c r="D50" i="4" a="1"/>
  <c r="L50" i="4" a="1"/>
  <c r="T50" i="4" a="1"/>
  <c r="AB50" i="4" a="1"/>
  <c r="AJ50" i="4" a="1"/>
  <c r="AR50" i="4" a="1"/>
  <c r="AZ50" i="4" a="1"/>
  <c r="K51" i="4" a="1"/>
  <c r="S51" i="4" a="1"/>
  <c r="AA51" i="4" a="1"/>
  <c r="AI51" i="4" a="1"/>
  <c r="AQ51" i="4" a="1"/>
  <c r="AY51" i="4" a="1"/>
  <c r="J52" i="4" a="1"/>
  <c r="R52" i="4" a="1"/>
  <c r="Z52" i="4" a="1"/>
  <c r="AH52" i="4" a="1"/>
  <c r="AP52" i="4" a="1"/>
  <c r="AX52" i="4" a="1"/>
  <c r="I53" i="4" a="1"/>
  <c r="Q53" i="4" a="1"/>
  <c r="Y53" i="4" a="1"/>
  <c r="AG53" i="4" a="1"/>
  <c r="AO53" i="4" a="1"/>
  <c r="AW53" i="4" a="1"/>
  <c r="H54" i="4" a="1"/>
  <c r="P54" i="4" a="1"/>
  <c r="X54" i="4" a="1"/>
  <c r="AF54" i="4" a="1"/>
  <c r="AN54" i="4" a="1"/>
  <c r="AV54" i="4" a="1"/>
  <c r="G55" i="4" a="1"/>
  <c r="O55" i="4" a="1"/>
  <c r="W55" i="4" a="1"/>
  <c r="AE55" i="4" a="1"/>
  <c r="AM55" i="4" a="1"/>
  <c r="AU55" i="4" a="1"/>
  <c r="F56" i="4" a="1"/>
  <c r="N56" i="4" a="1"/>
  <c r="V56" i="4" a="1"/>
  <c r="AD56" i="4" a="1"/>
  <c r="AL56" i="4" a="1"/>
  <c r="AT56" i="4" a="1"/>
  <c r="E57" i="4" a="1"/>
  <c r="M57" i="4" a="1"/>
  <c r="U57" i="4" a="1"/>
  <c r="AC57" i="4" a="1"/>
  <c r="AK57" i="4" a="1"/>
  <c r="AS57" i="4" a="1"/>
  <c r="D58" i="4" a="1"/>
  <c r="L58" i="4" a="1"/>
  <c r="T58" i="4" a="1"/>
  <c r="AB58" i="4" a="1"/>
  <c r="AJ58" i="4" a="1"/>
  <c r="AR58" i="4" a="1"/>
  <c r="J45" i="4" a="1"/>
  <c r="R45" i="4" a="1"/>
  <c r="Z45" i="4" a="1"/>
  <c r="AH45" i="4" a="1"/>
  <c r="AP45" i="4" a="1"/>
  <c r="AX45" i="4" a="1"/>
  <c r="I46" i="4" a="1"/>
  <c r="Q46" i="4" a="1"/>
  <c r="Y46" i="4" a="1"/>
  <c r="AG46" i="4" a="1"/>
  <c r="AO46" i="4" a="1"/>
  <c r="AW46" i="4" a="1"/>
  <c r="H47" i="4" a="1"/>
  <c r="P47" i="4" a="1"/>
  <c r="X47" i="4" a="1"/>
  <c r="AF47" i="4" a="1"/>
  <c r="AN47" i="4" a="1"/>
  <c r="AV47" i="4" a="1"/>
  <c r="G48" i="4" a="1"/>
  <c r="O48" i="4" a="1"/>
  <c r="W48" i="4" a="1"/>
  <c r="AE48" i="4" a="1"/>
  <c r="AM48" i="4" a="1"/>
  <c r="AU48" i="4" a="1"/>
  <c r="F49" i="4" a="1"/>
  <c r="N49" i="4" a="1"/>
  <c r="V49" i="4" a="1"/>
  <c r="AD49" i="4" a="1"/>
  <c r="AL49" i="4" a="1"/>
  <c r="AT49" i="4" a="1"/>
  <c r="E50" i="4" a="1"/>
  <c r="M50" i="4" a="1"/>
  <c r="U50" i="4" a="1"/>
  <c r="AC50" i="4" a="1"/>
  <c r="AK50" i="4" a="1"/>
  <c r="AS50" i="4" a="1"/>
  <c r="D51" i="4" a="1"/>
  <c r="L51" i="4" a="1"/>
  <c r="T51" i="4" a="1"/>
  <c r="AB51" i="4" a="1"/>
  <c r="AJ51" i="4" a="1"/>
  <c r="AR51" i="4" a="1"/>
  <c r="AZ51" i="4" a="1"/>
  <c r="K52" i="4" a="1"/>
  <c r="K45" i="4" a="1"/>
  <c r="Z46" i="4" a="1"/>
  <c r="AO47" i="4" a="1"/>
  <c r="G49" i="4" a="1"/>
  <c r="V50" i="4" a="1"/>
  <c r="E51" i="4" a="1"/>
  <c r="AK51" i="4" a="1"/>
  <c r="S52" i="4" a="1"/>
  <c r="AR52" i="4" a="1"/>
  <c r="P53" i="4" a="1"/>
  <c r="AL53" i="4" a="1"/>
  <c r="J54" i="4" a="1"/>
  <c r="AE54" i="4" a="1"/>
  <c r="N55" i="4" a="1"/>
  <c r="AB55" i="4" a="1"/>
  <c r="AP55" i="4" a="1"/>
  <c r="F57" i="4" a="1"/>
  <c r="P57" i="4" a="1"/>
  <c r="AL57" i="4" a="1"/>
  <c r="AV57" i="4" a="1"/>
  <c r="U58" i="4" a="1"/>
  <c r="AE58" i="4" a="1"/>
  <c r="AY58" i="4" a="1"/>
  <c r="J59" i="4" a="1"/>
  <c r="R59" i="4" a="1"/>
  <c r="Z59" i="4" a="1"/>
  <c r="AH59" i="4" a="1"/>
  <c r="AP59" i="4" a="1"/>
  <c r="AX59" i="4" a="1"/>
  <c r="I60" i="4" a="1"/>
  <c r="Q60" i="4" a="1"/>
  <c r="Y60" i="4" a="1"/>
  <c r="AG60" i="4" a="1"/>
  <c r="AO60" i="4" a="1"/>
  <c r="AW60" i="4" a="1"/>
  <c r="H61" i="4" a="1"/>
  <c r="P61" i="4" a="1"/>
  <c r="X61" i="4" a="1"/>
  <c r="AF61" i="4" a="1"/>
  <c r="AN61" i="4" a="1"/>
  <c r="AV61" i="4" a="1"/>
  <c r="AR61" i="4" a="1"/>
  <c r="AC61" i="4" a="1"/>
  <c r="AN48" i="4" a="1"/>
  <c r="AU60" i="4" a="1"/>
  <c r="AV48" i="4" a="1"/>
  <c r="O57" i="4" a="1"/>
  <c r="AV60" i="4" a="1"/>
  <c r="T52" i="4" a="1"/>
  <c r="R53" i="4" a="1"/>
  <c r="AM53" i="4" a="1"/>
  <c r="AG54" i="4" a="1"/>
  <c r="AX54" i="4" a="1"/>
  <c r="P55" i="4" a="1"/>
  <c r="AC55" i="4" a="1"/>
  <c r="AQ55" i="4" a="1"/>
  <c r="H56" i="4" a="1"/>
  <c r="T56" i="4" a="1"/>
  <c r="AG56" i="4" a="1"/>
  <c r="AR56" i="4" a="1"/>
  <c r="Q57" i="4" a="1"/>
  <c r="AA57" i="4" a="1"/>
  <c r="AW57" i="4" a="1"/>
  <c r="J58" i="4" a="1"/>
  <c r="AF58" i="4" a="1"/>
  <c r="AP58" i="4" a="1"/>
  <c r="Z54" i="4" a="1"/>
  <c r="AC56" i="4" a="1"/>
  <c r="H59" i="4" a="1"/>
  <c r="AC54" i="4" a="1"/>
  <c r="O61" i="4" a="1"/>
  <c r="S45" i="4" a="1"/>
  <c r="AH46" i="4" a="1"/>
  <c r="AW47" i="4" a="1"/>
  <c r="O49" i="4" a="1"/>
  <c r="Y50" i="4" a="1"/>
  <c r="H51" i="4" a="1"/>
  <c r="AN51" i="4" a="1"/>
  <c r="AU52" i="4" a="1"/>
  <c r="S53" i="4" a="1"/>
  <c r="AN53" i="4" a="1"/>
  <c r="M54" i="4" a="1"/>
  <c r="AH54" i="4" a="1"/>
  <c r="AD55" i="4" a="1"/>
  <c r="AR55" i="4" a="1"/>
  <c r="U56" i="4" a="1"/>
  <c r="AH56" i="4" a="1"/>
  <c r="AS56" i="4" a="1"/>
  <c r="G57" i="4" a="1"/>
  <c r="AB57" i="4" a="1"/>
  <c r="AM57" i="4" a="1"/>
  <c r="K58" i="4" a="1"/>
  <c r="V58" i="4" a="1"/>
  <c r="AQ58" i="4" a="1"/>
  <c r="AZ58" i="4" a="1"/>
  <c r="K59" i="4" a="1"/>
  <c r="S59" i="4" a="1"/>
  <c r="AA59" i="4" a="1"/>
  <c r="AI59" i="4" a="1"/>
  <c r="AQ59" i="4" a="1"/>
  <c r="AY59" i="4" a="1"/>
  <c r="J60" i="4" a="1"/>
  <c r="R60" i="4" a="1"/>
  <c r="Z60" i="4" a="1"/>
  <c r="AH60" i="4" a="1"/>
  <c r="AP60" i="4" a="1"/>
  <c r="AX60" i="4" a="1"/>
  <c r="I61" i="4" a="1"/>
  <c r="Q61" i="4" a="1"/>
  <c r="Y61" i="4" a="1"/>
  <c r="AG61" i="4" a="1"/>
  <c r="AO61" i="4" a="1"/>
  <c r="AW61" i="4" a="1"/>
  <c r="AK60" i="4" a="1"/>
  <c r="AJ61" i="4" a="1"/>
  <c r="Y47" i="4" a="1"/>
  <c r="G54" i="4" a="1"/>
  <c r="I59" i="4" a="1"/>
  <c r="Z50" i="4" a="1"/>
  <c r="I51" i="4" a="1"/>
  <c r="AO51" i="4" a="1"/>
  <c r="W52" i="4" a="1"/>
  <c r="AV52" i="4" a="1"/>
  <c r="AP53" i="4" a="1"/>
  <c r="N54" i="4" a="1"/>
  <c r="AY54" i="4" a="1"/>
  <c r="Q55" i="4" a="1"/>
  <c r="AF55" i="4" a="1"/>
  <c r="AS55" i="4" a="1"/>
  <c r="I56" i="4" a="1"/>
  <c r="W56" i="4" a="1"/>
  <c r="AI56" i="4" a="1"/>
  <c r="R57" i="4" a="1"/>
  <c r="AX57" i="4" a="1"/>
  <c r="AG58" i="4" a="1"/>
  <c r="AB61" i="4" a="1"/>
  <c r="M61" i="4" a="1"/>
  <c r="L52" i="4" a="1"/>
  <c r="AL61" i="4" a="1"/>
  <c r="N50" i="4" a="1"/>
  <c r="AF60" i="4" a="1"/>
  <c r="AA45" i="4" a="1"/>
  <c r="AP46" i="4" a="1"/>
  <c r="H48" i="4" a="1"/>
  <c r="W49" i="4" a="1"/>
  <c r="AD50" i="4" a="1"/>
  <c r="M51" i="4" a="1"/>
  <c r="AS51" i="4" a="1"/>
  <c r="X52" i="4" a="1"/>
  <c r="AW52" i="4" a="1"/>
  <c r="V53" i="4" a="1"/>
  <c r="AQ53" i="4" a="1"/>
  <c r="O54" i="4" a="1"/>
  <c r="AK54" i="4" a="1"/>
  <c r="AZ54" i="4" a="1"/>
  <c r="AT55" i="4" a="1"/>
  <c r="J56" i="4" a="1"/>
  <c r="AU56" i="4" a="1"/>
  <c r="H57" i="4" a="1"/>
  <c r="AD57" i="4" a="1"/>
  <c r="AN57" i="4" a="1"/>
  <c r="M58" i="4" a="1"/>
  <c r="W58" i="4" a="1"/>
  <c r="AS58" i="4" a="1"/>
  <c r="D59" i="4" a="1"/>
  <c r="L59" i="4" a="1"/>
  <c r="T59" i="4" a="1"/>
  <c r="AB59" i="4" a="1"/>
  <c r="AJ59" i="4" a="1"/>
  <c r="AR59" i="4" a="1"/>
  <c r="AZ59" i="4" a="1"/>
  <c r="K60" i="4" a="1"/>
  <c r="S60" i="4" a="1"/>
  <c r="AA60" i="4" a="1"/>
  <c r="AI60" i="4" a="1"/>
  <c r="AQ60" i="4" a="1"/>
  <c r="AY60" i="4" a="1"/>
  <c r="J61" i="4" a="1"/>
  <c r="R61" i="4" a="1"/>
  <c r="Z61" i="4" a="1"/>
  <c r="AH61" i="4" a="1"/>
  <c r="AP61" i="4" a="1"/>
  <c r="AX61" i="4" a="1"/>
  <c r="T61" i="4" a="1"/>
  <c r="U61" i="4" a="1"/>
  <c r="F50" i="4" a="1"/>
  <c r="AM60" i="4" a="1"/>
  <c r="AG47" i="4" a="1"/>
  <c r="AJ57" i="4" a="1"/>
  <c r="W61" i="4" a="1"/>
  <c r="AA52" i="4" a="1"/>
  <c r="AY52" i="4" a="1"/>
  <c r="W53" i="4" a="1"/>
  <c r="Q54" i="4" a="1"/>
  <c r="AL54" i="4" a="1"/>
  <c r="D55" i="4" a="1"/>
  <c r="R55" i="4" a="1"/>
  <c r="AG55" i="4" a="1"/>
  <c r="AV55" i="4" a="1"/>
  <c r="K56" i="4" a="1"/>
  <c r="X56" i="4" a="1"/>
  <c r="AJ56" i="4" a="1"/>
  <c r="I57" i="4" a="1"/>
  <c r="S57" i="4" a="1"/>
  <c r="AO57" i="4" a="1"/>
  <c r="AY57" i="4" a="1"/>
  <c r="X58" i="4" a="1"/>
  <c r="AH58" i="4" a="1"/>
  <c r="L61" i="4" a="1"/>
  <c r="AK61" i="4" a="1"/>
  <c r="AC51" i="4" a="1"/>
  <c r="AI53" i="4" a="1"/>
  <c r="Q59" i="4" a="1"/>
  <c r="AI45" i="4" a="1"/>
  <c r="AX46" i="4" a="1"/>
  <c r="P48" i="4" a="1"/>
  <c r="AE49" i="4" a="1"/>
  <c r="AG50" i="4" a="1"/>
  <c r="P51" i="4" a="1"/>
  <c r="AV51" i="4" a="1"/>
  <c r="AB52" i="4" a="1"/>
  <c r="AZ52" i="4" a="1"/>
  <c r="X53" i="4" a="1"/>
  <c r="AT53" i="4" a="1"/>
  <c r="R54" i="4" a="1"/>
  <c r="AM54" i="4" a="1"/>
  <c r="E55" i="4" a="1"/>
  <c r="S55" i="4" a="1"/>
  <c r="AK56" i="4" a="1"/>
  <c r="AV56" i="4" a="1"/>
  <c r="T57" i="4" a="1"/>
  <c r="AE57" i="4" a="1"/>
  <c r="AZ57" i="4" a="1"/>
  <c r="N58" i="4" a="1"/>
  <c r="AI58" i="4" a="1"/>
  <c r="AT58" i="4" a="1"/>
  <c r="E59" i="4" a="1"/>
  <c r="M59" i="4" a="1"/>
  <c r="U59" i="4" a="1"/>
  <c r="AC59" i="4" a="1"/>
  <c r="AK59" i="4" a="1"/>
  <c r="AS59" i="4" a="1"/>
  <c r="D60" i="4" a="1"/>
  <c r="L60" i="4" a="1"/>
  <c r="T60" i="4" a="1"/>
  <c r="AB60" i="4" a="1"/>
  <c r="AJ60" i="4" a="1"/>
  <c r="AR60" i="4" a="1"/>
  <c r="AZ60" i="4" a="1"/>
  <c r="K61" i="4" a="1"/>
  <c r="S61" i="4" a="1"/>
  <c r="AA61" i="4" a="1"/>
  <c r="AI61" i="4" a="1"/>
  <c r="AQ61" i="4" a="1"/>
  <c r="AY61" i="4" a="1"/>
  <c r="D61" i="4" a="1"/>
  <c r="AZ61" i="4" a="1"/>
  <c r="E61" i="4" a="1"/>
  <c r="AT50" i="4" a="1"/>
  <c r="F61" i="4" a="1"/>
  <c r="R46" i="4" a="1"/>
  <c r="AU61" i="4" a="1"/>
  <c r="AH50" i="4" a="1"/>
  <c r="Q51" i="4" a="1"/>
  <c r="AW51" i="4" a="1"/>
  <c r="Z53" i="4" a="1"/>
  <c r="AU53" i="4" a="1"/>
  <c r="AO54" i="4" a="1"/>
  <c r="F55" i="4" a="1"/>
  <c r="T55" i="4" a="1"/>
  <c r="AH55" i="4" a="1"/>
  <c r="AW55" i="4" a="1"/>
  <c r="L56" i="4" a="1"/>
  <c r="Y56" i="4" a="1"/>
  <c r="J57" i="4" a="1"/>
  <c r="AP57" i="4" a="1"/>
  <c r="Y58" i="4" a="1"/>
  <c r="E54" i="4" a="1"/>
  <c r="AC58" i="4" a="1"/>
  <c r="W60" i="4" a="1"/>
  <c r="AZ56" i="4" a="1"/>
  <c r="AO55" i="4" a="1"/>
  <c r="P60" i="4" a="1"/>
  <c r="AQ45" i="4" a="1"/>
  <c r="I47" i="4" a="1"/>
  <c r="X48" i="4" a="1"/>
  <c r="AM49" i="4" a="1"/>
  <c r="AL50" i="4" a="1"/>
  <c r="U51" i="4" a="1"/>
  <c r="D52" i="4" a="1"/>
  <c r="AE52" i="4" a="1"/>
  <c r="F53" i="4" a="1"/>
  <c r="AA53" i="4" a="1"/>
  <c r="AV53" i="4" a="1"/>
  <c r="U54" i="4" a="1"/>
  <c r="H55" i="4" a="1"/>
  <c r="U55" i="4" a="1"/>
  <c r="AI55" i="4" a="1"/>
  <c r="M56" i="4" a="1"/>
  <c r="Z56" i="4" a="1"/>
  <c r="AM56" i="4" a="1"/>
  <c r="AW56" i="4" a="1"/>
  <c r="V57" i="4" a="1"/>
  <c r="AF57" i="4" a="1"/>
  <c r="E58" i="4" a="1"/>
  <c r="O58" i="4" a="1"/>
  <c r="AK58" i="4" a="1"/>
  <c r="AU58" i="4" a="1"/>
  <c r="F59" i="4" a="1"/>
  <c r="N59" i="4" a="1"/>
  <c r="V59" i="4" a="1"/>
  <c r="AD59" i="4" a="1"/>
  <c r="AL59" i="4" a="1"/>
  <c r="AT59" i="4" a="1"/>
  <c r="E60" i="4" a="1"/>
  <c r="M60" i="4" a="1"/>
  <c r="U60" i="4" a="1"/>
  <c r="AC60" i="4" a="1"/>
  <c r="AS60" i="4" a="1"/>
  <c r="G58" i="4" a="1"/>
  <c r="X59" i="4" a="1"/>
  <c r="AV59" i="4" a="1"/>
  <c r="N61" i="4" a="1"/>
  <c r="K55" i="4" a="1"/>
  <c r="D56" i="4" a="1"/>
  <c r="Y57" i="4" a="1"/>
  <c r="AN58" i="4" a="1"/>
  <c r="AF51" i="4" a="1"/>
  <c r="Z55" i="4" a="1"/>
  <c r="AX58" i="4" a="1"/>
  <c r="H60" i="4" a="1"/>
  <c r="AE61" i="4" a="1"/>
  <c r="AF52" i="4" a="1"/>
  <c r="G53" i="4" a="1"/>
  <c r="AX53" i="4" a="1"/>
  <c r="V54" i="4" a="1"/>
  <c r="AP54" i="4" a="1"/>
  <c r="V55" i="4" a="1"/>
  <c r="AJ55" i="4" a="1"/>
  <c r="AX55" i="4" a="1"/>
  <c r="O56" i="4" a="1"/>
  <c r="AA56" i="4" a="1"/>
  <c r="AX56" i="4" a="1"/>
  <c r="K57" i="4" a="1"/>
  <c r="AG57" i="4" a="1"/>
  <c r="AQ57" i="4" a="1"/>
  <c r="P58" i="4" a="1"/>
  <c r="Z58" i="4" a="1"/>
  <c r="AF53" i="4" a="1"/>
  <c r="Y55" i="4" a="1"/>
  <c r="N57" i="4" a="1"/>
  <c r="AW58" i="4" a="1"/>
  <c r="AF59" i="4" a="1"/>
  <c r="O60" i="4" a="1"/>
  <c r="AT61" i="4" a="1"/>
  <c r="AM52" i="4" a="1"/>
  <c r="AT54" i="4" a="1"/>
  <c r="AP56" i="4" a="1"/>
  <c r="H58" i="4" a="1"/>
  <c r="N53" i="4" a="1"/>
  <c r="AU54" i="4" a="1"/>
  <c r="R56" i="4" a="1"/>
  <c r="AU57" i="4" a="1"/>
  <c r="Y59" i="4" a="1"/>
  <c r="AN60" i="4" a="1"/>
  <c r="AY45" i="4" a="1"/>
  <c r="Q47" i="4" a="1"/>
  <c r="AF48" i="4" a="1"/>
  <c r="AU49" i="4" a="1"/>
  <c r="AO50" i="4" a="1"/>
  <c r="X51" i="4" a="1"/>
  <c r="G52" i="4" a="1"/>
  <c r="AI52" i="4" a="1"/>
  <c r="H53" i="4" a="1"/>
  <c r="AD53" i="4" a="1"/>
  <c r="AY53" i="4" a="1"/>
  <c r="W54" i="4" a="1"/>
  <c r="I55" i="4" a="1"/>
  <c r="X55" i="4" a="1"/>
  <c r="AK55" i="4" a="1"/>
  <c r="AY55" i="4" a="1"/>
  <c r="AN56" i="4" a="1"/>
  <c r="L57" i="4" a="1"/>
  <c r="W57" i="4" a="1"/>
  <c r="AR57" i="4" a="1"/>
  <c r="F58" i="4" a="1"/>
  <c r="AA58" i="4" a="1"/>
  <c r="AL58" i="4" a="1"/>
  <c r="AV58" i="4" a="1"/>
  <c r="G59" i="4" a="1"/>
  <c r="O59" i="4" a="1"/>
  <c r="W59" i="4" a="1"/>
  <c r="AE59" i="4" a="1"/>
  <c r="AM59" i="4" a="1"/>
  <c r="AU59" i="4" a="1"/>
  <c r="F60" i="4" a="1"/>
  <c r="N60" i="4" a="1"/>
  <c r="V60" i="4" a="1"/>
  <c r="AD60" i="4" a="1"/>
  <c r="AL60" i="4" a="1"/>
  <c r="AT60" i="4" a="1"/>
  <c r="AS61" i="4" a="1"/>
  <c r="K53" i="4" a="1"/>
  <c r="AN55" i="4" a="1"/>
  <c r="X57" i="4" a="1"/>
  <c r="AM58" i="4" a="1"/>
  <c r="AN59" i="4" a="1"/>
  <c r="AE60" i="4" a="1"/>
  <c r="AD61" i="4" a="1"/>
  <c r="AH53" i="4" a="1"/>
  <c r="Q56" i="4" a="1"/>
  <c r="AW50" i="4" a="1"/>
  <c r="L55" i="4" a="1"/>
  <c r="S58" i="4" a="1"/>
  <c r="AG59" i="4" a="1"/>
  <c r="X60" i="4" a="1"/>
  <c r="AM61" i="4" a="1"/>
  <c r="AP50" i="4" a="1"/>
  <c r="Y51" i="4" a="1"/>
  <c r="H52" i="4" a="1"/>
  <c r="AJ52" i="4" a="1"/>
  <c r="J53" i="4" a="1"/>
  <c r="AE53" i="4" a="1"/>
  <c r="Y54" i="4" a="1"/>
  <c r="AR54" i="4" a="1"/>
  <c r="AL55" i="4" a="1"/>
  <c r="AZ55" i="4" a="1"/>
  <c r="P56" i="4" a="1"/>
  <c r="AB56" i="4" a="1"/>
  <c r="AY56" i="4" a="1"/>
  <c r="AH57" i="4" a="1"/>
  <c r="Q58" i="4" a="1"/>
  <c r="J46" i="4" a="1"/>
  <c r="AN52" i="4" a="1"/>
  <c r="AO59" i="4" a="1"/>
  <c r="AX50" i="4" a="1"/>
  <c r="AG51" i="4" a="1"/>
  <c r="P52" i="4" a="1"/>
  <c r="AQ52" i="4" a="1"/>
  <c r="O53" i="4" a="1"/>
  <c r="I54" i="4" a="1"/>
  <c r="AD54" i="4" a="1"/>
  <c r="AW54" i="4" a="1"/>
  <c r="M55" i="4" a="1"/>
  <c r="AA55" i="4" a="1"/>
  <c r="G56" i="4" a="1"/>
  <c r="S56" i="4" a="1"/>
  <c r="AF56" i="4" a="1"/>
  <c r="AQ56" i="4" a="1"/>
  <c r="Z57" i="4" a="1"/>
  <c r="I58" i="4" a="1"/>
  <c r="AO58" i="4" a="1"/>
  <c r="AS54" i="4" a="1"/>
  <c r="J55" i="4" a="1"/>
  <c r="AO56" i="4" a="1"/>
  <c r="AT57" i="4" a="1"/>
  <c r="P59" i="4" a="1"/>
  <c r="G60" i="4" a="1"/>
  <c r="V61" i="4" a="1"/>
  <c r="F54" i="4" a="1"/>
  <c r="AE56" i="4" a="1"/>
  <c r="AI57" i="4" a="1"/>
  <c r="R58" i="4" a="1"/>
  <c r="O52" i="4" a="1"/>
  <c r="E56" i="4" a="1"/>
  <c r="D57" i="4" a="1"/>
  <c r="AD58" i="4" a="1"/>
  <c r="AW59" i="4" a="1"/>
  <c r="G61" i="4" a="1"/>
  <c r="C46" i="4" a="1"/>
  <c r="C54" i="4" a="1"/>
  <c r="C55" i="4" a="1"/>
  <c r="C52" i="4" a="1"/>
  <c r="C47" i="4" a="1"/>
  <c r="C48" i="4" a="1"/>
  <c r="C56" i="4" a="1"/>
  <c r="C59" i="4" a="1"/>
  <c r="C53" i="4" a="1"/>
  <c r="C49" i="4" a="1"/>
  <c r="C57" i="4" a="1"/>
  <c r="C58" i="4" a="1"/>
  <c r="C51" i="4" a="1"/>
  <c r="C60" i="4" a="1"/>
  <c r="C61" i="4" a="1"/>
  <c r="C50" i="4" a="1"/>
  <c r="C45" i="4" a="1"/>
  <c r="F37" i="4" a="1"/>
  <c r="AV61" i="6" l="1"/>
  <c r="AO60" i="6"/>
  <c r="J59" i="6"/>
  <c r="AJ61" i="6"/>
  <c r="AS60" i="6"/>
  <c r="AQ61" i="6"/>
  <c r="AZ60" i="6"/>
  <c r="T60" i="6"/>
  <c r="AK59" i="6"/>
  <c r="AW61" i="6"/>
  <c r="AG61" i="6"/>
  <c r="Q61" i="6"/>
  <c r="I61" i="6"/>
  <c r="AX60" i="6"/>
  <c r="AP60" i="6"/>
  <c r="AH60" i="6"/>
  <c r="Z60" i="6"/>
  <c r="R60" i="6"/>
  <c r="J60" i="6"/>
  <c r="AY59" i="6"/>
  <c r="AQ59" i="6"/>
  <c r="AI59" i="6"/>
  <c r="AA59" i="6"/>
  <c r="S59" i="6"/>
  <c r="K59" i="6"/>
  <c r="AZ58" i="6"/>
  <c r="AE58" i="6"/>
  <c r="AV57" i="6"/>
  <c r="P57" i="6"/>
  <c r="AF56" i="6"/>
  <c r="Y55" i="6"/>
  <c r="AR52" i="6"/>
  <c r="N50" i="6"/>
  <c r="AG47" i="6"/>
  <c r="H61" i="6"/>
  <c r="AP59" i="6"/>
  <c r="AZ61" i="6"/>
  <c r="T61" i="6"/>
  <c r="D61" i="6"/>
  <c r="S61" i="6"/>
  <c r="AB60" i="6"/>
  <c r="AS59" i="6"/>
  <c r="AO61" i="6"/>
  <c r="Y61" i="6"/>
  <c r="AD58" i="6"/>
  <c r="AU57" i="6"/>
  <c r="O57" i="6"/>
  <c r="AE56" i="6"/>
  <c r="Q55" i="6"/>
  <c r="AJ52" i="6"/>
  <c r="F50" i="6"/>
  <c r="Y47" i="6"/>
  <c r="AG60" i="6"/>
  <c r="N57" i="6"/>
  <c r="AB58" i="6"/>
  <c r="AS57" i="6"/>
  <c r="M57" i="6"/>
  <c r="X56" i="6"/>
  <c r="AX54" i="6"/>
  <c r="T52" i="6"/>
  <c r="AM49" i="6"/>
  <c r="I47" i="6"/>
  <c r="I60" i="6"/>
  <c r="I55" i="6"/>
  <c r="W61" i="6"/>
  <c r="H60" i="6"/>
  <c r="Y59" i="6"/>
  <c r="W58" i="6"/>
  <c r="AN57" i="6"/>
  <c r="H57" i="6"/>
  <c r="W56" i="6"/>
  <c r="AP54" i="6"/>
  <c r="L52" i="6"/>
  <c r="AE49" i="6"/>
  <c r="AX46" i="6"/>
  <c r="X61" i="6"/>
  <c r="Q60" i="6"/>
  <c r="AY58" i="6"/>
  <c r="AB52" i="6"/>
  <c r="AM61" i="6"/>
  <c r="G61" i="6"/>
  <c r="AF60" i="6"/>
  <c r="AW59" i="6"/>
  <c r="AX58" i="6"/>
  <c r="V58" i="6"/>
  <c r="AM57" i="6"/>
  <c r="G57" i="6"/>
  <c r="V56" i="6"/>
  <c r="AH54" i="6"/>
  <c r="D52" i="6"/>
  <c r="W49" i="6"/>
  <c r="AP46" i="6"/>
  <c r="Q47" i="6"/>
  <c r="AU61" i="6"/>
  <c r="O61" i="6"/>
  <c r="AV60" i="6"/>
  <c r="X60" i="6"/>
  <c r="AG59" i="6"/>
  <c r="Q59" i="6"/>
  <c r="AT61" i="6"/>
  <c r="AL61" i="6"/>
  <c r="AD61" i="6"/>
  <c r="V61" i="6"/>
  <c r="N61" i="6"/>
  <c r="F61" i="6"/>
  <c r="AU60" i="6"/>
  <c r="AM60" i="6"/>
  <c r="AE60" i="6"/>
  <c r="W60" i="6"/>
  <c r="O60" i="6"/>
  <c r="G60" i="6"/>
  <c r="AV59" i="6"/>
  <c r="AN59" i="6"/>
  <c r="AF59" i="6"/>
  <c r="X59" i="6"/>
  <c r="P59" i="6"/>
  <c r="H59" i="6"/>
  <c r="U58" i="6"/>
  <c r="AL57" i="6"/>
  <c r="F57" i="6"/>
  <c r="P56" i="6"/>
  <c r="Z54" i="6"/>
  <c r="AS51" i="6"/>
  <c r="O49" i="6"/>
  <c r="AH46" i="6"/>
  <c r="AU49" i="6"/>
  <c r="AE61" i="6"/>
  <c r="AN60" i="6"/>
  <c r="P60" i="6"/>
  <c r="AO59" i="6"/>
  <c r="I59" i="6"/>
  <c r="T58" i="6"/>
  <c r="AK57" i="6"/>
  <c r="E57" i="6"/>
  <c r="O56" i="6"/>
  <c r="R54" i="6"/>
  <c r="AK51" i="6"/>
  <c r="G49" i="6"/>
  <c r="Z46" i="6"/>
  <c r="AF61" i="6"/>
  <c r="AT57" i="6"/>
  <c r="AK61" i="6"/>
  <c r="E61" i="6"/>
  <c r="AD60" i="6"/>
  <c r="N60" i="6"/>
  <c r="AU59" i="6"/>
  <c r="AE59" i="6"/>
  <c r="W59" i="6"/>
  <c r="O59" i="6"/>
  <c r="AU58" i="6"/>
  <c r="O58" i="6"/>
  <c r="AF57" i="6"/>
  <c r="AW56" i="6"/>
  <c r="H56" i="6"/>
  <c r="J54" i="6"/>
  <c r="AC51" i="6"/>
  <c r="AV48" i="6"/>
  <c r="R46" i="6"/>
  <c r="Y60" i="6"/>
  <c r="AD56" i="6"/>
  <c r="AS61" i="6"/>
  <c r="AC61" i="6"/>
  <c r="U61" i="6"/>
  <c r="M61" i="6"/>
  <c r="AT60" i="6"/>
  <c r="AL60" i="6"/>
  <c r="V60" i="6"/>
  <c r="F60" i="6"/>
  <c r="AM59" i="6"/>
  <c r="G59" i="6"/>
  <c r="AT58" i="6"/>
  <c r="N58" i="6"/>
  <c r="AE57" i="6"/>
  <c r="AV56" i="6"/>
  <c r="G56" i="6"/>
  <c r="AY53" i="6"/>
  <c r="U51" i="6"/>
  <c r="AN48" i="6"/>
  <c r="J46" i="6"/>
  <c r="AX59" i="6"/>
  <c r="AC60" i="6"/>
  <c r="M60" i="6"/>
  <c r="E60" i="6"/>
  <c r="AT59" i="6"/>
  <c r="AL59" i="6"/>
  <c r="AD59" i="6"/>
  <c r="V59" i="6"/>
  <c r="N59" i="6"/>
  <c r="F59" i="6"/>
  <c r="AS58" i="6"/>
  <c r="M58" i="6"/>
  <c r="AD57" i="6"/>
  <c r="AU56" i="6"/>
  <c r="AW55" i="6"/>
  <c r="AQ53" i="6"/>
  <c r="M51" i="6"/>
  <c r="AF48" i="6"/>
  <c r="AY45" i="6"/>
  <c r="R59" i="6"/>
  <c r="AR61" i="6"/>
  <c r="AR58" i="6"/>
  <c r="L58" i="6"/>
  <c r="AC57" i="6"/>
  <c r="AT56" i="6"/>
  <c r="AV55" i="6"/>
  <c r="AI53" i="6"/>
  <c r="E51" i="6"/>
  <c r="X48" i="6"/>
  <c r="AQ45" i="6"/>
  <c r="AN61" i="6"/>
  <c r="AC58" i="6"/>
  <c r="AI61" i="6"/>
  <c r="L60" i="6"/>
  <c r="AC59" i="6"/>
  <c r="U59" i="6"/>
  <c r="M59" i="6"/>
  <c r="E59" i="6"/>
  <c r="AM58" i="6"/>
  <c r="G58" i="6"/>
  <c r="X57" i="6"/>
  <c r="AO56" i="6"/>
  <c r="AO55" i="6"/>
  <c r="AA53" i="6"/>
  <c r="AT50" i="6"/>
  <c r="P48" i="6"/>
  <c r="AI45" i="6"/>
  <c r="Z59" i="6"/>
  <c r="L61" i="6"/>
  <c r="AR60" i="6"/>
  <c r="AL58" i="6"/>
  <c r="F58" i="6"/>
  <c r="W57" i="6"/>
  <c r="AN56" i="6"/>
  <c r="AN55" i="6"/>
  <c r="S53" i="6"/>
  <c r="AL50" i="6"/>
  <c r="H48" i="6"/>
  <c r="AA45" i="6"/>
  <c r="AW60" i="6"/>
  <c r="AH59" i="6"/>
  <c r="AB61" i="6"/>
  <c r="AK60" i="6"/>
  <c r="AY61" i="6"/>
  <c r="K61" i="6"/>
  <c r="AJ60" i="6"/>
  <c r="D60" i="6"/>
  <c r="AX61" i="6"/>
  <c r="AP61" i="6"/>
  <c r="AH61" i="6"/>
  <c r="Z61" i="6"/>
  <c r="R61" i="6"/>
  <c r="J61" i="6"/>
  <c r="AY60" i="6"/>
  <c r="AQ60" i="6"/>
  <c r="AI60" i="6"/>
  <c r="AA60" i="6"/>
  <c r="S60" i="6"/>
  <c r="K60" i="6"/>
  <c r="AZ59" i="6"/>
  <c r="AR59" i="6"/>
  <c r="AJ59" i="6"/>
  <c r="AB59" i="6"/>
  <c r="T59" i="6"/>
  <c r="L59" i="6"/>
  <c r="D59" i="6"/>
  <c r="AK58" i="6"/>
  <c r="E58" i="6"/>
  <c r="V57" i="6"/>
  <c r="AM56" i="6"/>
  <c r="AG55" i="6"/>
  <c r="K53" i="6"/>
  <c r="AD50" i="6"/>
  <c r="AW47" i="6"/>
  <c r="S45" i="6"/>
  <c r="P61" i="6"/>
  <c r="U60" i="6"/>
  <c r="AA61" i="6"/>
  <c r="AJ58" i="6"/>
  <c r="D58" i="6"/>
  <c r="U57" i="6"/>
  <c r="AL56" i="6"/>
  <c r="AF55" i="6"/>
  <c r="AZ52" i="6"/>
  <c r="V50" i="6"/>
  <c r="AO47" i="6"/>
  <c r="K45" i="6"/>
  <c r="X55" i="6"/>
  <c r="P55" i="6"/>
  <c r="H55" i="6"/>
  <c r="AW54" i="6"/>
  <c r="AO54" i="6"/>
  <c r="AG54" i="6"/>
  <c r="Y54" i="6"/>
  <c r="Q54" i="6"/>
  <c r="I54" i="6"/>
  <c r="AX53" i="6"/>
  <c r="AP53" i="6"/>
  <c r="AH53" i="6"/>
  <c r="Z53" i="6"/>
  <c r="R53" i="6"/>
  <c r="J53" i="6"/>
  <c r="AY52" i="6"/>
  <c r="AQ52" i="6"/>
  <c r="AI52" i="6"/>
  <c r="AA52" i="6"/>
  <c r="S52" i="6"/>
  <c r="K52" i="6"/>
  <c r="AZ51" i="6"/>
  <c r="AR51" i="6"/>
  <c r="AJ51" i="6"/>
  <c r="AB51" i="6"/>
  <c r="T51" i="6"/>
  <c r="L51" i="6"/>
  <c r="D51" i="6"/>
  <c r="AS50" i="6"/>
  <c r="AK50" i="6"/>
  <c r="AC50" i="6"/>
  <c r="U50" i="6"/>
  <c r="M50" i="6"/>
  <c r="E50" i="6"/>
  <c r="AT49" i="6"/>
  <c r="AL49" i="6"/>
  <c r="AD49" i="6"/>
  <c r="V49" i="6"/>
  <c r="N49" i="6"/>
  <c r="F49" i="6"/>
  <c r="AU48" i="6"/>
  <c r="AM48" i="6"/>
  <c r="AE48" i="6"/>
  <c r="W48" i="6"/>
  <c r="O48" i="6"/>
  <c r="G48" i="6"/>
  <c r="AV47" i="6"/>
  <c r="AN47" i="6"/>
  <c r="AF47" i="6"/>
  <c r="X47" i="6"/>
  <c r="P47" i="6"/>
  <c r="H47" i="6"/>
  <c r="AW46" i="6"/>
  <c r="AO46" i="6"/>
  <c r="AG46" i="6"/>
  <c r="Y46" i="6"/>
  <c r="Q46" i="6"/>
  <c r="I46" i="6"/>
  <c r="AX45" i="6"/>
  <c r="AP45" i="6"/>
  <c r="AH45" i="6"/>
  <c r="Z45" i="6"/>
  <c r="R45" i="6"/>
  <c r="J45" i="6"/>
  <c r="N56" i="6"/>
  <c r="F56" i="6"/>
  <c r="AU55" i="6"/>
  <c r="AM55" i="6"/>
  <c r="AE55" i="6"/>
  <c r="W55" i="6"/>
  <c r="O55" i="6"/>
  <c r="G55" i="6"/>
  <c r="AV54" i="6"/>
  <c r="AN54" i="6"/>
  <c r="AF54" i="6"/>
  <c r="X54" i="6"/>
  <c r="P54" i="6"/>
  <c r="H54" i="6"/>
  <c r="AW53" i="6"/>
  <c r="AO53" i="6"/>
  <c r="AG53" i="6"/>
  <c r="Y53" i="6"/>
  <c r="Q53" i="6"/>
  <c r="I53" i="6"/>
  <c r="AX52" i="6"/>
  <c r="AP52" i="6"/>
  <c r="AH52" i="6"/>
  <c r="Z52" i="6"/>
  <c r="R52" i="6"/>
  <c r="J52" i="6"/>
  <c r="AY51" i="6"/>
  <c r="AQ51" i="6"/>
  <c r="AI51" i="6"/>
  <c r="AA51" i="6"/>
  <c r="S51" i="6"/>
  <c r="K51" i="6"/>
  <c r="AZ50" i="6"/>
  <c r="AR50" i="6"/>
  <c r="AJ50" i="6"/>
  <c r="AB50" i="6"/>
  <c r="T50" i="6"/>
  <c r="L50" i="6"/>
  <c r="D50" i="6"/>
  <c r="AS49" i="6"/>
  <c r="AK49" i="6"/>
  <c r="AC49" i="6"/>
  <c r="U49" i="6"/>
  <c r="M49" i="6"/>
  <c r="E49" i="6"/>
  <c r="AT48" i="6"/>
  <c r="AL48" i="6"/>
  <c r="AD48" i="6"/>
  <c r="V48" i="6"/>
  <c r="N48" i="6"/>
  <c r="F48" i="6"/>
  <c r="AU47" i="6"/>
  <c r="AM47" i="6"/>
  <c r="AE47" i="6"/>
  <c r="W47" i="6"/>
  <c r="O47" i="6"/>
  <c r="G47" i="6"/>
  <c r="AV46" i="6"/>
  <c r="AN46" i="6"/>
  <c r="AF46" i="6"/>
  <c r="X46" i="6"/>
  <c r="P46" i="6"/>
  <c r="H46" i="6"/>
  <c r="AW45" i="6"/>
  <c r="AO45" i="6"/>
  <c r="AG45" i="6"/>
  <c r="Y45" i="6"/>
  <c r="Q45" i="6"/>
  <c r="I45" i="6"/>
  <c r="AQ58" i="6"/>
  <c r="AI58" i="6"/>
  <c r="AA58" i="6"/>
  <c r="S58" i="6"/>
  <c r="K58" i="6"/>
  <c r="AZ57" i="6"/>
  <c r="AR57" i="6"/>
  <c r="AJ57" i="6"/>
  <c r="AB57" i="6"/>
  <c r="T57" i="6"/>
  <c r="L57" i="6"/>
  <c r="D57" i="6"/>
  <c r="AS56" i="6"/>
  <c r="AK56" i="6"/>
  <c r="AC56" i="6"/>
  <c r="U56" i="6"/>
  <c r="M56" i="6"/>
  <c r="E56" i="6"/>
  <c r="AT55" i="6"/>
  <c r="AL55" i="6"/>
  <c r="AD55" i="6"/>
  <c r="V55" i="6"/>
  <c r="N55" i="6"/>
  <c r="F55" i="6"/>
  <c r="AU54" i="6"/>
  <c r="AM54" i="6"/>
  <c r="AE54" i="6"/>
  <c r="W54" i="6"/>
  <c r="O54" i="6"/>
  <c r="G54" i="6"/>
  <c r="AV53" i="6"/>
  <c r="AN53" i="6"/>
  <c r="AF53" i="6"/>
  <c r="X53" i="6"/>
  <c r="P53" i="6"/>
  <c r="H53" i="6"/>
  <c r="AW52" i="6"/>
  <c r="AO52" i="6"/>
  <c r="AG52" i="6"/>
  <c r="Y52" i="6"/>
  <c r="Q52" i="6"/>
  <c r="I52" i="6"/>
  <c r="AX51" i="6"/>
  <c r="AP51" i="6"/>
  <c r="AH51" i="6"/>
  <c r="Z51" i="6"/>
  <c r="R51" i="6"/>
  <c r="J51" i="6"/>
  <c r="AY50" i="6"/>
  <c r="AQ50" i="6"/>
  <c r="AI50" i="6"/>
  <c r="AA50" i="6"/>
  <c r="S50" i="6"/>
  <c r="K50" i="6"/>
  <c r="AZ49" i="6"/>
  <c r="AR49" i="6"/>
  <c r="AJ49" i="6"/>
  <c r="AB49" i="6"/>
  <c r="T49" i="6"/>
  <c r="L49" i="6"/>
  <c r="D49" i="6"/>
  <c r="AS48" i="6"/>
  <c r="AK48" i="6"/>
  <c r="AC48" i="6"/>
  <c r="U48" i="6"/>
  <c r="M48" i="6"/>
  <c r="E48" i="6"/>
  <c r="AT47" i="6"/>
  <c r="AL47" i="6"/>
  <c r="AD47" i="6"/>
  <c r="V47" i="6"/>
  <c r="N47" i="6"/>
  <c r="F47" i="6"/>
  <c r="AU46" i="6"/>
  <c r="AM46" i="6"/>
  <c r="AE46" i="6"/>
  <c r="W46" i="6"/>
  <c r="O46" i="6"/>
  <c r="G46" i="6"/>
  <c r="AV45" i="6"/>
  <c r="AN45" i="6"/>
  <c r="AF45" i="6"/>
  <c r="X45" i="6"/>
  <c r="P45" i="6"/>
  <c r="H45" i="6"/>
  <c r="AP58" i="6"/>
  <c r="AH58" i="6"/>
  <c r="Z58" i="6"/>
  <c r="R58" i="6"/>
  <c r="J58" i="6"/>
  <c r="AY57" i="6"/>
  <c r="AQ57" i="6"/>
  <c r="AI57" i="6"/>
  <c r="AA57" i="6"/>
  <c r="S57" i="6"/>
  <c r="K57" i="6"/>
  <c r="AZ56" i="6"/>
  <c r="AR56" i="6"/>
  <c r="AJ56" i="6"/>
  <c r="AB56" i="6"/>
  <c r="T56" i="6"/>
  <c r="L56" i="6"/>
  <c r="D56" i="6"/>
  <c r="AS55" i="6"/>
  <c r="AK55" i="6"/>
  <c r="AC55" i="6"/>
  <c r="U55" i="6"/>
  <c r="M55" i="6"/>
  <c r="E55" i="6"/>
  <c r="AT54" i="6"/>
  <c r="AL54" i="6"/>
  <c r="AD54" i="6"/>
  <c r="V54" i="6"/>
  <c r="N54" i="6"/>
  <c r="F54" i="6"/>
  <c r="AU53" i="6"/>
  <c r="AM53" i="6"/>
  <c r="AE53" i="6"/>
  <c r="W53" i="6"/>
  <c r="O53" i="6"/>
  <c r="G53" i="6"/>
  <c r="AV52" i="6"/>
  <c r="AN52" i="6"/>
  <c r="AF52" i="6"/>
  <c r="X52" i="6"/>
  <c r="P52" i="6"/>
  <c r="H52" i="6"/>
  <c r="AW51" i="6"/>
  <c r="AO51" i="6"/>
  <c r="AG51" i="6"/>
  <c r="Y51" i="6"/>
  <c r="Q51" i="6"/>
  <c r="I51" i="6"/>
  <c r="AX50" i="6"/>
  <c r="AP50" i="6"/>
  <c r="AH50" i="6"/>
  <c r="Z50" i="6"/>
  <c r="R50" i="6"/>
  <c r="J50" i="6"/>
  <c r="AY49" i="6"/>
  <c r="AQ49" i="6"/>
  <c r="AI49" i="6"/>
  <c r="AA49" i="6"/>
  <c r="S49" i="6"/>
  <c r="K49" i="6"/>
  <c r="AZ48" i="6"/>
  <c r="AR48" i="6"/>
  <c r="AJ48" i="6"/>
  <c r="AB48" i="6"/>
  <c r="T48" i="6"/>
  <c r="L48" i="6"/>
  <c r="D48" i="6"/>
  <c r="AS47" i="6"/>
  <c r="AK47" i="6"/>
  <c r="AC47" i="6"/>
  <c r="U47" i="6"/>
  <c r="M47" i="6"/>
  <c r="E47" i="6"/>
  <c r="AT46" i="6"/>
  <c r="AL46" i="6"/>
  <c r="AD46" i="6"/>
  <c r="V46" i="6"/>
  <c r="N46" i="6"/>
  <c r="F46" i="6"/>
  <c r="AU45" i="6"/>
  <c r="AM45" i="6"/>
  <c r="AE45" i="6"/>
  <c r="W45" i="6"/>
  <c r="O45" i="6"/>
  <c r="G45" i="6"/>
  <c r="AW58" i="6"/>
  <c r="AO58" i="6"/>
  <c r="AG58" i="6"/>
  <c r="Y58" i="6"/>
  <c r="Q58" i="6"/>
  <c r="I58" i="6"/>
  <c r="AX57" i="6"/>
  <c r="AP57" i="6"/>
  <c r="AH57" i="6"/>
  <c r="Z57" i="6"/>
  <c r="R57" i="6"/>
  <c r="J57" i="6"/>
  <c r="AY56" i="6"/>
  <c r="AQ56" i="6"/>
  <c r="AI56" i="6"/>
  <c r="AA56" i="6"/>
  <c r="S56" i="6"/>
  <c r="K56" i="6"/>
  <c r="AZ55" i="6"/>
  <c r="AR55" i="6"/>
  <c r="AJ55" i="6"/>
  <c r="AB55" i="6"/>
  <c r="T55" i="6"/>
  <c r="L55" i="6"/>
  <c r="D55" i="6"/>
  <c r="AS54" i="6"/>
  <c r="AK54" i="6"/>
  <c r="AC54" i="6"/>
  <c r="U54" i="6"/>
  <c r="M54" i="6"/>
  <c r="E54" i="6"/>
  <c r="AT53" i="6"/>
  <c r="AL53" i="6"/>
  <c r="AD53" i="6"/>
  <c r="V53" i="6"/>
  <c r="N53" i="6"/>
  <c r="F53" i="6"/>
  <c r="AU52" i="6"/>
  <c r="AM52" i="6"/>
  <c r="AE52" i="6"/>
  <c r="W52" i="6"/>
  <c r="O52" i="6"/>
  <c r="G52" i="6"/>
  <c r="AV51" i="6"/>
  <c r="AN51" i="6"/>
  <c r="AF51" i="6"/>
  <c r="X51" i="6"/>
  <c r="P51" i="6"/>
  <c r="H51" i="6"/>
  <c r="AW50" i="6"/>
  <c r="AO50" i="6"/>
  <c r="AG50" i="6"/>
  <c r="Y50" i="6"/>
  <c r="Q50" i="6"/>
  <c r="I50" i="6"/>
  <c r="AX49" i="6"/>
  <c r="AP49" i="6"/>
  <c r="AH49" i="6"/>
  <c r="Z49" i="6"/>
  <c r="R49" i="6"/>
  <c r="J49" i="6"/>
  <c r="AY48" i="6"/>
  <c r="AQ48" i="6"/>
  <c r="AI48" i="6"/>
  <c r="AA48" i="6"/>
  <c r="S48" i="6"/>
  <c r="K48" i="6"/>
  <c r="AZ47" i="6"/>
  <c r="AR47" i="6"/>
  <c r="AJ47" i="6"/>
  <c r="AB47" i="6"/>
  <c r="T47" i="6"/>
  <c r="L47" i="6"/>
  <c r="D47" i="6"/>
  <c r="AS46" i="6"/>
  <c r="AK46" i="6"/>
  <c r="AC46" i="6"/>
  <c r="U46" i="6"/>
  <c r="M46" i="6"/>
  <c r="E46" i="6"/>
  <c r="AT45" i="6"/>
  <c r="AL45" i="6"/>
  <c r="AD45" i="6"/>
  <c r="V45" i="6"/>
  <c r="N45" i="6"/>
  <c r="F45" i="6"/>
  <c r="AV58" i="6"/>
  <c r="AN58" i="6"/>
  <c r="AF58" i="6"/>
  <c r="X58" i="6"/>
  <c r="P58" i="6"/>
  <c r="H58" i="6"/>
  <c r="AW57" i="6"/>
  <c r="AO57" i="6"/>
  <c r="AG57" i="6"/>
  <c r="Y57" i="6"/>
  <c r="Q57" i="6"/>
  <c r="I57" i="6"/>
  <c r="AX56" i="6"/>
  <c r="AP56" i="6"/>
  <c r="AH56" i="6"/>
  <c r="Z56" i="6"/>
  <c r="R56" i="6"/>
  <c r="J56" i="6"/>
  <c r="AY55" i="6"/>
  <c r="AQ55" i="6"/>
  <c r="AI55" i="6"/>
  <c r="AA55" i="6"/>
  <c r="S55" i="6"/>
  <c r="K55" i="6"/>
  <c r="AZ54" i="6"/>
  <c r="AR54" i="6"/>
  <c r="AJ54" i="6"/>
  <c r="AB54" i="6"/>
  <c r="T54" i="6"/>
  <c r="L54" i="6"/>
  <c r="D54" i="6"/>
  <c r="AS53" i="6"/>
  <c r="AK53" i="6"/>
  <c r="AC53" i="6"/>
  <c r="U53" i="6"/>
  <c r="M53" i="6"/>
  <c r="E53" i="6"/>
  <c r="AT52" i="6"/>
  <c r="AL52" i="6"/>
  <c r="AD52" i="6"/>
  <c r="V52" i="6"/>
  <c r="N52" i="6"/>
  <c r="F52" i="6"/>
  <c r="AU51" i="6"/>
  <c r="AM51" i="6"/>
  <c r="AE51" i="6"/>
  <c r="W51" i="6"/>
  <c r="O51" i="6"/>
  <c r="G51" i="6"/>
  <c r="AV50" i="6"/>
  <c r="AN50" i="6"/>
  <c r="AF50" i="6"/>
  <c r="X50" i="6"/>
  <c r="P50" i="6"/>
  <c r="H50" i="6"/>
  <c r="AW49" i="6"/>
  <c r="AO49" i="6"/>
  <c r="AG49" i="6"/>
  <c r="Y49" i="6"/>
  <c r="Q49" i="6"/>
  <c r="I49" i="6"/>
  <c r="AX48" i="6"/>
  <c r="AP48" i="6"/>
  <c r="AH48" i="6"/>
  <c r="Z48" i="6"/>
  <c r="R48" i="6"/>
  <c r="J48" i="6"/>
  <c r="AY47" i="6"/>
  <c r="AQ47" i="6"/>
  <c r="AI47" i="6"/>
  <c r="AA47" i="6"/>
  <c r="S47" i="6"/>
  <c r="K47" i="6"/>
  <c r="AZ46" i="6"/>
  <c r="AR46" i="6"/>
  <c r="AJ46" i="6"/>
  <c r="AB46" i="6"/>
  <c r="T46" i="6"/>
  <c r="L46" i="6"/>
  <c r="D46" i="6"/>
  <c r="AS45" i="6"/>
  <c r="AK45" i="6"/>
  <c r="AC45" i="6"/>
  <c r="U45" i="6"/>
  <c r="M45" i="6"/>
  <c r="E45" i="6"/>
  <c r="AG56" i="6"/>
  <c r="Y56" i="6"/>
  <c r="Q56" i="6"/>
  <c r="I56" i="6"/>
  <c r="AX55" i="6"/>
  <c r="AP55" i="6"/>
  <c r="AH55" i="6"/>
  <c r="Z55" i="6"/>
  <c r="R55" i="6"/>
  <c r="J55" i="6"/>
  <c r="AY54" i="6"/>
  <c r="AQ54" i="6"/>
  <c r="AI54" i="6"/>
  <c r="AA54" i="6"/>
  <c r="S54" i="6"/>
  <c r="K54" i="6"/>
  <c r="AZ53" i="6"/>
  <c r="AR53" i="6"/>
  <c r="AJ53" i="6"/>
  <c r="AB53" i="6"/>
  <c r="T53" i="6"/>
  <c r="L53" i="6"/>
  <c r="D53" i="6"/>
  <c r="AS52" i="6"/>
  <c r="AK52" i="6"/>
  <c r="AC52" i="6"/>
  <c r="U52" i="6"/>
  <c r="M52" i="6"/>
  <c r="E52" i="6"/>
  <c r="AT51" i="6"/>
  <c r="AL51" i="6"/>
  <c r="AD51" i="6"/>
  <c r="V51" i="6"/>
  <c r="N51" i="6"/>
  <c r="F51" i="6"/>
  <c r="AU50" i="6"/>
  <c r="AM50" i="6"/>
  <c r="AE50" i="6"/>
  <c r="W50" i="6"/>
  <c r="O50" i="6"/>
  <c r="G50" i="6"/>
  <c r="AV49" i="6"/>
  <c r="AN49" i="6"/>
  <c r="AF49" i="6"/>
  <c r="X49" i="6"/>
  <c r="P49" i="6"/>
  <c r="H49" i="6"/>
  <c r="AW48" i="6"/>
  <c r="AO48" i="6"/>
  <c r="AG48" i="6"/>
  <c r="Y48" i="6"/>
  <c r="Q48" i="6"/>
  <c r="I48" i="6"/>
  <c r="AX47" i="6"/>
  <c r="AP47" i="6"/>
  <c r="AH47" i="6"/>
  <c r="Z47" i="6"/>
  <c r="R47" i="6"/>
  <c r="J47" i="6"/>
  <c r="AY46" i="6"/>
  <c r="AQ46" i="6"/>
  <c r="AI46" i="6"/>
  <c r="AA46" i="6"/>
  <c r="S46" i="6"/>
  <c r="K46" i="6"/>
  <c r="AZ45" i="6"/>
  <c r="AR45" i="6"/>
  <c r="AJ45" i="6"/>
  <c r="AB45" i="6"/>
  <c r="T45" i="6"/>
  <c r="L45" i="6"/>
  <c r="D45" i="6"/>
  <c r="C50" i="6"/>
  <c r="C58" i="6"/>
  <c r="C53" i="6"/>
  <c r="C60" i="6"/>
  <c r="C49" i="6"/>
  <c r="C61" i="6"/>
  <c r="C59" i="6"/>
  <c r="C57" i="6"/>
  <c r="C52" i="6"/>
  <c r="C48" i="6"/>
  <c r="C51" i="6"/>
  <c r="C56" i="6"/>
  <c r="C47" i="6"/>
  <c r="C55" i="6"/>
  <c r="C54" i="6"/>
  <c r="C46" i="6"/>
  <c r="C45" i="6"/>
  <c r="AQ33" i="6"/>
  <c r="AZ40" i="6"/>
  <c r="AR40" i="6"/>
  <c r="AJ40" i="6"/>
  <c r="AB40" i="6"/>
  <c r="T40" i="6"/>
  <c r="L40" i="6"/>
  <c r="D40" i="6"/>
  <c r="AS39" i="6"/>
  <c r="AK39" i="6"/>
  <c r="AC39" i="6"/>
  <c r="U39" i="6"/>
  <c r="M39" i="6"/>
  <c r="E39" i="6"/>
  <c r="AT38" i="6"/>
  <c r="AL38" i="6"/>
  <c r="AD38" i="6"/>
  <c r="V38" i="6"/>
  <c r="N38" i="6"/>
  <c r="F38" i="6"/>
  <c r="AU37" i="6"/>
  <c r="AC37" i="6"/>
  <c r="D37" i="6"/>
  <c r="Z36" i="6"/>
  <c r="AW35" i="6"/>
  <c r="X35" i="6"/>
  <c r="AV34" i="6"/>
  <c r="W34" i="6"/>
  <c r="AS33" i="6"/>
  <c r="S33" i="6"/>
  <c r="AL32" i="6"/>
  <c r="F32" i="6"/>
  <c r="O31" i="6"/>
  <c r="N29" i="6"/>
  <c r="AG26" i="6"/>
  <c r="AV35" i="6"/>
  <c r="AZ31" i="6"/>
  <c r="AR39" i="6"/>
  <c r="AS38" i="6"/>
  <c r="W36" i="6"/>
  <c r="Q26" i="6"/>
  <c r="AU36" i="6"/>
  <c r="I26" i="6"/>
  <c r="AX40" i="6"/>
  <c r="AP40" i="6"/>
  <c r="AH40" i="6"/>
  <c r="Z40" i="6"/>
  <c r="R40" i="6"/>
  <c r="J40" i="6"/>
  <c r="AY39" i="6"/>
  <c r="AQ39" i="6"/>
  <c r="AI39" i="6"/>
  <c r="AA39" i="6"/>
  <c r="S39" i="6"/>
  <c r="K39" i="6"/>
  <c r="AZ38" i="6"/>
  <c r="AR38" i="6"/>
  <c r="AJ38" i="6"/>
  <c r="AB38" i="6"/>
  <c r="T38" i="6"/>
  <c r="L38" i="6"/>
  <c r="D38" i="6"/>
  <c r="AR37" i="6"/>
  <c r="V37" i="6"/>
  <c r="AT36" i="6"/>
  <c r="U36" i="6"/>
  <c r="AQ35" i="6"/>
  <c r="Q35" i="6"/>
  <c r="AO34" i="6"/>
  <c r="P34" i="6"/>
  <c r="AN33" i="6"/>
  <c r="M33" i="6"/>
  <c r="AD32" i="6"/>
  <c r="AU31" i="6"/>
  <c r="D31" i="6"/>
  <c r="AE28" i="6"/>
  <c r="AX25" i="6"/>
  <c r="AY40" i="6"/>
  <c r="Q33" i="6"/>
  <c r="AQ37" i="6"/>
  <c r="U37" i="6"/>
  <c r="AS36" i="6"/>
  <c r="R36" i="6"/>
  <c r="AO35" i="6"/>
  <c r="P35" i="6"/>
  <c r="AN34" i="6"/>
  <c r="O34" i="6"/>
  <c r="AK33" i="6"/>
  <c r="J33" i="6"/>
  <c r="AA32" i="6"/>
  <c r="AR31" i="6"/>
  <c r="AZ30" i="6"/>
  <c r="W28" i="6"/>
  <c r="AP25" i="6"/>
  <c r="AB37" i="6"/>
  <c r="K40" i="6"/>
  <c r="AR34" i="6"/>
  <c r="V36" i="6"/>
  <c r="AO40" i="6"/>
  <c r="I40" i="6"/>
  <c r="Z39" i="6"/>
  <c r="AY38" i="6"/>
  <c r="AA38" i="6"/>
  <c r="AZ37" i="6"/>
  <c r="T37" i="6"/>
  <c r="P36" i="6"/>
  <c r="O35" i="6"/>
  <c r="AM34" i="6"/>
  <c r="L34" i="6"/>
  <c r="AI33" i="6"/>
  <c r="I33" i="6"/>
  <c r="Z32" i="6"/>
  <c r="AQ31" i="6"/>
  <c r="AS30" i="6"/>
  <c r="O28" i="6"/>
  <c r="AH25" i="6"/>
  <c r="AX36" i="6"/>
  <c r="Y26" i="6"/>
  <c r="L39" i="6"/>
  <c r="U38" i="6"/>
  <c r="V35" i="6"/>
  <c r="K31" i="6"/>
  <c r="G31" i="6"/>
  <c r="AW40" i="6"/>
  <c r="AG40" i="6"/>
  <c r="Y40" i="6"/>
  <c r="Q40" i="6"/>
  <c r="AX39" i="6"/>
  <c r="AP39" i="6"/>
  <c r="AH39" i="6"/>
  <c r="R39" i="6"/>
  <c r="J39" i="6"/>
  <c r="AQ38" i="6"/>
  <c r="AI38" i="6"/>
  <c r="S38" i="6"/>
  <c r="K38" i="6"/>
  <c r="AO37" i="6"/>
  <c r="AP36" i="6"/>
  <c r="AN35" i="6"/>
  <c r="AN37" i="6"/>
  <c r="Q37" i="6"/>
  <c r="AN36" i="6"/>
  <c r="O36" i="6"/>
  <c r="AM35" i="6"/>
  <c r="N35" i="6"/>
  <c r="AJ34" i="6"/>
  <c r="J34" i="6"/>
  <c r="AH33" i="6"/>
  <c r="H33" i="6"/>
  <c r="Y32" i="6"/>
  <c r="AM31" i="6"/>
  <c r="AK30" i="6"/>
  <c r="G28" i="6"/>
  <c r="Z25" i="6"/>
  <c r="R33" i="6"/>
  <c r="AJ39" i="6"/>
  <c r="Y37" i="6"/>
  <c r="AX31" i="6"/>
  <c r="P40" i="6"/>
  <c r="AO39" i="6"/>
  <c r="Y39" i="6"/>
  <c r="I39" i="6"/>
  <c r="AX38" i="6"/>
  <c r="AP38" i="6"/>
  <c r="AH38" i="6"/>
  <c r="R38" i="6"/>
  <c r="J38" i="6"/>
  <c r="AY37" i="6"/>
  <c r="AM37" i="6"/>
  <c r="O37" i="6"/>
  <c r="AM36" i="6"/>
  <c r="N36" i="6"/>
  <c r="AL35" i="6"/>
  <c r="K35" i="6"/>
  <c r="AH34" i="6"/>
  <c r="I34" i="6"/>
  <c r="AG33" i="6"/>
  <c r="E33" i="6"/>
  <c r="V32" i="6"/>
  <c r="AJ31" i="6"/>
  <c r="AC30" i="6"/>
  <c r="AV27" i="6"/>
  <c r="R25" i="6"/>
  <c r="AZ39" i="6"/>
  <c r="AP33" i="6"/>
  <c r="AG32" i="6"/>
  <c r="AF40" i="6"/>
  <c r="AG39" i="6"/>
  <c r="Q39" i="6"/>
  <c r="Z38" i="6"/>
  <c r="AL37" i="6"/>
  <c r="N37" i="6"/>
  <c r="AL36" i="6"/>
  <c r="M36" i="6"/>
  <c r="AI35" i="6"/>
  <c r="I35" i="6"/>
  <c r="AG34" i="6"/>
  <c r="H34" i="6"/>
  <c r="AF33" i="6"/>
  <c r="AY32" i="6"/>
  <c r="S32" i="6"/>
  <c r="AI31" i="6"/>
  <c r="U30" i="6"/>
  <c r="AN27" i="6"/>
  <c r="J25" i="6"/>
  <c r="AI32" i="6"/>
  <c r="M38" i="6"/>
  <c r="AP34" i="6"/>
  <c r="O40" i="6"/>
  <c r="AN39" i="6"/>
  <c r="X39" i="6"/>
  <c r="P39" i="6"/>
  <c r="H39" i="6"/>
  <c r="AW38" i="6"/>
  <c r="AO38" i="6"/>
  <c r="AG38" i="6"/>
  <c r="Y38" i="6"/>
  <c r="Q38" i="6"/>
  <c r="I38" i="6"/>
  <c r="AX37" i="6"/>
  <c r="AK37" i="6"/>
  <c r="M37" i="6"/>
  <c r="AK36" i="6"/>
  <c r="J36" i="6"/>
  <c r="AG35" i="6"/>
  <c r="H35" i="6"/>
  <c r="AF34" i="6"/>
  <c r="G34" i="6"/>
  <c r="AC33" i="6"/>
  <c r="AX32" i="6"/>
  <c r="R32" i="6"/>
  <c r="AE31" i="6"/>
  <c r="M30" i="6"/>
  <c r="AF27" i="6"/>
  <c r="AY24" i="6"/>
  <c r="AU34" i="6"/>
  <c r="AQ40" i="6"/>
  <c r="E38" i="6"/>
  <c r="AO33" i="6"/>
  <c r="AV40" i="6"/>
  <c r="AM40" i="6"/>
  <c r="AJ37" i="6"/>
  <c r="L37" i="6"/>
  <c r="AH36" i="6"/>
  <c r="H36" i="6"/>
  <c r="AF35" i="6"/>
  <c r="G35" i="6"/>
  <c r="AE34" i="6"/>
  <c r="D34" i="6"/>
  <c r="AA33" i="6"/>
  <c r="AW32" i="6"/>
  <c r="Q32" i="6"/>
  <c r="AB31" i="6"/>
  <c r="E30" i="6"/>
  <c r="X27" i="6"/>
  <c r="AQ24" i="6"/>
  <c r="W35" i="6"/>
  <c r="L31" i="6"/>
  <c r="AB39" i="6"/>
  <c r="AK38" i="6"/>
  <c r="AU35" i="6"/>
  <c r="AU28" i="6"/>
  <c r="AS37" i="6"/>
  <c r="W37" i="6"/>
  <c r="AT35" i="6"/>
  <c r="P33" i="6"/>
  <c r="AN40" i="6"/>
  <c r="H40" i="6"/>
  <c r="AE40" i="6"/>
  <c r="V40" i="6"/>
  <c r="O39" i="6"/>
  <c r="AF38" i="6"/>
  <c r="H38" i="6"/>
  <c r="AI37" i="6"/>
  <c r="I37" i="6"/>
  <c r="AF36" i="6"/>
  <c r="G36" i="6"/>
  <c r="AE35" i="6"/>
  <c r="F35" i="6"/>
  <c r="AB34" i="6"/>
  <c r="AY33" i="6"/>
  <c r="Z33" i="6"/>
  <c r="AT32" i="6"/>
  <c r="N32" i="6"/>
  <c r="AA31" i="6"/>
  <c r="AT29" i="6"/>
  <c r="P27" i="6"/>
  <c r="AI24" i="6"/>
  <c r="T34" i="6"/>
  <c r="F29" i="6"/>
  <c r="S40" i="6"/>
  <c r="T39" i="6"/>
  <c r="D39" i="6"/>
  <c r="AC38" i="6"/>
  <c r="AT37" i="6"/>
  <c r="R34" i="6"/>
  <c r="AY31" i="6"/>
  <c r="AM28" i="6"/>
  <c r="X40" i="6"/>
  <c r="AW39" i="6"/>
  <c r="AU40" i="6"/>
  <c r="W40" i="6"/>
  <c r="G40" i="6"/>
  <c r="AV39" i="6"/>
  <c r="AF39" i="6"/>
  <c r="AT40" i="6"/>
  <c r="AL40" i="6"/>
  <c r="AD40" i="6"/>
  <c r="N40" i="6"/>
  <c r="F40" i="6"/>
  <c r="AU39" i="6"/>
  <c r="AM39" i="6"/>
  <c r="AE39" i="6"/>
  <c r="W39" i="6"/>
  <c r="G39" i="6"/>
  <c r="AV38" i="6"/>
  <c r="AN38" i="6"/>
  <c r="X38" i="6"/>
  <c r="P38" i="6"/>
  <c r="AW37" i="6"/>
  <c r="AG37" i="6"/>
  <c r="G37" i="6"/>
  <c r="AE36" i="6"/>
  <c r="F36" i="6"/>
  <c r="AD35" i="6"/>
  <c r="AZ34" i="6"/>
  <c r="Z34" i="6"/>
  <c r="AX33" i="6"/>
  <c r="Y33" i="6"/>
  <c r="AQ32" i="6"/>
  <c r="K32" i="6"/>
  <c r="W31" i="6"/>
  <c r="AL29" i="6"/>
  <c r="H27" i="6"/>
  <c r="AA24" i="6"/>
  <c r="X36" i="6"/>
  <c r="AI40" i="6"/>
  <c r="AV36" i="6"/>
  <c r="S35" i="6"/>
  <c r="AS40" i="6"/>
  <c r="AC40" i="6"/>
  <c r="U40" i="6"/>
  <c r="E40" i="6"/>
  <c r="AT39" i="6"/>
  <c r="AL39" i="6"/>
  <c r="AD39" i="6"/>
  <c r="V39" i="6"/>
  <c r="N39" i="6"/>
  <c r="F39" i="6"/>
  <c r="AU38" i="6"/>
  <c r="AM38" i="6"/>
  <c r="AE38" i="6"/>
  <c r="W38" i="6"/>
  <c r="O38" i="6"/>
  <c r="G38" i="6"/>
  <c r="AV37" i="6"/>
  <c r="AE37" i="6"/>
  <c r="F37" i="6"/>
  <c r="AD36" i="6"/>
  <c r="E36" i="6"/>
  <c r="AA35" i="6"/>
  <c r="AX34" i="6"/>
  <c r="Y34" i="6"/>
  <c r="AW33" i="6"/>
  <c r="X33" i="6"/>
  <c r="AP32" i="6"/>
  <c r="J32" i="6"/>
  <c r="T31" i="6"/>
  <c r="AD29" i="6"/>
  <c r="AW26" i="6"/>
  <c r="S24" i="6"/>
  <c r="AA40" i="6"/>
  <c r="AH32" i="6"/>
  <c r="Q34" i="6"/>
  <c r="AK40" i="6"/>
  <c r="M40" i="6"/>
  <c r="AD37" i="6"/>
  <c r="E37" i="6"/>
  <c r="AC36" i="6"/>
  <c r="AY35" i="6"/>
  <c r="Y35" i="6"/>
  <c r="AW34" i="6"/>
  <c r="X34" i="6"/>
  <c r="AV33" i="6"/>
  <c r="U33" i="6"/>
  <c r="AO32" i="6"/>
  <c r="I32" i="6"/>
  <c r="S31" i="6"/>
  <c r="V29" i="6"/>
  <c r="AO26" i="6"/>
  <c r="K24" i="6"/>
  <c r="AR30" i="6"/>
  <c r="AJ30" i="6"/>
  <c r="AB30" i="6"/>
  <c r="T30" i="6"/>
  <c r="L30" i="6"/>
  <c r="D30" i="6"/>
  <c r="AS29" i="6"/>
  <c r="AK29" i="6"/>
  <c r="AC29" i="6"/>
  <c r="U29" i="6"/>
  <c r="M29" i="6"/>
  <c r="E29" i="6"/>
  <c r="AT28" i="6"/>
  <c r="AL28" i="6"/>
  <c r="AD28" i="6"/>
  <c r="V28" i="6"/>
  <c r="N28" i="6"/>
  <c r="F28" i="6"/>
  <c r="AU27" i="6"/>
  <c r="AM27" i="6"/>
  <c r="AE27" i="6"/>
  <c r="W27" i="6"/>
  <c r="O27" i="6"/>
  <c r="G27" i="6"/>
  <c r="AV26" i="6"/>
  <c r="AN26" i="6"/>
  <c r="AF26" i="6"/>
  <c r="X26" i="6"/>
  <c r="P26" i="6"/>
  <c r="H26" i="6"/>
  <c r="AW25" i="6"/>
  <c r="AO25" i="6"/>
  <c r="AG25" i="6"/>
  <c r="Y25" i="6"/>
  <c r="Q25" i="6"/>
  <c r="I25" i="6"/>
  <c r="AX24" i="6"/>
  <c r="AP24" i="6"/>
  <c r="AH24" i="6"/>
  <c r="Z24" i="6"/>
  <c r="R24" i="6"/>
  <c r="J24" i="6"/>
  <c r="AP31" i="6"/>
  <c r="AH31" i="6"/>
  <c r="Z31" i="6"/>
  <c r="R31" i="6"/>
  <c r="J31" i="6"/>
  <c r="AY30" i="6"/>
  <c r="AQ30" i="6"/>
  <c r="AI30" i="6"/>
  <c r="AA30" i="6"/>
  <c r="S30" i="6"/>
  <c r="K30" i="6"/>
  <c r="AZ29" i="6"/>
  <c r="AR29" i="6"/>
  <c r="AJ29" i="6"/>
  <c r="AB29" i="6"/>
  <c r="T29" i="6"/>
  <c r="L29" i="6"/>
  <c r="D29" i="6"/>
  <c r="AS28" i="6"/>
  <c r="AK28" i="6"/>
  <c r="AC28" i="6"/>
  <c r="U28" i="6"/>
  <c r="M28" i="6"/>
  <c r="E28" i="6"/>
  <c r="AT27" i="6"/>
  <c r="AL27" i="6"/>
  <c r="AD27" i="6"/>
  <c r="V27" i="6"/>
  <c r="N27" i="6"/>
  <c r="F27" i="6"/>
  <c r="AU26" i="6"/>
  <c r="AM26" i="6"/>
  <c r="AE26" i="6"/>
  <c r="W26" i="6"/>
  <c r="O26" i="6"/>
  <c r="G26" i="6"/>
  <c r="AV25" i="6"/>
  <c r="AN25" i="6"/>
  <c r="AF25" i="6"/>
  <c r="X25" i="6"/>
  <c r="P25" i="6"/>
  <c r="H25" i="6"/>
  <c r="AW24" i="6"/>
  <c r="AO24" i="6"/>
  <c r="AG24" i="6"/>
  <c r="Y24" i="6"/>
  <c r="Q24" i="6"/>
  <c r="I24" i="6"/>
  <c r="AA37" i="6"/>
  <c r="S37" i="6"/>
  <c r="K37" i="6"/>
  <c r="AZ36" i="6"/>
  <c r="AR36" i="6"/>
  <c r="AJ36" i="6"/>
  <c r="AB36" i="6"/>
  <c r="T36" i="6"/>
  <c r="L36" i="6"/>
  <c r="D36" i="6"/>
  <c r="AS35" i="6"/>
  <c r="AK35" i="6"/>
  <c r="AC35" i="6"/>
  <c r="U35" i="6"/>
  <c r="M35" i="6"/>
  <c r="E35" i="6"/>
  <c r="AT34" i="6"/>
  <c r="AL34" i="6"/>
  <c r="AD34" i="6"/>
  <c r="V34" i="6"/>
  <c r="N34" i="6"/>
  <c r="F34" i="6"/>
  <c r="AU33" i="6"/>
  <c r="AM33" i="6"/>
  <c r="AE33" i="6"/>
  <c r="W33" i="6"/>
  <c r="O33" i="6"/>
  <c r="G33" i="6"/>
  <c r="AV32" i="6"/>
  <c r="AN32" i="6"/>
  <c r="AF32" i="6"/>
  <c r="X32" i="6"/>
  <c r="P32" i="6"/>
  <c r="H32" i="6"/>
  <c r="AW31" i="6"/>
  <c r="AO31" i="6"/>
  <c r="AG31" i="6"/>
  <c r="Y31" i="6"/>
  <c r="Q31" i="6"/>
  <c r="I31" i="6"/>
  <c r="AX30" i="6"/>
  <c r="AP30" i="6"/>
  <c r="AH30" i="6"/>
  <c r="Z30" i="6"/>
  <c r="R30" i="6"/>
  <c r="J30" i="6"/>
  <c r="AY29" i="6"/>
  <c r="AQ29" i="6"/>
  <c r="AI29" i="6"/>
  <c r="AA29" i="6"/>
  <c r="S29" i="6"/>
  <c r="K29" i="6"/>
  <c r="AZ28" i="6"/>
  <c r="AR28" i="6"/>
  <c r="AJ28" i="6"/>
  <c r="AB28" i="6"/>
  <c r="T28" i="6"/>
  <c r="L28" i="6"/>
  <c r="D28" i="6"/>
  <c r="AS27" i="6"/>
  <c r="AK27" i="6"/>
  <c r="AC27" i="6"/>
  <c r="U27" i="6"/>
  <c r="M27" i="6"/>
  <c r="E27" i="6"/>
  <c r="AT26" i="6"/>
  <c r="AL26" i="6"/>
  <c r="AD26" i="6"/>
  <c r="V26" i="6"/>
  <c r="N26" i="6"/>
  <c r="F26" i="6"/>
  <c r="AU25" i="6"/>
  <c r="AM25" i="6"/>
  <c r="AE25" i="6"/>
  <c r="W25" i="6"/>
  <c r="O25" i="6"/>
  <c r="G25" i="6"/>
  <c r="AV24" i="6"/>
  <c r="AN24" i="6"/>
  <c r="AF24" i="6"/>
  <c r="X24" i="6"/>
  <c r="P24" i="6"/>
  <c r="H24" i="6"/>
  <c r="AP37" i="6"/>
  <c r="AH37" i="6"/>
  <c r="Z37" i="6"/>
  <c r="R37" i="6"/>
  <c r="J37" i="6"/>
  <c r="AY36" i="6"/>
  <c r="AQ36" i="6"/>
  <c r="AI36" i="6"/>
  <c r="AA36" i="6"/>
  <c r="S36" i="6"/>
  <c r="K36" i="6"/>
  <c r="AZ35" i="6"/>
  <c r="AR35" i="6"/>
  <c r="AJ35" i="6"/>
  <c r="AB35" i="6"/>
  <c r="T35" i="6"/>
  <c r="L35" i="6"/>
  <c r="D35" i="6"/>
  <c r="AS34" i="6"/>
  <c r="AK34" i="6"/>
  <c r="AC34" i="6"/>
  <c r="U34" i="6"/>
  <c r="M34" i="6"/>
  <c r="E34" i="6"/>
  <c r="AT33" i="6"/>
  <c r="AL33" i="6"/>
  <c r="AD33" i="6"/>
  <c r="V33" i="6"/>
  <c r="N33" i="6"/>
  <c r="F33" i="6"/>
  <c r="AU32" i="6"/>
  <c r="AM32" i="6"/>
  <c r="AE32" i="6"/>
  <c r="W32" i="6"/>
  <c r="O32" i="6"/>
  <c r="G32" i="6"/>
  <c r="AV31" i="6"/>
  <c r="AN31" i="6"/>
  <c r="AF31" i="6"/>
  <c r="X31" i="6"/>
  <c r="P31" i="6"/>
  <c r="H31" i="6"/>
  <c r="AW30" i="6"/>
  <c r="AO30" i="6"/>
  <c r="AG30" i="6"/>
  <c r="Y30" i="6"/>
  <c r="Q30" i="6"/>
  <c r="I30" i="6"/>
  <c r="AX29" i="6"/>
  <c r="AP29" i="6"/>
  <c r="AH29" i="6"/>
  <c r="Z29" i="6"/>
  <c r="R29" i="6"/>
  <c r="J29" i="6"/>
  <c r="AY28" i="6"/>
  <c r="AQ28" i="6"/>
  <c r="AI28" i="6"/>
  <c r="AA28" i="6"/>
  <c r="S28" i="6"/>
  <c r="K28" i="6"/>
  <c r="AZ27" i="6"/>
  <c r="AR27" i="6"/>
  <c r="AJ27" i="6"/>
  <c r="AB27" i="6"/>
  <c r="T27" i="6"/>
  <c r="L27" i="6"/>
  <c r="D27" i="6"/>
  <c r="AS26" i="6"/>
  <c r="AK26" i="6"/>
  <c r="AC26" i="6"/>
  <c r="U26" i="6"/>
  <c r="M26" i="6"/>
  <c r="E26" i="6"/>
  <c r="AT25" i="6"/>
  <c r="AL25" i="6"/>
  <c r="AD25" i="6"/>
  <c r="V25" i="6"/>
  <c r="N25" i="6"/>
  <c r="F25" i="6"/>
  <c r="AU24" i="6"/>
  <c r="AM24" i="6"/>
  <c r="AE24" i="6"/>
  <c r="W24" i="6"/>
  <c r="O24" i="6"/>
  <c r="G24" i="6"/>
  <c r="AV30" i="6"/>
  <c r="AN30" i="6"/>
  <c r="AF30" i="6"/>
  <c r="X30" i="6"/>
  <c r="P30" i="6"/>
  <c r="H30" i="6"/>
  <c r="AW29" i="6"/>
  <c r="AO29" i="6"/>
  <c r="AG29" i="6"/>
  <c r="Y29" i="6"/>
  <c r="Q29" i="6"/>
  <c r="I29" i="6"/>
  <c r="AX28" i="6"/>
  <c r="AP28" i="6"/>
  <c r="AH28" i="6"/>
  <c r="Z28" i="6"/>
  <c r="R28" i="6"/>
  <c r="J28" i="6"/>
  <c r="AY27" i="6"/>
  <c r="AQ27" i="6"/>
  <c r="AI27" i="6"/>
  <c r="AA27" i="6"/>
  <c r="S27" i="6"/>
  <c r="K27" i="6"/>
  <c r="AZ26" i="6"/>
  <c r="AR26" i="6"/>
  <c r="AJ26" i="6"/>
  <c r="AB26" i="6"/>
  <c r="T26" i="6"/>
  <c r="L26" i="6"/>
  <c r="D26" i="6"/>
  <c r="AS25" i="6"/>
  <c r="AK25" i="6"/>
  <c r="AC25" i="6"/>
  <c r="U25" i="6"/>
  <c r="M25" i="6"/>
  <c r="E25" i="6"/>
  <c r="AT24" i="6"/>
  <c r="AL24" i="6"/>
  <c r="AD24" i="6"/>
  <c r="V24" i="6"/>
  <c r="N24" i="6"/>
  <c r="F24" i="6"/>
  <c r="AF37" i="6"/>
  <c r="X37" i="6"/>
  <c r="P37" i="6"/>
  <c r="H37" i="6"/>
  <c r="AW36" i="6"/>
  <c r="AO36" i="6"/>
  <c r="AG36" i="6"/>
  <c r="Y36" i="6"/>
  <c r="Q36" i="6"/>
  <c r="I36" i="6"/>
  <c r="AX35" i="6"/>
  <c r="AP35" i="6"/>
  <c r="AH35" i="6"/>
  <c r="Z35" i="6"/>
  <c r="R35" i="6"/>
  <c r="J35" i="6"/>
  <c r="AY34" i="6"/>
  <c r="AQ34" i="6"/>
  <c r="AI34" i="6"/>
  <c r="AA34" i="6"/>
  <c r="S34" i="6"/>
  <c r="K34" i="6"/>
  <c r="AZ33" i="6"/>
  <c r="AR33" i="6"/>
  <c r="AJ33" i="6"/>
  <c r="AB33" i="6"/>
  <c r="T33" i="6"/>
  <c r="L33" i="6"/>
  <c r="D33" i="6"/>
  <c r="AS32" i="6"/>
  <c r="AK32" i="6"/>
  <c r="AC32" i="6"/>
  <c r="U32" i="6"/>
  <c r="M32" i="6"/>
  <c r="E32" i="6"/>
  <c r="AT31" i="6"/>
  <c r="AL31" i="6"/>
  <c r="AD31" i="6"/>
  <c r="V31" i="6"/>
  <c r="N31" i="6"/>
  <c r="F31" i="6"/>
  <c r="AU30" i="6"/>
  <c r="AM30" i="6"/>
  <c r="AE30" i="6"/>
  <c r="W30" i="6"/>
  <c r="O30" i="6"/>
  <c r="G30" i="6"/>
  <c r="AV29" i="6"/>
  <c r="AN29" i="6"/>
  <c r="AF29" i="6"/>
  <c r="X29" i="6"/>
  <c r="P29" i="6"/>
  <c r="H29" i="6"/>
  <c r="AW28" i="6"/>
  <c r="AO28" i="6"/>
  <c r="AG28" i="6"/>
  <c r="Y28" i="6"/>
  <c r="Q28" i="6"/>
  <c r="I28" i="6"/>
  <c r="AX27" i="6"/>
  <c r="AP27" i="6"/>
  <c r="AH27" i="6"/>
  <c r="Z27" i="6"/>
  <c r="R27" i="6"/>
  <c r="J27" i="6"/>
  <c r="AY26" i="6"/>
  <c r="AQ26" i="6"/>
  <c r="AI26" i="6"/>
  <c r="AA26" i="6"/>
  <c r="S26" i="6"/>
  <c r="K26" i="6"/>
  <c r="AZ25" i="6"/>
  <c r="AR25" i="6"/>
  <c r="AJ25" i="6"/>
  <c r="AB25" i="6"/>
  <c r="T25" i="6"/>
  <c r="L25" i="6"/>
  <c r="D25" i="6"/>
  <c r="AS24" i="6"/>
  <c r="AK24" i="6"/>
  <c r="AC24" i="6"/>
  <c r="U24" i="6"/>
  <c r="M24" i="6"/>
  <c r="E24" i="6"/>
  <c r="K33" i="6"/>
  <c r="AZ32" i="6"/>
  <c r="AR32" i="6"/>
  <c r="AJ32" i="6"/>
  <c r="AB32" i="6"/>
  <c r="T32" i="6"/>
  <c r="L32" i="6"/>
  <c r="D32" i="6"/>
  <c r="AS31" i="6"/>
  <c r="AK31" i="6"/>
  <c r="AC31" i="6"/>
  <c r="U31" i="6"/>
  <c r="M31" i="6"/>
  <c r="E31" i="6"/>
  <c r="AT30" i="6"/>
  <c r="AL30" i="6"/>
  <c r="AD30" i="6"/>
  <c r="V30" i="6"/>
  <c r="N30" i="6"/>
  <c r="F30" i="6"/>
  <c r="AU29" i="6"/>
  <c r="AM29" i="6"/>
  <c r="AE29" i="6"/>
  <c r="W29" i="6"/>
  <c r="O29" i="6"/>
  <c r="G29" i="6"/>
  <c r="AV28" i="6"/>
  <c r="AN28" i="6"/>
  <c r="AF28" i="6"/>
  <c r="X28" i="6"/>
  <c r="P28" i="6"/>
  <c r="H28" i="6"/>
  <c r="AW27" i="6"/>
  <c r="AO27" i="6"/>
  <c r="AG27" i="6"/>
  <c r="Y27" i="6"/>
  <c r="Q27" i="6"/>
  <c r="I27" i="6"/>
  <c r="AX26" i="6"/>
  <c r="AP26" i="6"/>
  <c r="AH26" i="6"/>
  <c r="Z26" i="6"/>
  <c r="R26" i="6"/>
  <c r="J26" i="6"/>
  <c r="AY25" i="6"/>
  <c r="AQ25" i="6"/>
  <c r="AI25" i="6"/>
  <c r="AA25" i="6"/>
  <c r="S25" i="6"/>
  <c r="K25" i="6"/>
  <c r="AZ24" i="6"/>
  <c r="AR24" i="6"/>
  <c r="AJ24" i="6"/>
  <c r="AB24" i="6"/>
  <c r="T24" i="6"/>
  <c r="L24" i="6"/>
  <c r="D24" i="6"/>
  <c r="C30" i="6"/>
  <c r="C33" i="6"/>
  <c r="C28" i="6"/>
  <c r="C32" i="6"/>
  <c r="C27" i="6"/>
  <c r="C39" i="6"/>
  <c r="C31" i="6"/>
  <c r="C37" i="6"/>
  <c r="C29" i="6"/>
  <c r="C36" i="6"/>
  <c r="C35" i="6"/>
  <c r="C38" i="6"/>
  <c r="C26" i="6"/>
  <c r="C40" i="6"/>
  <c r="C34" i="6"/>
  <c r="C25" i="6"/>
  <c r="C24" i="6"/>
  <c r="AK16" i="6"/>
  <c r="AA11" i="6"/>
  <c r="W13" i="6"/>
  <c r="AS19" i="6"/>
  <c r="AM17" i="6"/>
  <c r="D15" i="6"/>
  <c r="AU19" i="6"/>
  <c r="AT19" i="6"/>
  <c r="AL19" i="6"/>
  <c r="AD19" i="6"/>
  <c r="V19" i="6"/>
  <c r="N19" i="6"/>
  <c r="F19" i="6"/>
  <c r="AU18" i="6"/>
  <c r="AM18" i="6"/>
  <c r="AE18" i="6"/>
  <c r="W18" i="6"/>
  <c r="O18" i="6"/>
  <c r="G18" i="6"/>
  <c r="AV17" i="6"/>
  <c r="AN17" i="6"/>
  <c r="AF17" i="6"/>
  <c r="X17" i="6"/>
  <c r="P17" i="6"/>
  <c r="H17" i="6"/>
  <c r="N16" i="6"/>
  <c r="AZ15" i="6"/>
  <c r="AC15" i="6"/>
  <c r="Q15" i="6"/>
  <c r="AP14" i="6"/>
  <c r="AD14" i="6"/>
  <c r="L14" i="6"/>
  <c r="F13" i="6"/>
  <c r="AH12" i="6"/>
  <c r="Q12" i="6"/>
  <c r="AW11" i="6"/>
  <c r="AE11" i="6"/>
  <c r="AP10" i="6"/>
  <c r="S10" i="6"/>
  <c r="AS9" i="6"/>
  <c r="AS8" i="6"/>
  <c r="AQ7" i="6"/>
  <c r="O7" i="6"/>
  <c r="O6" i="6"/>
  <c r="AG5" i="6"/>
  <c r="AX4" i="6"/>
  <c r="R4" i="6"/>
  <c r="AI3" i="6"/>
  <c r="F18" i="6"/>
  <c r="AP8" i="6"/>
  <c r="X14" i="6"/>
  <c r="O12" i="6"/>
  <c r="I11" i="6"/>
  <c r="P10" i="6"/>
  <c r="Q9" i="6"/>
  <c r="AL8" i="6"/>
  <c r="AL7" i="6"/>
  <c r="AJ6" i="6"/>
  <c r="H6" i="6"/>
  <c r="AM15" i="6"/>
  <c r="AN13" i="6"/>
  <c r="AN10" i="6"/>
  <c r="AC19" i="6"/>
  <c r="V18" i="6"/>
  <c r="W17" i="6"/>
  <c r="O15" i="6"/>
  <c r="AB14" i="6"/>
  <c r="AX12" i="6"/>
  <c r="P12" i="6"/>
  <c r="AJ10" i="6"/>
  <c r="AJ16" i="6"/>
  <c r="X16" i="6"/>
  <c r="AL15" i="6"/>
  <c r="AA15" i="6"/>
  <c r="G14" i="6"/>
  <c r="AM13" i="6"/>
  <c r="U13" i="6"/>
  <c r="AQ11" i="6"/>
  <c r="Z11" i="6"/>
  <c r="AZ19" i="6"/>
  <c r="AR19" i="6"/>
  <c r="AJ19" i="6"/>
  <c r="AB19" i="6"/>
  <c r="T19" i="6"/>
  <c r="L19" i="6"/>
  <c r="D19" i="6"/>
  <c r="AS18" i="6"/>
  <c r="AK18" i="6"/>
  <c r="AC18" i="6"/>
  <c r="U18" i="6"/>
  <c r="M18" i="6"/>
  <c r="E18" i="6"/>
  <c r="AT17" i="6"/>
  <c r="AL17" i="6"/>
  <c r="AD17" i="6"/>
  <c r="V17" i="6"/>
  <c r="N17" i="6"/>
  <c r="F17" i="6"/>
  <c r="AT16" i="6"/>
  <c r="AI16" i="6"/>
  <c r="L16" i="6"/>
  <c r="AW15" i="6"/>
  <c r="N15" i="6"/>
  <c r="AZ14" i="6"/>
  <c r="AM14" i="6"/>
  <c r="AL13" i="6"/>
  <c r="Q13" i="6"/>
  <c r="AW12" i="6"/>
  <c r="AF12" i="6"/>
  <c r="N12" i="6"/>
  <c r="H11" i="6"/>
  <c r="AI10" i="6"/>
  <c r="L10" i="6"/>
  <c r="AO9" i="6"/>
  <c r="M9" i="6"/>
  <c r="M8" i="6"/>
  <c r="K7" i="6"/>
  <c r="AF6" i="6"/>
  <c r="Y5" i="6"/>
  <c r="AP4" i="6"/>
  <c r="J4" i="6"/>
  <c r="AA3" i="6"/>
  <c r="AV11" i="6"/>
  <c r="AL18" i="6"/>
  <c r="AR9" i="6"/>
  <c r="V16" i="6"/>
  <c r="K16" i="6"/>
  <c r="AK15" i="6"/>
  <c r="Y15" i="6"/>
  <c r="W14" i="6"/>
  <c r="F14" i="6"/>
  <c r="AK13" i="6"/>
  <c r="AE12" i="6"/>
  <c r="J12" i="6"/>
  <c r="AP11" i="6"/>
  <c r="Y11" i="6"/>
  <c r="G11" i="6"/>
  <c r="AK9" i="6"/>
  <c r="AK8" i="6"/>
  <c r="AI7" i="6"/>
  <c r="G7" i="6"/>
  <c r="G6" i="6"/>
  <c r="E15" i="6"/>
  <c r="J11" i="6"/>
  <c r="R8" i="6"/>
  <c r="O17" i="6"/>
  <c r="Q4" i="6"/>
  <c r="AA19" i="6"/>
  <c r="AR18" i="6"/>
  <c r="AJ18" i="6"/>
  <c r="AB18" i="6"/>
  <c r="T18" i="6"/>
  <c r="L18" i="6"/>
  <c r="D18" i="6"/>
  <c r="AS17" i="6"/>
  <c r="AK17" i="6"/>
  <c r="AC17" i="6"/>
  <c r="U17" i="6"/>
  <c r="M17" i="6"/>
  <c r="E17" i="6"/>
  <c r="AS16" i="6"/>
  <c r="AH16" i="6"/>
  <c r="AU15" i="6"/>
  <c r="AJ15" i="6"/>
  <c r="M15" i="6"/>
  <c r="AX14" i="6"/>
  <c r="AL14" i="6"/>
  <c r="E14" i="6"/>
  <c r="AG13" i="6"/>
  <c r="P13" i="6"/>
  <c r="AV12" i="6"/>
  <c r="AD12" i="6"/>
  <c r="X11" i="6"/>
  <c r="AZ10" i="6"/>
  <c r="AH10" i="6"/>
  <c r="K10" i="6"/>
  <c r="L9" i="6"/>
  <c r="J8" i="6"/>
  <c r="AE7" i="6"/>
  <c r="AE6" i="6"/>
  <c r="X5" i="6"/>
  <c r="AO4" i="6"/>
  <c r="I4" i="6"/>
  <c r="Z3" i="6"/>
  <c r="AD18" i="6"/>
  <c r="AH3" i="6"/>
  <c r="U16" i="6"/>
  <c r="J16" i="6"/>
  <c r="W15" i="6"/>
  <c r="L15" i="6"/>
  <c r="AK14" i="6"/>
  <c r="V14" i="6"/>
  <c r="D14" i="6"/>
  <c r="AU12" i="6"/>
  <c r="Z12" i="6"/>
  <c r="I12" i="6"/>
  <c r="AO11" i="6"/>
  <c r="W11" i="6"/>
  <c r="AF10" i="6"/>
  <c r="AJ9" i="6"/>
  <c r="AH8" i="6"/>
  <c r="F8" i="6"/>
  <c r="F7" i="6"/>
  <c r="D6" i="6"/>
  <c r="AB15" i="6"/>
  <c r="R10" i="6"/>
  <c r="L17" i="6"/>
  <c r="AJ14" i="6"/>
  <c r="AF13" i="6"/>
  <c r="AT12" i="6"/>
  <c r="AN11" i="6"/>
  <c r="S11" i="6"/>
  <c r="AB10" i="6"/>
  <c r="J10" i="6"/>
  <c r="I9" i="6"/>
  <c r="AD8" i="6"/>
  <c r="AD7" i="6"/>
  <c r="AB6" i="6"/>
  <c r="AW5" i="6"/>
  <c r="Q5" i="6"/>
  <c r="AH4" i="6"/>
  <c r="AY3" i="6"/>
  <c r="S3" i="6"/>
  <c r="E13" i="6"/>
  <c r="AM6" i="6"/>
  <c r="AK19" i="6"/>
  <c r="N18" i="6"/>
  <c r="AF5" i="6"/>
  <c r="AY19" i="6"/>
  <c r="S19" i="6"/>
  <c r="AX19" i="6"/>
  <c r="J19" i="6"/>
  <c r="S18" i="6"/>
  <c r="AB17" i="6"/>
  <c r="AT15" i="6"/>
  <c r="AY10" i="6"/>
  <c r="AQ16" i="6"/>
  <c r="T16" i="6"/>
  <c r="H16" i="6"/>
  <c r="V15" i="6"/>
  <c r="K15" i="6"/>
  <c r="T14" i="6"/>
  <c r="N13" i="6"/>
  <c r="AP12" i="6"/>
  <c r="Y12" i="6"/>
  <c r="H12" i="6"/>
  <c r="AM11" i="6"/>
  <c r="H10" i="6"/>
  <c r="AG9" i="6"/>
  <c r="E9" i="6"/>
  <c r="E8" i="6"/>
  <c r="AZ6" i="6"/>
  <c r="X6" i="6"/>
  <c r="E19" i="6"/>
  <c r="N7" i="6"/>
  <c r="AI19" i="6"/>
  <c r="R19" i="6"/>
  <c r="AR17" i="6"/>
  <c r="U14" i="6"/>
  <c r="AO19" i="6"/>
  <c r="Q19" i="6"/>
  <c r="I19" i="6"/>
  <c r="AX18" i="6"/>
  <c r="AP18" i="6"/>
  <c r="AH18" i="6"/>
  <c r="Z18" i="6"/>
  <c r="R18" i="6"/>
  <c r="J18" i="6"/>
  <c r="AY17" i="6"/>
  <c r="AQ17" i="6"/>
  <c r="AI17" i="6"/>
  <c r="AA17" i="6"/>
  <c r="S17" i="6"/>
  <c r="K17" i="6"/>
  <c r="AZ16" i="6"/>
  <c r="AD16" i="6"/>
  <c r="S16" i="6"/>
  <c r="AS15" i="6"/>
  <c r="AG15" i="6"/>
  <c r="AU14" i="6"/>
  <c r="AH14" i="6"/>
  <c r="P14" i="6"/>
  <c r="AV13" i="6"/>
  <c r="AE13" i="6"/>
  <c r="M13" i="6"/>
  <c r="G12" i="6"/>
  <c r="AI11" i="6"/>
  <c r="R11" i="6"/>
  <c r="AX10" i="6"/>
  <c r="AA10" i="6"/>
  <c r="D10" i="6"/>
  <c r="AC9" i="6"/>
  <c r="AC8" i="6"/>
  <c r="AA7" i="6"/>
  <c r="AV6" i="6"/>
  <c r="AV5" i="6"/>
  <c r="P5" i="6"/>
  <c r="AG4" i="6"/>
  <c r="AX3" i="6"/>
  <c r="R3" i="6"/>
  <c r="AE17" i="6"/>
  <c r="AY18" i="6"/>
  <c r="AV14" i="6"/>
  <c r="AR15" i="6"/>
  <c r="U15" i="6"/>
  <c r="I15" i="6"/>
  <c r="AD13" i="6"/>
  <c r="I13" i="6"/>
  <c r="AO12" i="6"/>
  <c r="X12" i="6"/>
  <c r="F12" i="6"/>
  <c r="AV10" i="6"/>
  <c r="D9" i="6"/>
  <c r="AY7" i="6"/>
  <c r="W7" i="6"/>
  <c r="W6" i="6"/>
  <c r="Z16" i="6"/>
  <c r="H14" i="6"/>
  <c r="T9" i="6"/>
  <c r="M19" i="6"/>
  <c r="AU17" i="6"/>
  <c r="M16" i="6"/>
  <c r="AN14" i="6"/>
  <c r="AU11" i="6"/>
  <c r="AW4" i="6"/>
  <c r="AQ19" i="6"/>
  <c r="AZ18" i="6"/>
  <c r="AP19" i="6"/>
  <c r="Z19" i="6"/>
  <c r="AQ18" i="6"/>
  <c r="AA18" i="6"/>
  <c r="AZ17" i="6"/>
  <c r="AJ17" i="6"/>
  <c r="D17" i="6"/>
  <c r="AR16" i="6"/>
  <c r="AI15" i="6"/>
  <c r="AW13" i="6"/>
  <c r="AW19" i="6"/>
  <c r="AG19" i="6"/>
  <c r="F16" i="6"/>
  <c r="AV19" i="6"/>
  <c r="AN19" i="6"/>
  <c r="AF19" i="6"/>
  <c r="X19" i="6"/>
  <c r="P19" i="6"/>
  <c r="H19" i="6"/>
  <c r="AW18" i="6"/>
  <c r="AO18" i="6"/>
  <c r="AG18" i="6"/>
  <c r="Y18" i="6"/>
  <c r="Q18" i="6"/>
  <c r="I18" i="6"/>
  <c r="AX17" i="6"/>
  <c r="AP17" i="6"/>
  <c r="AH17" i="6"/>
  <c r="Z17" i="6"/>
  <c r="R17" i="6"/>
  <c r="J17" i="6"/>
  <c r="AY16" i="6"/>
  <c r="AC16" i="6"/>
  <c r="R16" i="6"/>
  <c r="AE15" i="6"/>
  <c r="T15" i="6"/>
  <c r="AT14" i="6"/>
  <c r="AF14" i="6"/>
  <c r="O14" i="6"/>
  <c r="AU13" i="6"/>
  <c r="AC13" i="6"/>
  <c r="W12" i="6"/>
  <c r="AY11" i="6"/>
  <c r="AH11" i="6"/>
  <c r="Q11" i="6"/>
  <c r="AR10" i="6"/>
  <c r="Z10" i="6"/>
  <c r="AZ9" i="6"/>
  <c r="AB9" i="6"/>
  <c r="Z8" i="6"/>
  <c r="AU7" i="6"/>
  <c r="AU6" i="6"/>
  <c r="AO5" i="6"/>
  <c r="I5" i="6"/>
  <c r="Z4" i="6"/>
  <c r="AQ3" i="6"/>
  <c r="K3" i="6"/>
  <c r="AV16" i="6"/>
  <c r="AC14" i="6"/>
  <c r="U19" i="6"/>
  <c r="G17" i="6"/>
  <c r="V13" i="6"/>
  <c r="L6" i="6"/>
  <c r="K19" i="6"/>
  <c r="AH19" i="6"/>
  <c r="AI18" i="6"/>
  <c r="K18" i="6"/>
  <c r="T17" i="6"/>
  <c r="AF16" i="6"/>
  <c r="O13" i="6"/>
  <c r="Y19" i="6"/>
  <c r="AP16" i="6"/>
  <c r="AN16" i="6"/>
  <c r="E16" i="6"/>
  <c r="AQ15" i="6"/>
  <c r="G15" i="6"/>
  <c r="AS14" i="6"/>
  <c r="AT13" i="6"/>
  <c r="Y13" i="6"/>
  <c r="H13" i="6"/>
  <c r="AN12" i="6"/>
  <c r="V12" i="6"/>
  <c r="P11" i="6"/>
  <c r="X10" i="6"/>
  <c r="AX8" i="6"/>
  <c r="V8" i="6"/>
  <c r="V7" i="6"/>
  <c r="T6" i="6"/>
  <c r="AM7" i="6"/>
  <c r="AY15" i="6"/>
  <c r="N8" i="6"/>
  <c r="AM19" i="6"/>
  <c r="AE19" i="6"/>
  <c r="W19" i="6"/>
  <c r="O19" i="6"/>
  <c r="G19" i="6"/>
  <c r="AN18" i="6"/>
  <c r="X18" i="6"/>
  <c r="AW17" i="6"/>
  <c r="AG17" i="6"/>
  <c r="Q17" i="6"/>
  <c r="AX16" i="6"/>
  <c r="P16" i="6"/>
  <c r="S15" i="6"/>
  <c r="AR14" i="6"/>
  <c r="AE14" i="6"/>
  <c r="N14" i="6"/>
  <c r="AS13" i="6"/>
  <c r="AM12" i="6"/>
  <c r="R12" i="6"/>
  <c r="AX11" i="6"/>
  <c r="AG11" i="6"/>
  <c r="O11" i="6"/>
  <c r="AQ10" i="6"/>
  <c r="T10" i="6"/>
  <c r="AY9" i="6"/>
  <c r="Y9" i="6"/>
  <c r="AT8" i="6"/>
  <c r="AT7" i="6"/>
  <c r="AR6" i="6"/>
  <c r="P6" i="6"/>
  <c r="AN5" i="6"/>
  <c r="H5" i="6"/>
  <c r="Y4" i="6"/>
  <c r="AP3" i="6"/>
  <c r="J3" i="6"/>
  <c r="AT18" i="6"/>
  <c r="AG12" i="6"/>
  <c r="AV18" i="6"/>
  <c r="AF18" i="6"/>
  <c r="P18" i="6"/>
  <c r="H18" i="6"/>
  <c r="AO17" i="6"/>
  <c r="Y17" i="6"/>
  <c r="I17" i="6"/>
  <c r="AB16" i="6"/>
  <c r="AD15" i="6"/>
  <c r="AL16" i="6"/>
  <c r="AA16" i="6"/>
  <c r="D16" i="6"/>
  <c r="AO15" i="6"/>
  <c r="F15" i="6"/>
  <c r="M14" i="6"/>
  <c r="AO13" i="6"/>
  <c r="X13" i="6"/>
  <c r="G13" i="6"/>
  <c r="AL12" i="6"/>
  <c r="AF11" i="6"/>
  <c r="K11" i="6"/>
  <c r="AW9" i="6"/>
  <c r="U9" i="6"/>
  <c r="U8" i="6"/>
  <c r="S7" i="6"/>
  <c r="AN6" i="6"/>
  <c r="AQ9" i="6"/>
  <c r="AI9" i="6"/>
  <c r="AA9" i="6"/>
  <c r="S9" i="6"/>
  <c r="K9" i="6"/>
  <c r="AZ8" i="6"/>
  <c r="AR8" i="6"/>
  <c r="AJ8" i="6"/>
  <c r="AB8" i="6"/>
  <c r="T8" i="6"/>
  <c r="L8" i="6"/>
  <c r="D8" i="6"/>
  <c r="AS7" i="6"/>
  <c r="AK7" i="6"/>
  <c r="AC7" i="6"/>
  <c r="U7" i="6"/>
  <c r="M7" i="6"/>
  <c r="E7" i="6"/>
  <c r="AT6" i="6"/>
  <c r="AL6" i="6"/>
  <c r="AD6" i="6"/>
  <c r="V6" i="6"/>
  <c r="N6" i="6"/>
  <c r="F6" i="6"/>
  <c r="AU5" i="6"/>
  <c r="AM5" i="6"/>
  <c r="AE5" i="6"/>
  <c r="W5" i="6"/>
  <c r="O5" i="6"/>
  <c r="G5" i="6"/>
  <c r="AV4" i="6"/>
  <c r="AN4" i="6"/>
  <c r="AF4" i="6"/>
  <c r="X4" i="6"/>
  <c r="P4" i="6"/>
  <c r="H4" i="6"/>
  <c r="AW3" i="6"/>
  <c r="AO3" i="6"/>
  <c r="AG3" i="6"/>
  <c r="Y3" i="6"/>
  <c r="Q3" i="6"/>
  <c r="I3" i="6"/>
  <c r="AW10" i="6"/>
  <c r="AO10" i="6"/>
  <c r="AG10" i="6"/>
  <c r="Y10" i="6"/>
  <c r="Q10" i="6"/>
  <c r="I10" i="6"/>
  <c r="AX9" i="6"/>
  <c r="AP9" i="6"/>
  <c r="AH9" i="6"/>
  <c r="Z9" i="6"/>
  <c r="R9" i="6"/>
  <c r="J9" i="6"/>
  <c r="AY8" i="6"/>
  <c r="AQ8" i="6"/>
  <c r="AI8" i="6"/>
  <c r="AA8" i="6"/>
  <c r="S8" i="6"/>
  <c r="K8" i="6"/>
  <c r="AZ7" i="6"/>
  <c r="AR7" i="6"/>
  <c r="AJ7" i="6"/>
  <c r="AB7" i="6"/>
  <c r="T7" i="6"/>
  <c r="L7" i="6"/>
  <c r="D7" i="6"/>
  <c r="AS6" i="6"/>
  <c r="AK6" i="6"/>
  <c r="AC6" i="6"/>
  <c r="U6" i="6"/>
  <c r="M6" i="6"/>
  <c r="E6" i="6"/>
  <c r="AT5" i="6"/>
  <c r="AL5" i="6"/>
  <c r="AD5" i="6"/>
  <c r="V5" i="6"/>
  <c r="N5" i="6"/>
  <c r="F5" i="6"/>
  <c r="AU4" i="6"/>
  <c r="AM4" i="6"/>
  <c r="AE4" i="6"/>
  <c r="W4" i="6"/>
  <c r="O4" i="6"/>
  <c r="G4" i="6"/>
  <c r="AV3" i="6"/>
  <c r="AN3" i="6"/>
  <c r="AF3" i="6"/>
  <c r="X3" i="6"/>
  <c r="P3" i="6"/>
  <c r="H3" i="6"/>
  <c r="AS5" i="6"/>
  <c r="AK5" i="6"/>
  <c r="AC5" i="6"/>
  <c r="U5" i="6"/>
  <c r="M5" i="6"/>
  <c r="E5" i="6"/>
  <c r="AT4" i="6"/>
  <c r="AL4" i="6"/>
  <c r="AD4" i="6"/>
  <c r="V4" i="6"/>
  <c r="N4" i="6"/>
  <c r="F4" i="6"/>
  <c r="AU3" i="6"/>
  <c r="AM3" i="6"/>
  <c r="AE3" i="6"/>
  <c r="W3" i="6"/>
  <c r="O3" i="6"/>
  <c r="G3" i="6"/>
  <c r="AW16" i="6"/>
  <c r="AO16" i="6"/>
  <c r="AG16" i="6"/>
  <c r="Y16" i="6"/>
  <c r="Q16" i="6"/>
  <c r="I16" i="6"/>
  <c r="AX15" i="6"/>
  <c r="AP15" i="6"/>
  <c r="AH15" i="6"/>
  <c r="Z15" i="6"/>
  <c r="R15" i="6"/>
  <c r="J15" i="6"/>
  <c r="AY14" i="6"/>
  <c r="AQ14" i="6"/>
  <c r="AI14" i="6"/>
  <c r="AA14" i="6"/>
  <c r="S14" i="6"/>
  <c r="K14" i="6"/>
  <c r="AZ13" i="6"/>
  <c r="AR13" i="6"/>
  <c r="AJ13" i="6"/>
  <c r="AB13" i="6"/>
  <c r="T13" i="6"/>
  <c r="L13" i="6"/>
  <c r="D13" i="6"/>
  <c r="AS12" i="6"/>
  <c r="AK12" i="6"/>
  <c r="AC12" i="6"/>
  <c r="U12" i="6"/>
  <c r="M12" i="6"/>
  <c r="E12" i="6"/>
  <c r="AT11" i="6"/>
  <c r="AL11" i="6"/>
  <c r="AD11" i="6"/>
  <c r="V11" i="6"/>
  <c r="N11" i="6"/>
  <c r="F11" i="6"/>
  <c r="AU10" i="6"/>
  <c r="AM10" i="6"/>
  <c r="AE10" i="6"/>
  <c r="W10" i="6"/>
  <c r="O10" i="6"/>
  <c r="G10" i="6"/>
  <c r="AV9" i="6"/>
  <c r="AN9" i="6"/>
  <c r="AF9" i="6"/>
  <c r="X9" i="6"/>
  <c r="P9" i="6"/>
  <c r="H9" i="6"/>
  <c r="AW8" i="6"/>
  <c r="AO8" i="6"/>
  <c r="AG8" i="6"/>
  <c r="Y8" i="6"/>
  <c r="Q8" i="6"/>
  <c r="I8" i="6"/>
  <c r="AX7" i="6"/>
  <c r="AP7" i="6"/>
  <c r="AH7" i="6"/>
  <c r="Z7" i="6"/>
  <c r="R7" i="6"/>
  <c r="J7" i="6"/>
  <c r="AY6" i="6"/>
  <c r="AQ6" i="6"/>
  <c r="AI6" i="6"/>
  <c r="AA6" i="6"/>
  <c r="S6" i="6"/>
  <c r="K6" i="6"/>
  <c r="AZ5" i="6"/>
  <c r="AR5" i="6"/>
  <c r="AJ5" i="6"/>
  <c r="AB5" i="6"/>
  <c r="T5" i="6"/>
  <c r="L5" i="6"/>
  <c r="D5" i="6"/>
  <c r="AS4" i="6"/>
  <c r="AK4" i="6"/>
  <c r="AC4" i="6"/>
  <c r="U4" i="6"/>
  <c r="M4" i="6"/>
  <c r="E4" i="6"/>
  <c r="AT3" i="6"/>
  <c r="AL3" i="6"/>
  <c r="AD3" i="6"/>
  <c r="V3" i="6"/>
  <c r="N3" i="6"/>
  <c r="F3" i="6"/>
  <c r="Z14" i="6"/>
  <c r="R14" i="6"/>
  <c r="J14" i="6"/>
  <c r="AY13" i="6"/>
  <c r="AQ13" i="6"/>
  <c r="AI13" i="6"/>
  <c r="AA13" i="6"/>
  <c r="S13" i="6"/>
  <c r="K13" i="6"/>
  <c r="AZ12" i="6"/>
  <c r="AR12" i="6"/>
  <c r="AJ12" i="6"/>
  <c r="AB12" i="6"/>
  <c r="T12" i="6"/>
  <c r="L12" i="6"/>
  <c r="D12" i="6"/>
  <c r="AS11" i="6"/>
  <c r="AK11" i="6"/>
  <c r="AC11" i="6"/>
  <c r="U11" i="6"/>
  <c r="M11" i="6"/>
  <c r="E11" i="6"/>
  <c r="AT10" i="6"/>
  <c r="AL10" i="6"/>
  <c r="AD10" i="6"/>
  <c r="V10" i="6"/>
  <c r="N10" i="6"/>
  <c r="F10" i="6"/>
  <c r="AU9" i="6"/>
  <c r="AM9" i="6"/>
  <c r="AE9" i="6"/>
  <c r="W9" i="6"/>
  <c r="O9" i="6"/>
  <c r="G9" i="6"/>
  <c r="AV8" i="6"/>
  <c r="AN8" i="6"/>
  <c r="AF8" i="6"/>
  <c r="X8" i="6"/>
  <c r="P8" i="6"/>
  <c r="H8" i="6"/>
  <c r="AW7" i="6"/>
  <c r="AO7" i="6"/>
  <c r="AG7" i="6"/>
  <c r="Y7" i="6"/>
  <c r="Q7" i="6"/>
  <c r="I7" i="6"/>
  <c r="AX6" i="6"/>
  <c r="AP6" i="6"/>
  <c r="AH6" i="6"/>
  <c r="Z6" i="6"/>
  <c r="R6" i="6"/>
  <c r="J6" i="6"/>
  <c r="AY5" i="6"/>
  <c r="AQ5" i="6"/>
  <c r="AI5" i="6"/>
  <c r="AA5" i="6"/>
  <c r="S5" i="6"/>
  <c r="K5" i="6"/>
  <c r="AZ4" i="6"/>
  <c r="AR4" i="6"/>
  <c r="AJ4" i="6"/>
  <c r="AB4" i="6"/>
  <c r="T4" i="6"/>
  <c r="L4" i="6"/>
  <c r="D4" i="6"/>
  <c r="AS3" i="6"/>
  <c r="AK3" i="6"/>
  <c r="AC3" i="6"/>
  <c r="U3" i="6"/>
  <c r="M3" i="6"/>
  <c r="E3" i="6"/>
  <c r="AU16" i="6"/>
  <c r="AM16" i="6"/>
  <c r="AE16" i="6"/>
  <c r="W16" i="6"/>
  <c r="O16" i="6"/>
  <c r="G16" i="6"/>
  <c r="AV15" i="6"/>
  <c r="AN15" i="6"/>
  <c r="AF15" i="6"/>
  <c r="X15" i="6"/>
  <c r="P15" i="6"/>
  <c r="H15" i="6"/>
  <c r="AW14" i="6"/>
  <c r="AO14" i="6"/>
  <c r="AG14" i="6"/>
  <c r="Y14" i="6"/>
  <c r="Q14" i="6"/>
  <c r="I14" i="6"/>
  <c r="AX13" i="6"/>
  <c r="AP13" i="6"/>
  <c r="AH13" i="6"/>
  <c r="Z13" i="6"/>
  <c r="R13" i="6"/>
  <c r="J13" i="6"/>
  <c r="AY12" i="6"/>
  <c r="AQ12" i="6"/>
  <c r="AI12" i="6"/>
  <c r="AA12" i="6"/>
  <c r="S12" i="6"/>
  <c r="K12" i="6"/>
  <c r="AZ11" i="6"/>
  <c r="AR11" i="6"/>
  <c r="AJ11" i="6"/>
  <c r="AB11" i="6"/>
  <c r="T11" i="6"/>
  <c r="L11" i="6"/>
  <c r="D11" i="6"/>
  <c r="AS10" i="6"/>
  <c r="AK10" i="6"/>
  <c r="AC10" i="6"/>
  <c r="U10" i="6"/>
  <c r="M10" i="6"/>
  <c r="E10" i="6"/>
  <c r="AT9" i="6"/>
  <c r="AL9" i="6"/>
  <c r="AD9" i="6"/>
  <c r="V9" i="6"/>
  <c r="N9" i="6"/>
  <c r="F9" i="6"/>
  <c r="AU8" i="6"/>
  <c r="AM8" i="6"/>
  <c r="AE8" i="6"/>
  <c r="W8" i="6"/>
  <c r="O8" i="6"/>
  <c r="G8" i="6"/>
  <c r="AV7" i="6"/>
  <c r="AN7" i="6"/>
  <c r="AF7" i="6"/>
  <c r="X7" i="6"/>
  <c r="P7" i="6"/>
  <c r="H7" i="6"/>
  <c r="AW6" i="6"/>
  <c r="AO6" i="6"/>
  <c r="AG6" i="6"/>
  <c r="Y6" i="6"/>
  <c r="Q6" i="6"/>
  <c r="I6" i="6"/>
  <c r="AX5" i="6"/>
  <c r="AP5" i="6"/>
  <c r="AH5" i="6"/>
  <c r="Z5" i="6"/>
  <c r="R5" i="6"/>
  <c r="J5" i="6"/>
  <c r="AY4" i="6"/>
  <c r="AQ4" i="6"/>
  <c r="AI4" i="6"/>
  <c r="AA4" i="6"/>
  <c r="S4" i="6"/>
  <c r="K4" i="6"/>
  <c r="AZ3" i="6"/>
  <c r="AR3" i="6"/>
  <c r="AJ3" i="6"/>
  <c r="AB3" i="6"/>
  <c r="T3" i="6"/>
  <c r="L3" i="6"/>
  <c r="D3" i="6"/>
  <c r="C9" i="6"/>
  <c r="C11" i="6"/>
  <c r="C10" i="6"/>
  <c r="C8" i="6"/>
  <c r="C18" i="6"/>
  <c r="C17" i="6"/>
  <c r="C16" i="6"/>
  <c r="C15" i="6"/>
  <c r="C6" i="6"/>
  <c r="C19" i="6"/>
  <c r="C5" i="6"/>
  <c r="C7" i="6"/>
  <c r="C14" i="6"/>
  <c r="C13" i="6"/>
  <c r="C12" i="6"/>
  <c r="C4" i="6"/>
  <c r="C3" i="6"/>
  <c r="AQ61" i="5"/>
  <c r="U59" i="5"/>
  <c r="K53" i="5"/>
  <c r="H57" i="5"/>
  <c r="W56" i="5"/>
  <c r="N61" i="5"/>
  <c r="G60" i="5"/>
  <c r="X59" i="5"/>
  <c r="AZ61" i="5"/>
  <c r="AJ61" i="5"/>
  <c r="AF58" i="5"/>
  <c r="R58" i="5"/>
  <c r="D58" i="5"/>
  <c r="AM57" i="5"/>
  <c r="X57" i="5"/>
  <c r="J57" i="5"/>
  <c r="AS56" i="5"/>
  <c r="AE56" i="5"/>
  <c r="N56" i="5"/>
  <c r="AP55" i="5"/>
  <c r="U55" i="5"/>
  <c r="AX54" i="5"/>
  <c r="K54" i="5"/>
  <c r="N50" i="5"/>
  <c r="AG47" i="5"/>
  <c r="AA61" i="5"/>
  <c r="AK59" i="5"/>
  <c r="I57" i="5"/>
  <c r="AY57" i="5"/>
  <c r="J54" i="5"/>
  <c r="J61" i="5"/>
  <c r="AA60" i="5"/>
  <c r="AZ59" i="5"/>
  <c r="AR59" i="5"/>
  <c r="AJ59" i="5"/>
  <c r="AB59" i="5"/>
  <c r="T59" i="5"/>
  <c r="L59" i="5"/>
  <c r="D59" i="5"/>
  <c r="AR58" i="5"/>
  <c r="AD58" i="5"/>
  <c r="O58" i="5"/>
  <c r="AX57" i="5"/>
  <c r="AJ57" i="5"/>
  <c r="V57" i="5"/>
  <c r="AP56" i="5"/>
  <c r="AB56" i="5"/>
  <c r="I56" i="5"/>
  <c r="AN55" i="5"/>
  <c r="AS54" i="5"/>
  <c r="AZ53" i="5"/>
  <c r="AZ52" i="5"/>
  <c r="AK51" i="5"/>
  <c r="AM49" i="5"/>
  <c r="I47" i="5"/>
  <c r="AB60" i="5"/>
  <c r="Z61" i="5"/>
  <c r="AC58" i="5"/>
  <c r="AW57" i="5"/>
  <c r="AI57" i="5"/>
  <c r="U57" i="5"/>
  <c r="G57" i="5"/>
  <c r="AO56" i="5"/>
  <c r="AA56" i="5"/>
  <c r="AK55" i="5"/>
  <c r="Q55" i="5"/>
  <c r="AQ54" i="5"/>
  <c r="AE49" i="5"/>
  <c r="AX46" i="5"/>
  <c r="AS59" i="5"/>
  <c r="AD56" i="5"/>
  <c r="AX61" i="5"/>
  <c r="R61" i="5"/>
  <c r="AI60" i="5"/>
  <c r="AQ58" i="5"/>
  <c r="AO61" i="5"/>
  <c r="Y61" i="5"/>
  <c r="Q61" i="5"/>
  <c r="I61" i="5"/>
  <c r="AX60" i="5"/>
  <c r="AP60" i="5"/>
  <c r="AH60" i="5"/>
  <c r="Z60" i="5"/>
  <c r="R60" i="5"/>
  <c r="J60" i="5"/>
  <c r="AY59" i="5"/>
  <c r="AQ59" i="5"/>
  <c r="AI59" i="5"/>
  <c r="AA59" i="5"/>
  <c r="S59" i="5"/>
  <c r="K59" i="5"/>
  <c r="AZ58" i="5"/>
  <c r="AP58" i="5"/>
  <c r="AB58" i="5"/>
  <c r="N58" i="5"/>
  <c r="AV57" i="5"/>
  <c r="AH57" i="5"/>
  <c r="T57" i="5"/>
  <c r="F57" i="5"/>
  <c r="Y56" i="5"/>
  <c r="H56" i="5"/>
  <c r="AJ55" i="5"/>
  <c r="P55" i="5"/>
  <c r="AY53" i="5"/>
  <c r="AR52" i="5"/>
  <c r="AC51" i="5"/>
  <c r="W49" i="5"/>
  <c r="AP46" i="5"/>
  <c r="AY61" i="5"/>
  <c r="AJ60" i="5"/>
  <c r="AE58" i="5"/>
  <c r="L56" i="5"/>
  <c r="AU49" i="5"/>
  <c r="AH61" i="5"/>
  <c r="AQ60" i="5"/>
  <c r="K60" i="5"/>
  <c r="AW61" i="5"/>
  <c r="AG61" i="5"/>
  <c r="AO58" i="5"/>
  <c r="AA58" i="5"/>
  <c r="M58" i="5"/>
  <c r="AG57" i="5"/>
  <c r="S57" i="5"/>
  <c r="E57" i="5"/>
  <c r="AN56" i="5"/>
  <c r="G56" i="5"/>
  <c r="AH55" i="5"/>
  <c r="M55" i="5"/>
  <c r="AP54" i="5"/>
  <c r="AR53" i="5"/>
  <c r="O49" i="5"/>
  <c r="AH46" i="5"/>
  <c r="D60" i="5"/>
  <c r="AR56" i="5"/>
  <c r="Q47" i="5"/>
  <c r="AP61" i="5"/>
  <c r="AY60" i="5"/>
  <c r="S60" i="5"/>
  <c r="AV61" i="5"/>
  <c r="AN61" i="5"/>
  <c r="AF61" i="5"/>
  <c r="X61" i="5"/>
  <c r="P61" i="5"/>
  <c r="H61" i="5"/>
  <c r="AW60" i="5"/>
  <c r="AO60" i="5"/>
  <c r="AG60" i="5"/>
  <c r="Y60" i="5"/>
  <c r="Q60" i="5"/>
  <c r="I60" i="5"/>
  <c r="AX59" i="5"/>
  <c r="AP59" i="5"/>
  <c r="AH59" i="5"/>
  <c r="Z59" i="5"/>
  <c r="R59" i="5"/>
  <c r="J59" i="5"/>
  <c r="AY58" i="5"/>
  <c r="AN58" i="5"/>
  <c r="Z58" i="5"/>
  <c r="L58" i="5"/>
  <c r="AU57" i="5"/>
  <c r="AF57" i="5"/>
  <c r="R57" i="5"/>
  <c r="D57" i="5"/>
  <c r="AM56" i="5"/>
  <c r="X56" i="5"/>
  <c r="F56" i="5"/>
  <c r="L55" i="5"/>
  <c r="AI54" i="5"/>
  <c r="AJ52" i="5"/>
  <c r="U51" i="5"/>
  <c r="G49" i="5"/>
  <c r="Z46" i="5"/>
  <c r="AV48" i="5"/>
  <c r="R46" i="5"/>
  <c r="AZ60" i="5"/>
  <c r="AT58" i="5"/>
  <c r="AW54" i="5"/>
  <c r="AK57" i="5"/>
  <c r="R55" i="5"/>
  <c r="Y58" i="5"/>
  <c r="D56" i="5"/>
  <c r="J55" i="5"/>
  <c r="AU61" i="5"/>
  <c r="AM61" i="5"/>
  <c r="AE61" i="5"/>
  <c r="W61" i="5"/>
  <c r="O61" i="5"/>
  <c r="G61" i="5"/>
  <c r="AV60" i="5"/>
  <c r="AN60" i="5"/>
  <c r="AF60" i="5"/>
  <c r="X60" i="5"/>
  <c r="P60" i="5"/>
  <c r="H60" i="5"/>
  <c r="AW59" i="5"/>
  <c r="AO59" i="5"/>
  <c r="AG59" i="5"/>
  <c r="Y59" i="5"/>
  <c r="Q59" i="5"/>
  <c r="I59" i="5"/>
  <c r="AX58" i="5"/>
  <c r="X58" i="5"/>
  <c r="J58" i="5"/>
  <c r="AS57" i="5"/>
  <c r="AE57" i="5"/>
  <c r="P57" i="5"/>
  <c r="AY56" i="5"/>
  <c r="AK56" i="5"/>
  <c r="V56" i="5"/>
  <c r="AZ55" i="5"/>
  <c r="AF55" i="5"/>
  <c r="AH54" i="5"/>
  <c r="AJ53" i="5"/>
  <c r="AB52" i="5"/>
  <c r="M51" i="5"/>
  <c r="AN48" i="5"/>
  <c r="J46" i="5"/>
  <c r="T60" i="5"/>
  <c r="AZ57" i="5"/>
  <c r="T55" i="5"/>
  <c r="W57" i="5"/>
  <c r="AT54" i="5"/>
  <c r="Q57" i="5"/>
  <c r="AG55" i="5"/>
  <c r="AQ53" i="5"/>
  <c r="AL58" i="5"/>
  <c r="W58" i="5"/>
  <c r="I58" i="5"/>
  <c r="AR57" i="5"/>
  <c r="AD57" i="5"/>
  <c r="AX56" i="5"/>
  <c r="AJ56" i="5"/>
  <c r="T56" i="5"/>
  <c r="AX55" i="5"/>
  <c r="AC55" i="5"/>
  <c r="I55" i="5"/>
  <c r="AA54" i="5"/>
  <c r="AF48" i="5"/>
  <c r="AY45" i="5"/>
  <c r="AI61" i="5"/>
  <c r="E59" i="5"/>
  <c r="P58" i="5"/>
  <c r="AM58" i="5"/>
  <c r="AM60" i="5"/>
  <c r="AN59" i="5"/>
  <c r="H59" i="5"/>
  <c r="AK58" i="5"/>
  <c r="AQ57" i="5"/>
  <c r="AC57" i="5"/>
  <c r="O57" i="5"/>
  <c r="AW56" i="5"/>
  <c r="AI56" i="5"/>
  <c r="S56" i="5"/>
  <c r="AB55" i="5"/>
  <c r="H55" i="5"/>
  <c r="AI53" i="5"/>
  <c r="T52" i="5"/>
  <c r="E51" i="5"/>
  <c r="X48" i="5"/>
  <c r="AQ45" i="5"/>
  <c r="K61" i="5"/>
  <c r="M59" i="5"/>
  <c r="AS51" i="5"/>
  <c r="AO55" i="5"/>
  <c r="K58" i="5"/>
  <c r="AL61" i="5"/>
  <c r="W60" i="5"/>
  <c r="H58" i="5"/>
  <c r="AJ58" i="5"/>
  <c r="V58" i="5"/>
  <c r="G58" i="5"/>
  <c r="AP57" i="5"/>
  <c r="AB57" i="5"/>
  <c r="N57" i="5"/>
  <c r="AH56" i="5"/>
  <c r="Q56" i="5"/>
  <c r="AW55" i="5"/>
  <c r="Z55" i="5"/>
  <c r="E55" i="5"/>
  <c r="Z54" i="5"/>
  <c r="AT50" i="5"/>
  <c r="P48" i="5"/>
  <c r="AI45" i="5"/>
  <c r="S61" i="5"/>
  <c r="AC59" i="5"/>
  <c r="AL57" i="5"/>
  <c r="AS58" i="5"/>
  <c r="K56" i="5"/>
  <c r="AT57" i="5"/>
  <c r="AD61" i="5"/>
  <c r="AU60" i="5"/>
  <c r="AE60" i="5"/>
  <c r="AF59" i="5"/>
  <c r="AS61" i="5"/>
  <c r="AK61" i="5"/>
  <c r="AC61" i="5"/>
  <c r="U61" i="5"/>
  <c r="M61" i="5"/>
  <c r="E61" i="5"/>
  <c r="AT60" i="5"/>
  <c r="AL60" i="5"/>
  <c r="AD60" i="5"/>
  <c r="V60" i="5"/>
  <c r="N60" i="5"/>
  <c r="F60" i="5"/>
  <c r="AU59" i="5"/>
  <c r="AM59" i="5"/>
  <c r="AE59" i="5"/>
  <c r="W59" i="5"/>
  <c r="O59" i="5"/>
  <c r="G59" i="5"/>
  <c r="AV58" i="5"/>
  <c r="AI58" i="5"/>
  <c r="U58" i="5"/>
  <c r="AO57" i="5"/>
  <c r="AA57" i="5"/>
  <c r="M57" i="5"/>
  <c r="AV56" i="5"/>
  <c r="AG56" i="5"/>
  <c r="AV55" i="5"/>
  <c r="D55" i="5"/>
  <c r="S54" i="5"/>
  <c r="AA53" i="5"/>
  <c r="L52" i="5"/>
  <c r="AL50" i="5"/>
  <c r="H48" i="5"/>
  <c r="AA45" i="5"/>
  <c r="AR60" i="5"/>
  <c r="Q58" i="5"/>
  <c r="F50" i="5"/>
  <c r="AQ56" i="5"/>
  <c r="AL56" i="5"/>
  <c r="V61" i="5"/>
  <c r="AV59" i="5"/>
  <c r="AW58" i="5"/>
  <c r="AH58" i="5"/>
  <c r="T58" i="5"/>
  <c r="F58" i="5"/>
  <c r="AN57" i="5"/>
  <c r="Z57" i="5"/>
  <c r="L57" i="5"/>
  <c r="AU56" i="5"/>
  <c r="P56" i="5"/>
  <c r="AS55" i="5"/>
  <c r="Y55" i="5"/>
  <c r="AY54" i="5"/>
  <c r="AD50" i="5"/>
  <c r="AW47" i="5"/>
  <c r="S45" i="5"/>
  <c r="L60" i="5"/>
  <c r="Y47" i="5"/>
  <c r="AC56" i="5"/>
  <c r="AZ56" i="5"/>
  <c r="AT61" i="5"/>
  <c r="F61" i="5"/>
  <c r="O60" i="5"/>
  <c r="P59" i="5"/>
  <c r="AR61" i="5"/>
  <c r="AB61" i="5"/>
  <c r="T61" i="5"/>
  <c r="L61" i="5"/>
  <c r="D61" i="5"/>
  <c r="AS60" i="5"/>
  <c r="AK60" i="5"/>
  <c r="AC60" i="5"/>
  <c r="U60" i="5"/>
  <c r="M60" i="5"/>
  <c r="E60" i="5"/>
  <c r="AT59" i="5"/>
  <c r="AL59" i="5"/>
  <c r="AD59" i="5"/>
  <c r="V59" i="5"/>
  <c r="N59" i="5"/>
  <c r="F59" i="5"/>
  <c r="AU58" i="5"/>
  <c r="AG58" i="5"/>
  <c r="S58" i="5"/>
  <c r="E58" i="5"/>
  <c r="Y57" i="5"/>
  <c r="K57" i="5"/>
  <c r="AT56" i="5"/>
  <c r="AF56" i="5"/>
  <c r="O56" i="5"/>
  <c r="AR55" i="5"/>
  <c r="X55" i="5"/>
  <c r="R54" i="5"/>
  <c r="S53" i="5"/>
  <c r="D52" i="5"/>
  <c r="V50" i="5"/>
  <c r="AO47" i="5"/>
  <c r="K45" i="5"/>
  <c r="AO54" i="5"/>
  <c r="AG54" i="5"/>
  <c r="Y54" i="5"/>
  <c r="Q54" i="5"/>
  <c r="I54" i="5"/>
  <c r="AX53" i="5"/>
  <c r="AP53" i="5"/>
  <c r="AH53" i="5"/>
  <c r="Z53" i="5"/>
  <c r="R53" i="5"/>
  <c r="J53" i="5"/>
  <c r="AY52" i="5"/>
  <c r="AQ52" i="5"/>
  <c r="AI52" i="5"/>
  <c r="AA52" i="5"/>
  <c r="S52" i="5"/>
  <c r="K52" i="5"/>
  <c r="AZ51" i="5"/>
  <c r="AR51" i="5"/>
  <c r="AJ51" i="5"/>
  <c r="AB51" i="5"/>
  <c r="T51" i="5"/>
  <c r="L51" i="5"/>
  <c r="D51" i="5"/>
  <c r="AS50" i="5"/>
  <c r="AK50" i="5"/>
  <c r="AC50" i="5"/>
  <c r="U50" i="5"/>
  <c r="M50" i="5"/>
  <c r="E50" i="5"/>
  <c r="AT49" i="5"/>
  <c r="AL49" i="5"/>
  <c r="AD49" i="5"/>
  <c r="V49" i="5"/>
  <c r="N49" i="5"/>
  <c r="F49" i="5"/>
  <c r="AU48" i="5"/>
  <c r="AM48" i="5"/>
  <c r="AE48" i="5"/>
  <c r="W48" i="5"/>
  <c r="O48" i="5"/>
  <c r="G48" i="5"/>
  <c r="AV47" i="5"/>
  <c r="AN47" i="5"/>
  <c r="AF47" i="5"/>
  <c r="X47" i="5"/>
  <c r="P47" i="5"/>
  <c r="H47" i="5"/>
  <c r="AW46" i="5"/>
  <c r="AO46" i="5"/>
  <c r="AG46" i="5"/>
  <c r="Y46" i="5"/>
  <c r="Q46" i="5"/>
  <c r="I46" i="5"/>
  <c r="AX45" i="5"/>
  <c r="AP45" i="5"/>
  <c r="AH45" i="5"/>
  <c r="Z45" i="5"/>
  <c r="R45" i="5"/>
  <c r="J45" i="5"/>
  <c r="AU55" i="5"/>
  <c r="AM55" i="5"/>
  <c r="AE55" i="5"/>
  <c r="W55" i="5"/>
  <c r="O55" i="5"/>
  <c r="G55" i="5"/>
  <c r="AV54" i="5"/>
  <c r="AN54" i="5"/>
  <c r="AF54" i="5"/>
  <c r="X54" i="5"/>
  <c r="P54" i="5"/>
  <c r="H54" i="5"/>
  <c r="AW53" i="5"/>
  <c r="AO53" i="5"/>
  <c r="AG53" i="5"/>
  <c r="Y53" i="5"/>
  <c r="Q53" i="5"/>
  <c r="I53" i="5"/>
  <c r="AX52" i="5"/>
  <c r="AP52" i="5"/>
  <c r="AH52" i="5"/>
  <c r="Z52" i="5"/>
  <c r="R52" i="5"/>
  <c r="J52" i="5"/>
  <c r="AY51" i="5"/>
  <c r="AQ51" i="5"/>
  <c r="AI51" i="5"/>
  <c r="AA51" i="5"/>
  <c r="S51" i="5"/>
  <c r="K51" i="5"/>
  <c r="AZ50" i="5"/>
  <c r="AR50" i="5"/>
  <c r="AJ50" i="5"/>
  <c r="AB50" i="5"/>
  <c r="T50" i="5"/>
  <c r="L50" i="5"/>
  <c r="D50" i="5"/>
  <c r="AS49" i="5"/>
  <c r="AK49" i="5"/>
  <c r="AC49" i="5"/>
  <c r="U49" i="5"/>
  <c r="M49" i="5"/>
  <c r="E49" i="5"/>
  <c r="AT48" i="5"/>
  <c r="AL48" i="5"/>
  <c r="AD48" i="5"/>
  <c r="V48" i="5"/>
  <c r="N48" i="5"/>
  <c r="F48" i="5"/>
  <c r="AU47" i="5"/>
  <c r="AM47" i="5"/>
  <c r="AE47" i="5"/>
  <c r="W47" i="5"/>
  <c r="O47" i="5"/>
  <c r="G47" i="5"/>
  <c r="AV46" i="5"/>
  <c r="AN46" i="5"/>
  <c r="AF46" i="5"/>
  <c r="X46" i="5"/>
  <c r="P46" i="5"/>
  <c r="H46" i="5"/>
  <c r="AW45" i="5"/>
  <c r="AO45" i="5"/>
  <c r="AG45" i="5"/>
  <c r="Y45" i="5"/>
  <c r="Q45" i="5"/>
  <c r="I45" i="5"/>
  <c r="U56" i="5"/>
  <c r="M56" i="5"/>
  <c r="E56" i="5"/>
  <c r="AT55" i="5"/>
  <c r="AL55" i="5"/>
  <c r="AD55" i="5"/>
  <c r="V55" i="5"/>
  <c r="N55" i="5"/>
  <c r="F55" i="5"/>
  <c r="AU54" i="5"/>
  <c r="AM54" i="5"/>
  <c r="AE54" i="5"/>
  <c r="W54" i="5"/>
  <c r="O54" i="5"/>
  <c r="G54" i="5"/>
  <c r="AV53" i="5"/>
  <c r="AN53" i="5"/>
  <c r="AF53" i="5"/>
  <c r="X53" i="5"/>
  <c r="P53" i="5"/>
  <c r="H53" i="5"/>
  <c r="AW52" i="5"/>
  <c r="AO52" i="5"/>
  <c r="AG52" i="5"/>
  <c r="Y52" i="5"/>
  <c r="Q52" i="5"/>
  <c r="I52" i="5"/>
  <c r="AX51" i="5"/>
  <c r="AP51" i="5"/>
  <c r="AH51" i="5"/>
  <c r="Z51" i="5"/>
  <c r="R51" i="5"/>
  <c r="J51" i="5"/>
  <c r="AY50" i="5"/>
  <c r="AQ50" i="5"/>
  <c r="AI50" i="5"/>
  <c r="AA50" i="5"/>
  <c r="S50" i="5"/>
  <c r="K50" i="5"/>
  <c r="AZ49" i="5"/>
  <c r="AR49" i="5"/>
  <c r="AJ49" i="5"/>
  <c r="AB49" i="5"/>
  <c r="T49" i="5"/>
  <c r="L49" i="5"/>
  <c r="D49" i="5"/>
  <c r="AS48" i="5"/>
  <c r="AK48" i="5"/>
  <c r="AC48" i="5"/>
  <c r="U48" i="5"/>
  <c r="M48" i="5"/>
  <c r="E48" i="5"/>
  <c r="AT47" i="5"/>
  <c r="AL47" i="5"/>
  <c r="AD47" i="5"/>
  <c r="V47" i="5"/>
  <c r="N47" i="5"/>
  <c r="F47" i="5"/>
  <c r="AU46" i="5"/>
  <c r="AM46" i="5"/>
  <c r="AE46" i="5"/>
  <c r="W46" i="5"/>
  <c r="O46" i="5"/>
  <c r="G46" i="5"/>
  <c r="AV45" i="5"/>
  <c r="AN45" i="5"/>
  <c r="AF45" i="5"/>
  <c r="X45" i="5"/>
  <c r="P45" i="5"/>
  <c r="H45" i="5"/>
  <c r="AL54" i="5"/>
  <c r="AD54" i="5"/>
  <c r="V54" i="5"/>
  <c r="N54" i="5"/>
  <c r="F54" i="5"/>
  <c r="AU53" i="5"/>
  <c r="AM53" i="5"/>
  <c r="AE53" i="5"/>
  <c r="W53" i="5"/>
  <c r="O53" i="5"/>
  <c r="G53" i="5"/>
  <c r="AV52" i="5"/>
  <c r="AN52" i="5"/>
  <c r="AF52" i="5"/>
  <c r="X52" i="5"/>
  <c r="P52" i="5"/>
  <c r="H52" i="5"/>
  <c r="AW51" i="5"/>
  <c r="AO51" i="5"/>
  <c r="AG51" i="5"/>
  <c r="Y51" i="5"/>
  <c r="Q51" i="5"/>
  <c r="I51" i="5"/>
  <c r="AX50" i="5"/>
  <c r="AP50" i="5"/>
  <c r="AH50" i="5"/>
  <c r="Z50" i="5"/>
  <c r="R50" i="5"/>
  <c r="J50" i="5"/>
  <c r="AY49" i="5"/>
  <c r="AQ49" i="5"/>
  <c r="AI49" i="5"/>
  <c r="AA49" i="5"/>
  <c r="S49" i="5"/>
  <c r="K49" i="5"/>
  <c r="AZ48" i="5"/>
  <c r="AR48" i="5"/>
  <c r="AJ48" i="5"/>
  <c r="AB48" i="5"/>
  <c r="T48" i="5"/>
  <c r="L48" i="5"/>
  <c r="D48" i="5"/>
  <c r="AS47" i="5"/>
  <c r="AK47" i="5"/>
  <c r="AC47" i="5"/>
  <c r="U47" i="5"/>
  <c r="M47" i="5"/>
  <c r="E47" i="5"/>
  <c r="AT46" i="5"/>
  <c r="AL46" i="5"/>
  <c r="AD46" i="5"/>
  <c r="V46" i="5"/>
  <c r="N46" i="5"/>
  <c r="F46" i="5"/>
  <c r="AU45" i="5"/>
  <c r="AM45" i="5"/>
  <c r="AE45" i="5"/>
  <c r="W45" i="5"/>
  <c r="O45" i="5"/>
  <c r="G45" i="5"/>
  <c r="AK54" i="5"/>
  <c r="AC54" i="5"/>
  <c r="U54" i="5"/>
  <c r="M54" i="5"/>
  <c r="E54" i="5"/>
  <c r="AT53" i="5"/>
  <c r="AL53" i="5"/>
  <c r="AD53" i="5"/>
  <c r="V53" i="5"/>
  <c r="N53" i="5"/>
  <c r="F53" i="5"/>
  <c r="AU52" i="5"/>
  <c r="AM52" i="5"/>
  <c r="AE52" i="5"/>
  <c r="W52" i="5"/>
  <c r="O52" i="5"/>
  <c r="G52" i="5"/>
  <c r="AV51" i="5"/>
  <c r="AN51" i="5"/>
  <c r="AF51" i="5"/>
  <c r="X51" i="5"/>
  <c r="P51" i="5"/>
  <c r="H51" i="5"/>
  <c r="AW50" i="5"/>
  <c r="AO50" i="5"/>
  <c r="AG50" i="5"/>
  <c r="Y50" i="5"/>
  <c r="Q50" i="5"/>
  <c r="I50" i="5"/>
  <c r="AX49" i="5"/>
  <c r="AP49" i="5"/>
  <c r="AH49" i="5"/>
  <c r="Z49" i="5"/>
  <c r="R49" i="5"/>
  <c r="J49" i="5"/>
  <c r="AY48" i="5"/>
  <c r="AQ48" i="5"/>
  <c r="AI48" i="5"/>
  <c r="AA48" i="5"/>
  <c r="S48" i="5"/>
  <c r="K48" i="5"/>
  <c r="AZ47" i="5"/>
  <c r="AR47" i="5"/>
  <c r="AJ47" i="5"/>
  <c r="AB47" i="5"/>
  <c r="T47" i="5"/>
  <c r="L47" i="5"/>
  <c r="D47" i="5"/>
  <c r="AS46" i="5"/>
  <c r="AK46" i="5"/>
  <c r="AC46" i="5"/>
  <c r="U46" i="5"/>
  <c r="M46" i="5"/>
  <c r="E46" i="5"/>
  <c r="AT45" i="5"/>
  <c r="AL45" i="5"/>
  <c r="AD45" i="5"/>
  <c r="V45" i="5"/>
  <c r="N45" i="5"/>
  <c r="F45" i="5"/>
  <c r="Z56" i="5"/>
  <c r="R56" i="5"/>
  <c r="J56" i="5"/>
  <c r="AY55" i="5"/>
  <c r="AQ55" i="5"/>
  <c r="AI55" i="5"/>
  <c r="AA55" i="5"/>
  <c r="S55" i="5"/>
  <c r="K55" i="5"/>
  <c r="AZ54" i="5"/>
  <c r="AR54" i="5"/>
  <c r="AJ54" i="5"/>
  <c r="AB54" i="5"/>
  <c r="T54" i="5"/>
  <c r="L54" i="5"/>
  <c r="D54" i="5"/>
  <c r="AS53" i="5"/>
  <c r="AK53" i="5"/>
  <c r="AC53" i="5"/>
  <c r="U53" i="5"/>
  <c r="M53" i="5"/>
  <c r="E53" i="5"/>
  <c r="AT52" i="5"/>
  <c r="AL52" i="5"/>
  <c r="AD52" i="5"/>
  <c r="V52" i="5"/>
  <c r="N52" i="5"/>
  <c r="F52" i="5"/>
  <c r="AU51" i="5"/>
  <c r="AM51" i="5"/>
  <c r="AE51" i="5"/>
  <c r="W51" i="5"/>
  <c r="O51" i="5"/>
  <c r="G51" i="5"/>
  <c r="AV50" i="5"/>
  <c r="AN50" i="5"/>
  <c r="AF50" i="5"/>
  <c r="X50" i="5"/>
  <c r="P50" i="5"/>
  <c r="H50" i="5"/>
  <c r="AW49" i="5"/>
  <c r="AO49" i="5"/>
  <c r="AG49" i="5"/>
  <c r="Y49" i="5"/>
  <c r="Q49" i="5"/>
  <c r="I49" i="5"/>
  <c r="AX48" i="5"/>
  <c r="AP48" i="5"/>
  <c r="AH48" i="5"/>
  <c r="Z48" i="5"/>
  <c r="R48" i="5"/>
  <c r="J48" i="5"/>
  <c r="AY47" i="5"/>
  <c r="AQ47" i="5"/>
  <c r="AI47" i="5"/>
  <c r="AA47" i="5"/>
  <c r="S47" i="5"/>
  <c r="K47" i="5"/>
  <c r="AZ46" i="5"/>
  <c r="AR46" i="5"/>
  <c r="AJ46" i="5"/>
  <c r="AB46" i="5"/>
  <c r="T46" i="5"/>
  <c r="L46" i="5"/>
  <c r="D46" i="5"/>
  <c r="AS45" i="5"/>
  <c r="AK45" i="5"/>
  <c r="AC45" i="5"/>
  <c r="U45" i="5"/>
  <c r="M45" i="5"/>
  <c r="E45" i="5"/>
  <c r="AB53" i="5"/>
  <c r="T53" i="5"/>
  <c r="L53" i="5"/>
  <c r="D53" i="5"/>
  <c r="AS52" i="5"/>
  <c r="AK52" i="5"/>
  <c r="AC52" i="5"/>
  <c r="U52" i="5"/>
  <c r="M52" i="5"/>
  <c r="E52" i="5"/>
  <c r="AT51" i="5"/>
  <c r="AL51" i="5"/>
  <c r="AD51" i="5"/>
  <c r="V51" i="5"/>
  <c r="N51" i="5"/>
  <c r="F51" i="5"/>
  <c r="AU50" i="5"/>
  <c r="AM50" i="5"/>
  <c r="AE50" i="5"/>
  <c r="W50" i="5"/>
  <c r="O50" i="5"/>
  <c r="G50" i="5"/>
  <c r="AV49" i="5"/>
  <c r="AN49" i="5"/>
  <c r="AF49" i="5"/>
  <c r="X49" i="5"/>
  <c r="P49" i="5"/>
  <c r="H49" i="5"/>
  <c r="AW48" i="5"/>
  <c r="AO48" i="5"/>
  <c r="AG48" i="5"/>
  <c r="Y48" i="5"/>
  <c r="Q48" i="5"/>
  <c r="I48" i="5"/>
  <c r="AX47" i="5"/>
  <c r="AP47" i="5"/>
  <c r="AH47" i="5"/>
  <c r="Z47" i="5"/>
  <c r="R47" i="5"/>
  <c r="J47" i="5"/>
  <c r="AY46" i="5"/>
  <c r="AQ46" i="5"/>
  <c r="AI46" i="5"/>
  <c r="AA46" i="5"/>
  <c r="S46" i="5"/>
  <c r="K46" i="5"/>
  <c r="AZ45" i="5"/>
  <c r="AR45" i="5"/>
  <c r="AJ45" i="5"/>
  <c r="AB45" i="5"/>
  <c r="T45" i="5"/>
  <c r="L45" i="5"/>
  <c r="D45" i="5"/>
  <c r="C61" i="5"/>
  <c r="C53" i="5"/>
  <c r="C57" i="5"/>
  <c r="C52" i="5"/>
  <c r="C59" i="5"/>
  <c r="C58" i="5"/>
  <c r="C49" i="5"/>
  <c r="C48" i="5"/>
  <c r="C47" i="5"/>
  <c r="C60" i="5"/>
  <c r="C51" i="5"/>
  <c r="C50" i="5"/>
  <c r="C56" i="5"/>
  <c r="C55" i="5"/>
  <c r="C54" i="5"/>
  <c r="C46" i="5"/>
  <c r="C45" i="5"/>
  <c r="AR38" i="5"/>
  <c r="AW32" i="5"/>
  <c r="AQ26" i="5"/>
  <c r="AX37" i="5"/>
  <c r="AY34" i="5"/>
  <c r="AT33" i="5"/>
  <c r="AZ31" i="5"/>
  <c r="AR31" i="5"/>
  <c r="AU30" i="5"/>
  <c r="AX29" i="5"/>
  <c r="AP29" i="5"/>
  <c r="AS28" i="5"/>
  <c r="AV27" i="5"/>
  <c r="AY26" i="5"/>
  <c r="AW24" i="5"/>
  <c r="AV40" i="5"/>
  <c r="AY39" i="5"/>
  <c r="AQ39" i="5"/>
  <c r="AT38" i="5"/>
  <c r="AW37" i="5"/>
  <c r="AZ36" i="5"/>
  <c r="AR36" i="5"/>
  <c r="AU35" i="5"/>
  <c r="AX34" i="5"/>
  <c r="AP34" i="5"/>
  <c r="AS33" i="5"/>
  <c r="AV32" i="5"/>
  <c r="AY31" i="5"/>
  <c r="AQ31" i="5"/>
  <c r="AT30" i="5"/>
  <c r="AW29" i="5"/>
  <c r="AZ28" i="5"/>
  <c r="AR28" i="5"/>
  <c r="AU27" i="5"/>
  <c r="AX26" i="5"/>
  <c r="AP26" i="5"/>
  <c r="AS25" i="5"/>
  <c r="AV24" i="5"/>
  <c r="AQ34" i="5"/>
  <c r="AT25" i="5"/>
  <c r="AS36" i="5"/>
  <c r="AS38" i="5"/>
  <c r="AY36" i="5"/>
  <c r="AT35" i="5"/>
  <c r="AZ33" i="5"/>
  <c r="AR33" i="5"/>
  <c r="AU32" i="5"/>
  <c r="AX31" i="5"/>
  <c r="AS30" i="5"/>
  <c r="AV29" i="5"/>
  <c r="AY28" i="5"/>
  <c r="AQ28" i="5"/>
  <c r="AT27" i="5"/>
  <c r="AW26" i="5"/>
  <c r="AZ25" i="5"/>
  <c r="AR25" i="5"/>
  <c r="AU24" i="5"/>
  <c r="AR39" i="5"/>
  <c r="AV35" i="5"/>
  <c r="AU40" i="5"/>
  <c r="AX39" i="5"/>
  <c r="AP39" i="5"/>
  <c r="AV37" i="5"/>
  <c r="AQ36" i="5"/>
  <c r="AW34" i="5"/>
  <c r="AP31" i="5"/>
  <c r="AU38" i="5"/>
  <c r="AU37" i="5"/>
  <c r="AX36" i="5"/>
  <c r="AS35" i="5"/>
  <c r="AV34" i="5"/>
  <c r="AY33" i="5"/>
  <c r="AQ33" i="5"/>
  <c r="AT32" i="5"/>
  <c r="AW31" i="5"/>
  <c r="AR30" i="5"/>
  <c r="AU29" i="5"/>
  <c r="AX28" i="5"/>
  <c r="AP28" i="5"/>
  <c r="AS27" i="5"/>
  <c r="AV26" i="5"/>
  <c r="AY25" i="5"/>
  <c r="AQ25" i="5"/>
  <c r="AT24" i="5"/>
  <c r="AP36" i="5"/>
  <c r="AZ30" i="5"/>
  <c r="AW40" i="5"/>
  <c r="AV39" i="5"/>
  <c r="AW36" i="5"/>
  <c r="AR35" i="5"/>
  <c r="AU34" i="5"/>
  <c r="AX33" i="5"/>
  <c r="AP33" i="5"/>
  <c r="AS32" i="5"/>
  <c r="AY30" i="5"/>
  <c r="AQ30" i="5"/>
  <c r="AT29" i="5"/>
  <c r="AW28" i="5"/>
  <c r="AZ27" i="5"/>
  <c r="AR27" i="5"/>
  <c r="AU26" i="5"/>
  <c r="AX25" i="5"/>
  <c r="AP25" i="5"/>
  <c r="AS24" i="5"/>
  <c r="AZ35" i="5"/>
  <c r="AV31" i="5"/>
  <c r="AY38" i="5"/>
  <c r="AR40" i="5"/>
  <c r="AU39" i="5"/>
  <c r="AX38" i="5"/>
  <c r="AP38" i="5"/>
  <c r="AS37" i="5"/>
  <c r="AV36" i="5"/>
  <c r="AY35" i="5"/>
  <c r="AT34" i="5"/>
  <c r="AW33" i="5"/>
  <c r="AZ32" i="5"/>
  <c r="AR32" i="5"/>
  <c r="AU31" i="5"/>
  <c r="AX30" i="5"/>
  <c r="AP30" i="5"/>
  <c r="AS29" i="5"/>
  <c r="AV28" i="5"/>
  <c r="AY27" i="5"/>
  <c r="AQ27" i="5"/>
  <c r="AT26" i="5"/>
  <c r="AW25" i="5"/>
  <c r="AZ24" i="5"/>
  <c r="AR24" i="5"/>
  <c r="AZ39" i="5"/>
  <c r="AZ38" i="5"/>
  <c r="AQ35" i="5"/>
  <c r="AT40" i="5"/>
  <c r="AQ38" i="5"/>
  <c r="AW38" i="5"/>
  <c r="AX35" i="5"/>
  <c r="AV33" i="5"/>
  <c r="AQ32" i="5"/>
  <c r="AW30" i="5"/>
  <c r="AZ29" i="5"/>
  <c r="AR29" i="5"/>
  <c r="AU28" i="5"/>
  <c r="AX27" i="5"/>
  <c r="AP27" i="5"/>
  <c r="AS26" i="5"/>
  <c r="AV25" i="5"/>
  <c r="AY24" i="5"/>
  <c r="AQ24" i="5"/>
  <c r="AW39" i="5"/>
  <c r="AT31" i="5"/>
  <c r="AP37" i="5"/>
  <c r="AS40" i="5"/>
  <c r="AT37" i="5"/>
  <c r="AZ40" i="5"/>
  <c r="AY40" i="5"/>
  <c r="AQ40" i="5"/>
  <c r="AT39" i="5"/>
  <c r="AZ37" i="5"/>
  <c r="AR37" i="5"/>
  <c r="AU36" i="5"/>
  <c r="AP35" i="5"/>
  <c r="AS34" i="5"/>
  <c r="AY32" i="5"/>
  <c r="AX40" i="5"/>
  <c r="AP40" i="5"/>
  <c r="AS39" i="5"/>
  <c r="AV38" i="5"/>
  <c r="AY37" i="5"/>
  <c r="AQ37" i="5"/>
  <c r="AT36" i="5"/>
  <c r="AW35" i="5"/>
  <c r="AZ34" i="5"/>
  <c r="AR34" i="5"/>
  <c r="AU33" i="5"/>
  <c r="AX32" i="5"/>
  <c r="AP32" i="5"/>
  <c r="AS31" i="5"/>
  <c r="AV30" i="5"/>
  <c r="AY29" i="5"/>
  <c r="AQ29" i="5"/>
  <c r="AT28" i="5"/>
  <c r="AW27" i="5"/>
  <c r="AZ26" i="5"/>
  <c r="AR26" i="5"/>
  <c r="AU25" i="5"/>
  <c r="AX24" i="5"/>
  <c r="AP24" i="5"/>
  <c r="AJ38" i="5"/>
  <c r="AF34" i="5"/>
  <c r="AN38" i="5"/>
  <c r="AJ39" i="5"/>
  <c r="AL24" i="5"/>
  <c r="AE37" i="5"/>
  <c r="AJ30" i="5"/>
  <c r="AN26" i="5"/>
  <c r="AF39" i="5"/>
  <c r="AL37" i="5"/>
  <c r="AO36" i="5"/>
  <c r="AG36" i="5"/>
  <c r="AJ35" i="5"/>
  <c r="AM34" i="5"/>
  <c r="AE34" i="5"/>
  <c r="AH33" i="5"/>
  <c r="AK32" i="5"/>
  <c r="AN31" i="5"/>
  <c r="AF31" i="5"/>
  <c r="AI30" i="5"/>
  <c r="AL29" i="5"/>
  <c r="AO28" i="5"/>
  <c r="AG28" i="5"/>
  <c r="AJ27" i="5"/>
  <c r="AM26" i="5"/>
  <c r="AE26" i="5"/>
  <c r="AH25" i="5"/>
  <c r="AK24" i="5"/>
  <c r="AH36" i="5"/>
  <c r="AI38" i="5"/>
  <c r="AG39" i="5"/>
  <c r="AN34" i="5"/>
  <c r="AO31" i="5"/>
  <c r="AE29" i="5"/>
  <c r="AF26" i="5"/>
  <c r="AK40" i="5"/>
  <c r="AH38" i="5"/>
  <c r="AK37" i="5"/>
  <c r="AN36" i="5"/>
  <c r="AF36" i="5"/>
  <c r="AI35" i="5"/>
  <c r="AL34" i="5"/>
  <c r="AO33" i="5"/>
  <c r="AG33" i="5"/>
  <c r="AJ32" i="5"/>
  <c r="AM31" i="5"/>
  <c r="AE31" i="5"/>
  <c r="AH30" i="5"/>
  <c r="AK29" i="5"/>
  <c r="AN28" i="5"/>
  <c r="AF28" i="5"/>
  <c r="AI27" i="5"/>
  <c r="AL26" i="5"/>
  <c r="AO25" i="5"/>
  <c r="AG25" i="5"/>
  <c r="AJ24" i="5"/>
  <c r="AK27" i="5"/>
  <c r="AM39" i="5"/>
  <c r="AK35" i="5"/>
  <c r="AL32" i="5"/>
  <c r="AG31" i="5"/>
  <c r="AH28" i="5"/>
  <c r="AI25" i="5"/>
  <c r="AN39" i="5"/>
  <c r="AE39" i="5"/>
  <c r="AI40" i="5"/>
  <c r="AL39" i="5"/>
  <c r="AO38" i="5"/>
  <c r="AG38" i="5"/>
  <c r="AJ37" i="5"/>
  <c r="AM36" i="5"/>
  <c r="AE36" i="5"/>
  <c r="AH35" i="5"/>
  <c r="AK34" i="5"/>
  <c r="AN33" i="5"/>
  <c r="AF33" i="5"/>
  <c r="AI32" i="5"/>
  <c r="AL31" i="5"/>
  <c r="AO30" i="5"/>
  <c r="AG30" i="5"/>
  <c r="AJ29" i="5"/>
  <c r="AM28" i="5"/>
  <c r="AE28" i="5"/>
  <c r="AH27" i="5"/>
  <c r="AK26" i="5"/>
  <c r="AN25" i="5"/>
  <c r="AF25" i="5"/>
  <c r="AI24" i="5"/>
  <c r="AM29" i="5"/>
  <c r="AJ40" i="5"/>
  <c r="AO39" i="5"/>
  <c r="AF38" i="5"/>
  <c r="AO35" i="5"/>
  <c r="AJ34" i="5"/>
  <c r="AM33" i="5"/>
  <c r="AF30" i="5"/>
  <c r="AI29" i="5"/>
  <c r="AL28" i="5"/>
  <c r="AO27" i="5"/>
  <c r="AG27" i="5"/>
  <c r="AJ26" i="5"/>
  <c r="AM25" i="5"/>
  <c r="AE25" i="5"/>
  <c r="AH24" i="5"/>
  <c r="AK31" i="5"/>
  <c r="AK39" i="5"/>
  <c r="AG35" i="5"/>
  <c r="AH32" i="5"/>
  <c r="AM38" i="5"/>
  <c r="AE38" i="5"/>
  <c r="AH37" i="5"/>
  <c r="AK36" i="5"/>
  <c r="AN35" i="5"/>
  <c r="AF35" i="5"/>
  <c r="AI34" i="5"/>
  <c r="AL33" i="5"/>
  <c r="AO32" i="5"/>
  <c r="AG32" i="5"/>
  <c r="AJ31" i="5"/>
  <c r="AM30" i="5"/>
  <c r="AE30" i="5"/>
  <c r="AH29" i="5"/>
  <c r="AK28" i="5"/>
  <c r="AN27" i="5"/>
  <c r="AF27" i="5"/>
  <c r="AI26" i="5"/>
  <c r="AL25" i="5"/>
  <c r="AO24" i="5"/>
  <c r="AG24" i="5"/>
  <c r="AL40" i="5"/>
  <c r="AH40" i="5"/>
  <c r="AO40" i="5"/>
  <c r="AM37" i="5"/>
  <c r="AL36" i="5"/>
  <c r="AN30" i="5"/>
  <c r="AN40" i="5"/>
  <c r="AF40" i="5"/>
  <c r="AI39" i="5"/>
  <c r="AL38" i="5"/>
  <c r="AO37" i="5"/>
  <c r="AG37" i="5"/>
  <c r="AJ36" i="5"/>
  <c r="AM35" i="5"/>
  <c r="AE35" i="5"/>
  <c r="AH34" i="5"/>
  <c r="AK33" i="5"/>
  <c r="AN32" i="5"/>
  <c r="AF32" i="5"/>
  <c r="AI31" i="5"/>
  <c r="AL30" i="5"/>
  <c r="AO29" i="5"/>
  <c r="AG29" i="5"/>
  <c r="AJ28" i="5"/>
  <c r="AM27" i="5"/>
  <c r="AE27" i="5"/>
  <c r="AH26" i="5"/>
  <c r="AK25" i="5"/>
  <c r="AN24" i="5"/>
  <c r="AF24" i="5"/>
  <c r="AI33" i="5"/>
  <c r="AG40" i="5"/>
  <c r="AI37" i="5"/>
  <c r="AE33" i="5"/>
  <c r="AM40" i="5"/>
  <c r="AE40" i="5"/>
  <c r="AH39" i="5"/>
  <c r="AK38" i="5"/>
  <c r="AN37" i="5"/>
  <c r="AF37" i="5"/>
  <c r="AI36" i="5"/>
  <c r="AL35" i="5"/>
  <c r="AO34" i="5"/>
  <c r="AG34" i="5"/>
  <c r="AJ33" i="5"/>
  <c r="AM32" i="5"/>
  <c r="AE32" i="5"/>
  <c r="AH31" i="5"/>
  <c r="AK30" i="5"/>
  <c r="AN29" i="5"/>
  <c r="AF29" i="5"/>
  <c r="AI28" i="5"/>
  <c r="AL27" i="5"/>
  <c r="AO26" i="5"/>
  <c r="AG26" i="5"/>
  <c r="AJ25" i="5"/>
  <c r="AM24" i="5"/>
  <c r="AE24" i="5"/>
  <c r="S38" i="5"/>
  <c r="AC28" i="5"/>
  <c r="AC40" i="5"/>
  <c r="AB37" i="5"/>
  <c r="S34" i="5"/>
  <c r="AB40" i="5"/>
  <c r="V38" i="5"/>
  <c r="X36" i="5"/>
  <c r="W33" i="5"/>
  <c r="V30" i="5"/>
  <c r="AA40" i="5"/>
  <c r="S40" i="5"/>
  <c r="U38" i="5"/>
  <c r="Z37" i="5"/>
  <c r="AB35" i="5"/>
  <c r="Z40" i="5"/>
  <c r="T33" i="5"/>
  <c r="Y24" i="5"/>
  <c r="AA38" i="5"/>
  <c r="AA30" i="5"/>
  <c r="R27" i="5"/>
  <c r="W37" i="5"/>
  <c r="AA33" i="5"/>
  <c r="U31" i="5"/>
  <c r="W29" i="5"/>
  <c r="AB28" i="5"/>
  <c r="T28" i="5"/>
  <c r="Y27" i="5"/>
  <c r="AD26" i="5"/>
  <c r="V26" i="5"/>
  <c r="AA25" i="5"/>
  <c r="S25" i="5"/>
  <c r="X24" i="5"/>
  <c r="V39" i="5"/>
  <c r="AB33" i="5"/>
  <c r="U28" i="5"/>
  <c r="AB36" i="5"/>
  <c r="R35" i="5"/>
  <c r="AB25" i="5"/>
  <c r="U39" i="5"/>
  <c r="Y35" i="5"/>
  <c r="X32" i="5"/>
  <c r="T39" i="5"/>
  <c r="AA36" i="5"/>
  <c r="AC34" i="5"/>
  <c r="Z33" i="5"/>
  <c r="AB31" i="5"/>
  <c r="T31" i="5"/>
  <c r="Y30" i="5"/>
  <c r="AD29" i="5"/>
  <c r="V29" i="5"/>
  <c r="AA28" i="5"/>
  <c r="S28" i="5"/>
  <c r="X27" i="5"/>
  <c r="AC26" i="5"/>
  <c r="U26" i="5"/>
  <c r="Z25" i="5"/>
  <c r="R25" i="5"/>
  <c r="W24" i="5"/>
  <c r="Y32" i="5"/>
  <c r="W26" i="5"/>
  <c r="Z38" i="5"/>
  <c r="V34" i="5"/>
  <c r="Z30" i="5"/>
  <c r="W32" i="5"/>
  <c r="Z35" i="5"/>
  <c r="T25" i="5"/>
  <c r="X40" i="5"/>
  <c r="R38" i="5"/>
  <c r="AD34" i="5"/>
  <c r="S33" i="5"/>
  <c r="R30" i="5"/>
  <c r="W40" i="5"/>
  <c r="AB39" i="5"/>
  <c r="Y38" i="5"/>
  <c r="AD37" i="5"/>
  <c r="V37" i="5"/>
  <c r="S36" i="5"/>
  <c r="X35" i="5"/>
  <c r="U34" i="5"/>
  <c r="AD40" i="5"/>
  <c r="V40" i="5"/>
  <c r="AA39" i="5"/>
  <c r="S39" i="5"/>
  <c r="X38" i="5"/>
  <c r="AC37" i="5"/>
  <c r="U37" i="5"/>
  <c r="Z36" i="5"/>
  <c r="R36" i="5"/>
  <c r="W35" i="5"/>
  <c r="AB34" i="5"/>
  <c r="T34" i="5"/>
  <c r="Y33" i="5"/>
  <c r="AD32" i="5"/>
  <c r="V32" i="5"/>
  <c r="AA31" i="5"/>
  <c r="S31" i="5"/>
  <c r="X30" i="5"/>
  <c r="AC29" i="5"/>
  <c r="U29" i="5"/>
  <c r="Z28" i="5"/>
  <c r="R28" i="5"/>
  <c r="W27" i="5"/>
  <c r="AB26" i="5"/>
  <c r="T26" i="5"/>
  <c r="Y25" i="5"/>
  <c r="AD24" i="5"/>
  <c r="V24" i="5"/>
  <c r="W34" i="5"/>
  <c r="Z27" i="5"/>
  <c r="AC39" i="5"/>
  <c r="T36" i="5"/>
  <c r="AC31" i="5"/>
  <c r="R33" i="5"/>
  <c r="AD39" i="5"/>
  <c r="X37" i="5"/>
  <c r="W38" i="5"/>
  <c r="AA34" i="5"/>
  <c r="X33" i="5"/>
  <c r="AC32" i="5"/>
  <c r="Z31" i="5"/>
  <c r="R31" i="5"/>
  <c r="W30" i="5"/>
  <c r="AB29" i="5"/>
  <c r="T29" i="5"/>
  <c r="Y28" i="5"/>
  <c r="AD27" i="5"/>
  <c r="V27" i="5"/>
  <c r="AA26" i="5"/>
  <c r="S26" i="5"/>
  <c r="X25" i="5"/>
  <c r="AC24" i="5"/>
  <c r="U24" i="5"/>
  <c r="AC36" i="5"/>
  <c r="U32" i="5"/>
  <c r="Y40" i="5"/>
  <c r="V31" i="5"/>
  <c r="T37" i="5"/>
  <c r="AA37" i="5"/>
  <c r="R34" i="5"/>
  <c r="T32" i="5"/>
  <c r="AA29" i="5"/>
  <c r="S29" i="5"/>
  <c r="X28" i="5"/>
  <c r="AC27" i="5"/>
  <c r="U27" i="5"/>
  <c r="Z26" i="5"/>
  <c r="R26" i="5"/>
  <c r="W25" i="5"/>
  <c r="AB24" i="5"/>
  <c r="T24" i="5"/>
  <c r="X29" i="5"/>
  <c r="S37" i="5"/>
  <c r="AD31" i="5"/>
  <c r="U40" i="5"/>
  <c r="Y36" i="5"/>
  <c r="Y39" i="5"/>
  <c r="U35" i="5"/>
  <c r="AB32" i="5"/>
  <c r="AC38" i="5"/>
  <c r="R37" i="5"/>
  <c r="T35" i="5"/>
  <c r="Y34" i="5"/>
  <c r="AA32" i="5"/>
  <c r="S32" i="5"/>
  <c r="X31" i="5"/>
  <c r="AC30" i="5"/>
  <c r="U30" i="5"/>
  <c r="Z29" i="5"/>
  <c r="R29" i="5"/>
  <c r="W28" i="5"/>
  <c r="AB27" i="5"/>
  <c r="T27" i="5"/>
  <c r="Y26" i="5"/>
  <c r="AD25" i="5"/>
  <c r="V25" i="5"/>
  <c r="AA24" i="5"/>
  <c r="S24" i="5"/>
  <c r="S30" i="5"/>
  <c r="R39" i="5"/>
  <c r="V35" i="5"/>
  <c r="AD38" i="5"/>
  <c r="Z34" i="5"/>
  <c r="Y31" i="5"/>
  <c r="V33" i="5"/>
  <c r="U36" i="5"/>
  <c r="Z39" i="5"/>
  <c r="AD35" i="5"/>
  <c r="T40" i="5"/>
  <c r="AC35" i="5"/>
  <c r="AD30" i="5"/>
  <c r="X39" i="5"/>
  <c r="W36" i="5"/>
  <c r="AD33" i="5"/>
  <c r="R40" i="5"/>
  <c r="W39" i="5"/>
  <c r="AB38" i="5"/>
  <c r="T38" i="5"/>
  <c r="Y37" i="5"/>
  <c r="AD36" i="5"/>
  <c r="V36" i="5"/>
  <c r="AA35" i="5"/>
  <c r="S35" i="5"/>
  <c r="X34" i="5"/>
  <c r="AC33" i="5"/>
  <c r="U33" i="5"/>
  <c r="Z32" i="5"/>
  <c r="R32" i="5"/>
  <c r="W31" i="5"/>
  <c r="AB30" i="5"/>
  <c r="T30" i="5"/>
  <c r="Y29" i="5"/>
  <c r="AD28" i="5"/>
  <c r="V28" i="5"/>
  <c r="AA27" i="5"/>
  <c r="S27" i="5"/>
  <c r="X26" i="5"/>
  <c r="AC25" i="5"/>
  <c r="U25" i="5"/>
  <c r="Z24" i="5"/>
  <c r="R24" i="5"/>
  <c r="G38" i="5"/>
  <c r="G34" i="5"/>
  <c r="Q31" i="5"/>
  <c r="Q27" i="5"/>
  <c r="G26" i="5"/>
  <c r="E25" i="5"/>
  <c r="P39" i="5"/>
  <c r="N38" i="5"/>
  <c r="L37" i="5"/>
  <c r="J36" i="5"/>
  <c r="P35" i="5"/>
  <c r="N34" i="5"/>
  <c r="F34" i="5"/>
  <c r="L33" i="5"/>
  <c r="D33" i="5"/>
  <c r="J32" i="5"/>
  <c r="H31" i="5"/>
  <c r="N30" i="5"/>
  <c r="F30" i="5"/>
  <c r="L29" i="5"/>
  <c r="D29" i="5"/>
  <c r="J28" i="5"/>
  <c r="P27" i="5"/>
  <c r="H27" i="5"/>
  <c r="N26" i="5"/>
  <c r="F26" i="5"/>
  <c r="L25" i="5"/>
  <c r="D25" i="5"/>
  <c r="J24" i="5"/>
  <c r="E37" i="5"/>
  <c r="M33" i="5"/>
  <c r="I31" i="5"/>
  <c r="I27" i="5"/>
  <c r="M25" i="5"/>
  <c r="K24" i="5"/>
  <c r="J40" i="5"/>
  <c r="H39" i="5"/>
  <c r="F38" i="5"/>
  <c r="D37" i="5"/>
  <c r="H35" i="5"/>
  <c r="P31" i="5"/>
  <c r="I35" i="5"/>
  <c r="K37" i="5"/>
  <c r="O35" i="5"/>
  <c r="G35" i="5"/>
  <c r="E34" i="5"/>
  <c r="K33" i="5"/>
  <c r="Q32" i="5"/>
  <c r="I32" i="5"/>
  <c r="O31" i="5"/>
  <c r="G31" i="5"/>
  <c r="M30" i="5"/>
  <c r="E30" i="5"/>
  <c r="K29" i="5"/>
  <c r="Q28" i="5"/>
  <c r="I28" i="5"/>
  <c r="O27" i="5"/>
  <c r="G27" i="5"/>
  <c r="M26" i="5"/>
  <c r="E26" i="5"/>
  <c r="K25" i="5"/>
  <c r="Q24" i="5"/>
  <c r="I24" i="5"/>
  <c r="M34" i="5"/>
  <c r="M37" i="5"/>
  <c r="L34" i="5"/>
  <c r="J33" i="5"/>
  <c r="P32" i="5"/>
  <c r="H32" i="5"/>
  <c r="N31" i="5"/>
  <c r="F31" i="5"/>
  <c r="L30" i="5"/>
  <c r="D30" i="5"/>
  <c r="J29" i="5"/>
  <c r="P28" i="5"/>
  <c r="H28" i="5"/>
  <c r="N27" i="5"/>
  <c r="F27" i="5"/>
  <c r="L26" i="5"/>
  <c r="D26" i="5"/>
  <c r="J25" i="5"/>
  <c r="P24" i="5"/>
  <c r="H24" i="5"/>
  <c r="N35" i="5"/>
  <c r="G30" i="5"/>
  <c r="M38" i="5"/>
  <c r="J37" i="5"/>
  <c r="O40" i="5"/>
  <c r="K38" i="5"/>
  <c r="O36" i="5"/>
  <c r="K34" i="5"/>
  <c r="O32" i="5"/>
  <c r="E31" i="5"/>
  <c r="I29" i="5"/>
  <c r="O28" i="5"/>
  <c r="G28" i="5"/>
  <c r="M27" i="5"/>
  <c r="E27" i="5"/>
  <c r="K26" i="5"/>
  <c r="Q25" i="5"/>
  <c r="I25" i="5"/>
  <c r="O24" i="5"/>
  <c r="G24" i="5"/>
  <c r="I39" i="5"/>
  <c r="E29" i="5"/>
  <c r="O39" i="5"/>
  <c r="N39" i="5"/>
  <c r="M39" i="5"/>
  <c r="M31" i="5"/>
  <c r="Q39" i="5"/>
  <c r="Q35" i="5"/>
  <c r="E33" i="5"/>
  <c r="K28" i="5"/>
  <c r="Q40" i="5"/>
  <c r="I36" i="5"/>
  <c r="P40" i="5"/>
  <c r="L38" i="5"/>
  <c r="H36" i="5"/>
  <c r="D34" i="5"/>
  <c r="G40" i="5"/>
  <c r="Q37" i="5"/>
  <c r="I37" i="5"/>
  <c r="G36" i="5"/>
  <c r="M35" i="5"/>
  <c r="E35" i="5"/>
  <c r="Q33" i="5"/>
  <c r="I33" i="5"/>
  <c r="G32" i="5"/>
  <c r="Q29" i="5"/>
  <c r="N40" i="5"/>
  <c r="F40" i="5"/>
  <c r="L39" i="5"/>
  <c r="D39" i="5"/>
  <c r="J38" i="5"/>
  <c r="P37" i="5"/>
  <c r="H37" i="5"/>
  <c r="N36" i="5"/>
  <c r="F36" i="5"/>
  <c r="L35" i="5"/>
  <c r="D35" i="5"/>
  <c r="J34" i="5"/>
  <c r="P33" i="5"/>
  <c r="H33" i="5"/>
  <c r="N32" i="5"/>
  <c r="F32" i="5"/>
  <c r="L31" i="5"/>
  <c r="D31" i="5"/>
  <c r="J30" i="5"/>
  <c r="P29" i="5"/>
  <c r="H29" i="5"/>
  <c r="N28" i="5"/>
  <c r="F28" i="5"/>
  <c r="L27" i="5"/>
  <c r="D27" i="5"/>
  <c r="J26" i="5"/>
  <c r="P25" i="5"/>
  <c r="H25" i="5"/>
  <c r="N24" i="5"/>
  <c r="F24" i="5"/>
  <c r="O30" i="5"/>
  <c r="G39" i="5"/>
  <c r="F39" i="5"/>
  <c r="E39" i="5"/>
  <c r="K30" i="5"/>
  <c r="O38" i="5"/>
  <c r="M29" i="5"/>
  <c r="I40" i="5"/>
  <c r="P36" i="5"/>
  <c r="Q38" i="5"/>
  <c r="O37" i="5"/>
  <c r="E36" i="5"/>
  <c r="I34" i="5"/>
  <c r="M32" i="5"/>
  <c r="K31" i="5"/>
  <c r="I30" i="5"/>
  <c r="O29" i="5"/>
  <c r="G29" i="5"/>
  <c r="E28" i="5"/>
  <c r="K27" i="5"/>
  <c r="Q26" i="5"/>
  <c r="I26" i="5"/>
  <c r="O25" i="5"/>
  <c r="G25" i="5"/>
  <c r="M24" i="5"/>
  <c r="E24" i="5"/>
  <c r="K40" i="5"/>
  <c r="K36" i="5"/>
  <c r="K32" i="5"/>
  <c r="O26" i="5"/>
  <c r="E38" i="5"/>
  <c r="H40" i="5"/>
  <c r="D38" i="5"/>
  <c r="F35" i="5"/>
  <c r="M40" i="5"/>
  <c r="E40" i="5"/>
  <c r="K39" i="5"/>
  <c r="I38" i="5"/>
  <c r="G37" i="5"/>
  <c r="M36" i="5"/>
  <c r="K35" i="5"/>
  <c r="Q34" i="5"/>
  <c r="O33" i="5"/>
  <c r="G33" i="5"/>
  <c r="E32" i="5"/>
  <c r="Q30" i="5"/>
  <c r="M28" i="5"/>
  <c r="O34" i="5"/>
  <c r="Q36" i="5"/>
  <c r="L40" i="5"/>
  <c r="D40" i="5"/>
  <c r="J39" i="5"/>
  <c r="P38" i="5"/>
  <c r="H38" i="5"/>
  <c r="N37" i="5"/>
  <c r="F37" i="5"/>
  <c r="L36" i="5"/>
  <c r="D36" i="5"/>
  <c r="J35" i="5"/>
  <c r="P34" i="5"/>
  <c r="H34" i="5"/>
  <c r="N33" i="5"/>
  <c r="F33" i="5"/>
  <c r="L32" i="5"/>
  <c r="D32" i="5"/>
  <c r="J31" i="5"/>
  <c r="P30" i="5"/>
  <c r="H30" i="5"/>
  <c r="N29" i="5"/>
  <c r="F29" i="5"/>
  <c r="L28" i="5"/>
  <c r="D28" i="5"/>
  <c r="J27" i="5"/>
  <c r="P26" i="5"/>
  <c r="H26" i="5"/>
  <c r="N25" i="5"/>
  <c r="F25" i="5"/>
  <c r="L24" i="5"/>
  <c r="D24" i="5"/>
  <c r="C28" i="5"/>
  <c r="C35" i="5"/>
  <c r="C27" i="5"/>
  <c r="C34" i="5"/>
  <c r="C26" i="5"/>
  <c r="C33" i="5"/>
  <c r="C25" i="5"/>
  <c r="C39" i="5"/>
  <c r="C30" i="5"/>
  <c r="C36" i="5"/>
  <c r="C40" i="5"/>
  <c r="C32" i="5"/>
  <c r="C31" i="5"/>
  <c r="C38" i="5"/>
  <c r="C37" i="5"/>
  <c r="C29" i="5"/>
  <c r="C24" i="5"/>
  <c r="AP16" i="5"/>
  <c r="J18" i="5"/>
  <c r="AW18" i="5"/>
  <c r="AP17" i="5"/>
  <c r="J17" i="5"/>
  <c r="AY16" i="5"/>
  <c r="AL16" i="5"/>
  <c r="Y13" i="5"/>
  <c r="AH18" i="5"/>
  <c r="AM15" i="5"/>
  <c r="X14" i="5"/>
  <c r="I13" i="5"/>
  <c r="AQ11" i="5"/>
  <c r="AB10" i="5"/>
  <c r="M9" i="5"/>
  <c r="AU7" i="5"/>
  <c r="AF6" i="5"/>
  <c r="Q5" i="5"/>
  <c r="AY3" i="5"/>
  <c r="AV6" i="5"/>
  <c r="Y19" i="5"/>
  <c r="AY17" i="5"/>
  <c r="AZ16" i="5"/>
  <c r="AN16" i="5"/>
  <c r="Q13" i="5"/>
  <c r="F8" i="5"/>
  <c r="Y5" i="5"/>
  <c r="AF19" i="5"/>
  <c r="H19" i="5"/>
  <c r="Y18" i="5"/>
  <c r="AX17" i="5"/>
  <c r="Z17" i="5"/>
  <c r="AU19" i="5"/>
  <c r="AM19" i="5"/>
  <c r="AE19" i="5"/>
  <c r="W19" i="5"/>
  <c r="O19" i="5"/>
  <c r="G19" i="5"/>
  <c r="AV18" i="5"/>
  <c r="AN18" i="5"/>
  <c r="AF18" i="5"/>
  <c r="X18" i="5"/>
  <c r="P18" i="5"/>
  <c r="H18" i="5"/>
  <c r="AW17" i="5"/>
  <c r="AO17" i="5"/>
  <c r="AG17" i="5"/>
  <c r="Y17" i="5"/>
  <c r="Q17" i="5"/>
  <c r="I17" i="5"/>
  <c r="AX16" i="5"/>
  <c r="AK16" i="5"/>
  <c r="AG5" i="5"/>
  <c r="I19" i="5"/>
  <c r="AQ17" i="5"/>
  <c r="K17" i="5"/>
  <c r="AU15" i="5"/>
  <c r="AJ10" i="5"/>
  <c r="J4" i="5"/>
  <c r="AN19" i="5"/>
  <c r="P19" i="5"/>
  <c r="AO18" i="5"/>
  <c r="Q18" i="5"/>
  <c r="AH17" i="5"/>
  <c r="AF16" i="5"/>
  <c r="AE15" i="5"/>
  <c r="P14" i="5"/>
  <c r="AX12" i="5"/>
  <c r="AI11" i="5"/>
  <c r="T10" i="5"/>
  <c r="E9" i="5"/>
  <c r="AM7" i="5"/>
  <c r="X6" i="5"/>
  <c r="I5" i="5"/>
  <c r="AQ3" i="5"/>
  <c r="AX19" i="5"/>
  <c r="N8" i="5"/>
  <c r="AW19" i="5"/>
  <c r="Z18" i="5"/>
  <c r="AA17" i="5"/>
  <c r="AF14" i="5"/>
  <c r="U9" i="5"/>
  <c r="AN6" i="5"/>
  <c r="AV19" i="5"/>
  <c r="X19" i="5"/>
  <c r="AG18" i="5"/>
  <c r="I18" i="5"/>
  <c r="R17" i="5"/>
  <c r="AT19" i="5"/>
  <c r="AL19" i="5"/>
  <c r="AD19" i="5"/>
  <c r="V19" i="5"/>
  <c r="N19" i="5"/>
  <c r="F19" i="5"/>
  <c r="AU18" i="5"/>
  <c r="AM18" i="5"/>
  <c r="AE18" i="5"/>
  <c r="W18" i="5"/>
  <c r="O18" i="5"/>
  <c r="G18" i="5"/>
  <c r="AV17" i="5"/>
  <c r="AN17" i="5"/>
  <c r="AF17" i="5"/>
  <c r="X17" i="5"/>
  <c r="P17" i="5"/>
  <c r="H17" i="5"/>
  <c r="AW16" i="5"/>
  <c r="AD16" i="5"/>
  <c r="AG19" i="5"/>
  <c r="AO16" i="5"/>
  <c r="AY11" i="5"/>
  <c r="W15" i="5"/>
  <c r="H14" i="5"/>
  <c r="AP12" i="5"/>
  <c r="AA11" i="5"/>
  <c r="L10" i="5"/>
  <c r="AT8" i="5"/>
  <c r="AE7" i="5"/>
  <c r="P6" i="5"/>
  <c r="AX4" i="5"/>
  <c r="AI3" i="5"/>
  <c r="F16" i="5"/>
  <c r="AP18" i="5"/>
  <c r="AT18" i="5"/>
  <c r="V18" i="5"/>
  <c r="F18" i="5"/>
  <c r="AM17" i="5"/>
  <c r="AE17" i="5"/>
  <c r="W17" i="5"/>
  <c r="O17" i="5"/>
  <c r="G17" i="5"/>
  <c r="AV16" i="5"/>
  <c r="AC16" i="5"/>
  <c r="AP19" i="5"/>
  <c r="AI17" i="5"/>
  <c r="X16" i="5"/>
  <c r="O15" i="5"/>
  <c r="AW13" i="5"/>
  <c r="AH12" i="5"/>
  <c r="S11" i="5"/>
  <c r="D10" i="5"/>
  <c r="AL8" i="5"/>
  <c r="W7" i="5"/>
  <c r="H6" i="5"/>
  <c r="AP4" i="5"/>
  <c r="AA3" i="5"/>
  <c r="AC9" i="5"/>
  <c r="AO19" i="5"/>
  <c r="AR19" i="5"/>
  <c r="E18" i="5"/>
  <c r="AD17" i="5"/>
  <c r="V17" i="5"/>
  <c r="N17" i="5"/>
  <c r="F17" i="5"/>
  <c r="AU16" i="5"/>
  <c r="V16" i="5"/>
  <c r="AN14" i="5"/>
  <c r="R4" i="5"/>
  <c r="AX18" i="5"/>
  <c r="S17" i="5"/>
  <c r="AS19" i="5"/>
  <c r="AC19" i="5"/>
  <c r="U19" i="5"/>
  <c r="M19" i="5"/>
  <c r="AL18" i="5"/>
  <c r="AD18" i="5"/>
  <c r="N18" i="5"/>
  <c r="AU17" i="5"/>
  <c r="AZ19" i="5"/>
  <c r="AJ19" i="5"/>
  <c r="AB19" i="5"/>
  <c r="T19" i="5"/>
  <c r="L19" i="5"/>
  <c r="D19" i="5"/>
  <c r="AS18" i="5"/>
  <c r="AK18" i="5"/>
  <c r="AC18" i="5"/>
  <c r="U18" i="5"/>
  <c r="M18" i="5"/>
  <c r="AT17" i="5"/>
  <c r="AL17" i="5"/>
  <c r="AT16" i="5"/>
  <c r="G15" i="5"/>
  <c r="AO13" i="5"/>
  <c r="Z12" i="5"/>
  <c r="K11" i="5"/>
  <c r="AS9" i="5"/>
  <c r="AD8" i="5"/>
  <c r="O7" i="5"/>
  <c r="AW5" i="5"/>
  <c r="AH4" i="5"/>
  <c r="S3" i="5"/>
  <c r="AR10" i="5"/>
  <c r="R18" i="5"/>
  <c r="AK19" i="5"/>
  <c r="E19" i="5"/>
  <c r="AY19" i="5"/>
  <c r="AQ19" i="5"/>
  <c r="AI19" i="5"/>
  <c r="AA19" i="5"/>
  <c r="S19" i="5"/>
  <c r="K19" i="5"/>
  <c r="AZ18" i="5"/>
  <c r="AR18" i="5"/>
  <c r="AJ18" i="5"/>
  <c r="AB18" i="5"/>
  <c r="T18" i="5"/>
  <c r="L18" i="5"/>
  <c r="D18" i="5"/>
  <c r="AS17" i="5"/>
  <c r="AK17" i="5"/>
  <c r="AC17" i="5"/>
  <c r="U17" i="5"/>
  <c r="M17" i="5"/>
  <c r="E17" i="5"/>
  <c r="U16" i="5"/>
  <c r="J12" i="5"/>
  <c r="Q19" i="5"/>
  <c r="AS16" i="5"/>
  <c r="N16" i="5"/>
  <c r="AV14" i="5"/>
  <c r="AG13" i="5"/>
  <c r="R12" i="5"/>
  <c r="AZ10" i="5"/>
  <c r="AK9" i="5"/>
  <c r="V8" i="5"/>
  <c r="G7" i="5"/>
  <c r="AO5" i="5"/>
  <c r="Z4" i="5"/>
  <c r="K3" i="5"/>
  <c r="AH19" i="5"/>
  <c r="Z19" i="5"/>
  <c r="R19" i="5"/>
  <c r="J19" i="5"/>
  <c r="AY18" i="5"/>
  <c r="AQ18" i="5"/>
  <c r="AI18" i="5"/>
  <c r="AA18" i="5"/>
  <c r="S18" i="5"/>
  <c r="K18" i="5"/>
  <c r="AZ17" i="5"/>
  <c r="AR17" i="5"/>
  <c r="AJ17" i="5"/>
  <c r="AB17" i="5"/>
  <c r="T17" i="5"/>
  <c r="L17" i="5"/>
  <c r="D17" i="5"/>
  <c r="AQ16" i="5"/>
  <c r="M16" i="5"/>
  <c r="E16" i="5"/>
  <c r="AT15" i="5"/>
  <c r="AL15" i="5"/>
  <c r="AD15" i="5"/>
  <c r="V15" i="5"/>
  <c r="N15" i="5"/>
  <c r="F15" i="5"/>
  <c r="AU14" i="5"/>
  <c r="AM14" i="5"/>
  <c r="AE14" i="5"/>
  <c r="W14" i="5"/>
  <c r="O14" i="5"/>
  <c r="G14" i="5"/>
  <c r="AV13" i="5"/>
  <c r="AN13" i="5"/>
  <c r="AF13" i="5"/>
  <c r="X13" i="5"/>
  <c r="P13" i="5"/>
  <c r="H13" i="5"/>
  <c r="AW12" i="5"/>
  <c r="AO12" i="5"/>
  <c r="AG12" i="5"/>
  <c r="Y12" i="5"/>
  <c r="Q12" i="5"/>
  <c r="I12" i="5"/>
  <c r="AX11" i="5"/>
  <c r="AP11" i="5"/>
  <c r="AH11" i="5"/>
  <c r="Z11" i="5"/>
  <c r="R11" i="5"/>
  <c r="J11" i="5"/>
  <c r="AY10" i="5"/>
  <c r="AQ10" i="5"/>
  <c r="AI10" i="5"/>
  <c r="AA10" i="5"/>
  <c r="S10" i="5"/>
  <c r="K10" i="5"/>
  <c r="AZ9" i="5"/>
  <c r="AR9" i="5"/>
  <c r="AJ9" i="5"/>
  <c r="AB9" i="5"/>
  <c r="T9" i="5"/>
  <c r="L9" i="5"/>
  <c r="D9" i="5"/>
  <c r="AS8" i="5"/>
  <c r="AK8" i="5"/>
  <c r="AC8" i="5"/>
  <c r="U8" i="5"/>
  <c r="M8" i="5"/>
  <c r="E8" i="5"/>
  <c r="AT7" i="5"/>
  <c r="AL7" i="5"/>
  <c r="AD7" i="5"/>
  <c r="V7" i="5"/>
  <c r="N7" i="5"/>
  <c r="F7" i="5"/>
  <c r="AU6" i="5"/>
  <c r="AM6" i="5"/>
  <c r="AE6" i="5"/>
  <c r="W6" i="5"/>
  <c r="O6" i="5"/>
  <c r="G6" i="5"/>
  <c r="AV5" i="5"/>
  <c r="AN5" i="5"/>
  <c r="AF5" i="5"/>
  <c r="X5" i="5"/>
  <c r="P5" i="5"/>
  <c r="H5" i="5"/>
  <c r="AW4" i="5"/>
  <c r="AO4" i="5"/>
  <c r="AG4" i="5"/>
  <c r="Y4" i="5"/>
  <c r="Q4" i="5"/>
  <c r="I4" i="5"/>
  <c r="AX3" i="5"/>
  <c r="AP3" i="5"/>
  <c r="AH3" i="5"/>
  <c r="Z3" i="5"/>
  <c r="R3" i="5"/>
  <c r="J3" i="5"/>
  <c r="AR16" i="5"/>
  <c r="AJ16" i="5"/>
  <c r="AB16" i="5"/>
  <c r="T16" i="5"/>
  <c r="L16" i="5"/>
  <c r="D16" i="5"/>
  <c r="AS15" i="5"/>
  <c r="AK15" i="5"/>
  <c r="AC15" i="5"/>
  <c r="U15" i="5"/>
  <c r="M15" i="5"/>
  <c r="E15" i="5"/>
  <c r="AT14" i="5"/>
  <c r="AL14" i="5"/>
  <c r="AD14" i="5"/>
  <c r="V14" i="5"/>
  <c r="N14" i="5"/>
  <c r="F14" i="5"/>
  <c r="AU13" i="5"/>
  <c r="AM13" i="5"/>
  <c r="AE13" i="5"/>
  <c r="W13" i="5"/>
  <c r="O13" i="5"/>
  <c r="G13" i="5"/>
  <c r="AV12" i="5"/>
  <c r="AN12" i="5"/>
  <c r="AF12" i="5"/>
  <c r="X12" i="5"/>
  <c r="P12" i="5"/>
  <c r="H12" i="5"/>
  <c r="AW11" i="5"/>
  <c r="AO11" i="5"/>
  <c r="AG11" i="5"/>
  <c r="Y11" i="5"/>
  <c r="Q11" i="5"/>
  <c r="I11" i="5"/>
  <c r="AX10" i="5"/>
  <c r="AP10" i="5"/>
  <c r="AH10" i="5"/>
  <c r="Z10" i="5"/>
  <c r="R10" i="5"/>
  <c r="J10" i="5"/>
  <c r="AY9" i="5"/>
  <c r="AQ9" i="5"/>
  <c r="AI9" i="5"/>
  <c r="AA9" i="5"/>
  <c r="S9" i="5"/>
  <c r="K9" i="5"/>
  <c r="AZ8" i="5"/>
  <c r="AR8" i="5"/>
  <c r="AJ8" i="5"/>
  <c r="AB8" i="5"/>
  <c r="T8" i="5"/>
  <c r="L8" i="5"/>
  <c r="D8" i="5"/>
  <c r="AS7" i="5"/>
  <c r="AK7" i="5"/>
  <c r="AC7" i="5"/>
  <c r="U7" i="5"/>
  <c r="M7" i="5"/>
  <c r="E7" i="5"/>
  <c r="AT6" i="5"/>
  <c r="AL6" i="5"/>
  <c r="AD6" i="5"/>
  <c r="V6" i="5"/>
  <c r="N6" i="5"/>
  <c r="F6" i="5"/>
  <c r="AU5" i="5"/>
  <c r="AM5" i="5"/>
  <c r="AE5" i="5"/>
  <c r="W5" i="5"/>
  <c r="O5" i="5"/>
  <c r="G5" i="5"/>
  <c r="AV4" i="5"/>
  <c r="AN4" i="5"/>
  <c r="AF4" i="5"/>
  <c r="X4" i="5"/>
  <c r="P4" i="5"/>
  <c r="H4" i="5"/>
  <c r="AW3" i="5"/>
  <c r="AO3" i="5"/>
  <c r="AG3" i="5"/>
  <c r="Y3" i="5"/>
  <c r="Q3" i="5"/>
  <c r="I3" i="5"/>
  <c r="AI16" i="5"/>
  <c r="AA16" i="5"/>
  <c r="S16" i="5"/>
  <c r="K16" i="5"/>
  <c r="AZ15" i="5"/>
  <c r="AR15" i="5"/>
  <c r="AJ15" i="5"/>
  <c r="AB15" i="5"/>
  <c r="T15" i="5"/>
  <c r="L15" i="5"/>
  <c r="D15" i="5"/>
  <c r="AS14" i="5"/>
  <c r="AK14" i="5"/>
  <c r="AC14" i="5"/>
  <c r="U14" i="5"/>
  <c r="M14" i="5"/>
  <c r="E14" i="5"/>
  <c r="AT13" i="5"/>
  <c r="AL13" i="5"/>
  <c r="AD13" i="5"/>
  <c r="V13" i="5"/>
  <c r="N13" i="5"/>
  <c r="F13" i="5"/>
  <c r="AU12" i="5"/>
  <c r="AM12" i="5"/>
  <c r="AE12" i="5"/>
  <c r="W12" i="5"/>
  <c r="O12" i="5"/>
  <c r="G12" i="5"/>
  <c r="AV11" i="5"/>
  <c r="AN11" i="5"/>
  <c r="AF11" i="5"/>
  <c r="X11" i="5"/>
  <c r="P11" i="5"/>
  <c r="H11" i="5"/>
  <c r="AW10" i="5"/>
  <c r="AO10" i="5"/>
  <c r="AG10" i="5"/>
  <c r="Y10" i="5"/>
  <c r="Q10" i="5"/>
  <c r="I10" i="5"/>
  <c r="AX9" i="5"/>
  <c r="AP9" i="5"/>
  <c r="AH9" i="5"/>
  <c r="Z9" i="5"/>
  <c r="R9" i="5"/>
  <c r="J9" i="5"/>
  <c r="AY8" i="5"/>
  <c r="AQ8" i="5"/>
  <c r="AI8" i="5"/>
  <c r="AA8" i="5"/>
  <c r="S8" i="5"/>
  <c r="K8" i="5"/>
  <c r="AZ7" i="5"/>
  <c r="AR7" i="5"/>
  <c r="AJ7" i="5"/>
  <c r="AB7" i="5"/>
  <c r="T7" i="5"/>
  <c r="L7" i="5"/>
  <c r="D7" i="5"/>
  <c r="AS6" i="5"/>
  <c r="AK6" i="5"/>
  <c r="AC6" i="5"/>
  <c r="U6" i="5"/>
  <c r="M6" i="5"/>
  <c r="E6" i="5"/>
  <c r="AT5" i="5"/>
  <c r="AL5" i="5"/>
  <c r="AD5" i="5"/>
  <c r="V5" i="5"/>
  <c r="N5" i="5"/>
  <c r="F5" i="5"/>
  <c r="AU4" i="5"/>
  <c r="AM4" i="5"/>
  <c r="AE4" i="5"/>
  <c r="W4" i="5"/>
  <c r="O4" i="5"/>
  <c r="G4" i="5"/>
  <c r="AV3" i="5"/>
  <c r="AN3" i="5"/>
  <c r="AF3" i="5"/>
  <c r="X3" i="5"/>
  <c r="P3" i="5"/>
  <c r="H3" i="5"/>
  <c r="AH16" i="5"/>
  <c r="Z16" i="5"/>
  <c r="R16" i="5"/>
  <c r="J16" i="5"/>
  <c r="AY15" i="5"/>
  <c r="AQ15" i="5"/>
  <c r="AI15" i="5"/>
  <c r="AA15" i="5"/>
  <c r="S15" i="5"/>
  <c r="K15" i="5"/>
  <c r="AZ14" i="5"/>
  <c r="AR14" i="5"/>
  <c r="AJ14" i="5"/>
  <c r="AB14" i="5"/>
  <c r="T14" i="5"/>
  <c r="L14" i="5"/>
  <c r="D14" i="5"/>
  <c r="AS13" i="5"/>
  <c r="AK13" i="5"/>
  <c r="AC13" i="5"/>
  <c r="U13" i="5"/>
  <c r="M13" i="5"/>
  <c r="E13" i="5"/>
  <c r="AT12" i="5"/>
  <c r="AL12" i="5"/>
  <c r="AD12" i="5"/>
  <c r="V12" i="5"/>
  <c r="N12" i="5"/>
  <c r="F12" i="5"/>
  <c r="AU11" i="5"/>
  <c r="AM11" i="5"/>
  <c r="AE11" i="5"/>
  <c r="W11" i="5"/>
  <c r="O11" i="5"/>
  <c r="G11" i="5"/>
  <c r="AV10" i="5"/>
  <c r="AN10" i="5"/>
  <c r="AF10" i="5"/>
  <c r="X10" i="5"/>
  <c r="P10" i="5"/>
  <c r="H10" i="5"/>
  <c r="AW9" i="5"/>
  <c r="AO9" i="5"/>
  <c r="AG9" i="5"/>
  <c r="Y9" i="5"/>
  <c r="Q9" i="5"/>
  <c r="I9" i="5"/>
  <c r="AX8" i="5"/>
  <c r="AP8" i="5"/>
  <c r="AH8" i="5"/>
  <c r="Z8" i="5"/>
  <c r="R8" i="5"/>
  <c r="J8" i="5"/>
  <c r="AY7" i="5"/>
  <c r="AQ7" i="5"/>
  <c r="AI7" i="5"/>
  <c r="AA7" i="5"/>
  <c r="S7" i="5"/>
  <c r="K7" i="5"/>
  <c r="AZ6" i="5"/>
  <c r="AR6" i="5"/>
  <c r="AJ6" i="5"/>
  <c r="AB6" i="5"/>
  <c r="T6" i="5"/>
  <c r="L6" i="5"/>
  <c r="D6" i="5"/>
  <c r="AS5" i="5"/>
  <c r="AK5" i="5"/>
  <c r="AC5" i="5"/>
  <c r="U5" i="5"/>
  <c r="M5" i="5"/>
  <c r="E5" i="5"/>
  <c r="AT4" i="5"/>
  <c r="AL4" i="5"/>
  <c r="AD4" i="5"/>
  <c r="V4" i="5"/>
  <c r="N4" i="5"/>
  <c r="F4" i="5"/>
  <c r="AU3" i="5"/>
  <c r="AM3" i="5"/>
  <c r="AE3" i="5"/>
  <c r="W3" i="5"/>
  <c r="O3" i="5"/>
  <c r="G3" i="5"/>
  <c r="AG16" i="5"/>
  <c r="Y16" i="5"/>
  <c r="Q16" i="5"/>
  <c r="I16" i="5"/>
  <c r="AX15" i="5"/>
  <c r="AP15" i="5"/>
  <c r="AH15" i="5"/>
  <c r="Z15" i="5"/>
  <c r="R15" i="5"/>
  <c r="J15" i="5"/>
  <c r="AY14" i="5"/>
  <c r="AQ14" i="5"/>
  <c r="AI14" i="5"/>
  <c r="AA14" i="5"/>
  <c r="S14" i="5"/>
  <c r="K14" i="5"/>
  <c r="AZ13" i="5"/>
  <c r="AR13" i="5"/>
  <c r="AJ13" i="5"/>
  <c r="AB13" i="5"/>
  <c r="T13" i="5"/>
  <c r="L13" i="5"/>
  <c r="D13" i="5"/>
  <c r="AS12" i="5"/>
  <c r="AK12" i="5"/>
  <c r="AC12" i="5"/>
  <c r="U12" i="5"/>
  <c r="M12" i="5"/>
  <c r="E12" i="5"/>
  <c r="AT11" i="5"/>
  <c r="AL11" i="5"/>
  <c r="AD11" i="5"/>
  <c r="V11" i="5"/>
  <c r="N11" i="5"/>
  <c r="F11" i="5"/>
  <c r="AU10" i="5"/>
  <c r="AM10" i="5"/>
  <c r="AE10" i="5"/>
  <c r="W10" i="5"/>
  <c r="O10" i="5"/>
  <c r="G10" i="5"/>
  <c r="AV9" i="5"/>
  <c r="AN9" i="5"/>
  <c r="AF9" i="5"/>
  <c r="X9" i="5"/>
  <c r="P9" i="5"/>
  <c r="H9" i="5"/>
  <c r="AW8" i="5"/>
  <c r="AO8" i="5"/>
  <c r="AG8" i="5"/>
  <c r="Y8" i="5"/>
  <c r="Q8" i="5"/>
  <c r="I8" i="5"/>
  <c r="AX7" i="5"/>
  <c r="AP7" i="5"/>
  <c r="AH7" i="5"/>
  <c r="Z7" i="5"/>
  <c r="R7" i="5"/>
  <c r="J7" i="5"/>
  <c r="AY6" i="5"/>
  <c r="AQ6" i="5"/>
  <c r="AI6" i="5"/>
  <c r="AA6" i="5"/>
  <c r="S6" i="5"/>
  <c r="K6" i="5"/>
  <c r="AZ5" i="5"/>
  <c r="AR5" i="5"/>
  <c r="AJ5" i="5"/>
  <c r="AB5" i="5"/>
  <c r="T5" i="5"/>
  <c r="L5" i="5"/>
  <c r="D5" i="5"/>
  <c r="AS4" i="5"/>
  <c r="AK4" i="5"/>
  <c r="AC4" i="5"/>
  <c r="U4" i="5"/>
  <c r="M4" i="5"/>
  <c r="E4" i="5"/>
  <c r="AT3" i="5"/>
  <c r="AL3" i="5"/>
  <c r="AD3" i="5"/>
  <c r="V3" i="5"/>
  <c r="N3" i="5"/>
  <c r="F3" i="5"/>
  <c r="P16" i="5"/>
  <c r="H16" i="5"/>
  <c r="AW15" i="5"/>
  <c r="AO15" i="5"/>
  <c r="AG15" i="5"/>
  <c r="Y15" i="5"/>
  <c r="Q15" i="5"/>
  <c r="I15" i="5"/>
  <c r="AX14" i="5"/>
  <c r="AP14" i="5"/>
  <c r="AH14" i="5"/>
  <c r="Z14" i="5"/>
  <c r="R14" i="5"/>
  <c r="J14" i="5"/>
  <c r="AY13" i="5"/>
  <c r="AQ13" i="5"/>
  <c r="AI13" i="5"/>
  <c r="AA13" i="5"/>
  <c r="S13" i="5"/>
  <c r="K13" i="5"/>
  <c r="AZ12" i="5"/>
  <c r="AR12" i="5"/>
  <c r="AJ12" i="5"/>
  <c r="AB12" i="5"/>
  <c r="T12" i="5"/>
  <c r="L12" i="5"/>
  <c r="D12" i="5"/>
  <c r="AS11" i="5"/>
  <c r="AK11" i="5"/>
  <c r="AC11" i="5"/>
  <c r="U11" i="5"/>
  <c r="M11" i="5"/>
  <c r="E11" i="5"/>
  <c r="AT10" i="5"/>
  <c r="AL10" i="5"/>
  <c r="AD10" i="5"/>
  <c r="V10" i="5"/>
  <c r="N10" i="5"/>
  <c r="F10" i="5"/>
  <c r="AU9" i="5"/>
  <c r="AM9" i="5"/>
  <c r="AE9" i="5"/>
  <c r="W9" i="5"/>
  <c r="O9" i="5"/>
  <c r="G9" i="5"/>
  <c r="AV8" i="5"/>
  <c r="AN8" i="5"/>
  <c r="AF8" i="5"/>
  <c r="X8" i="5"/>
  <c r="P8" i="5"/>
  <c r="H8" i="5"/>
  <c r="AW7" i="5"/>
  <c r="AO7" i="5"/>
  <c r="AG7" i="5"/>
  <c r="Y7" i="5"/>
  <c r="Q7" i="5"/>
  <c r="I7" i="5"/>
  <c r="AX6" i="5"/>
  <c r="AP6" i="5"/>
  <c r="AH6" i="5"/>
  <c r="Z6" i="5"/>
  <c r="R6" i="5"/>
  <c r="J6" i="5"/>
  <c r="AY5" i="5"/>
  <c r="AQ5" i="5"/>
  <c r="AI5" i="5"/>
  <c r="AA5" i="5"/>
  <c r="S5" i="5"/>
  <c r="K5" i="5"/>
  <c r="AZ4" i="5"/>
  <c r="AR4" i="5"/>
  <c r="AJ4" i="5"/>
  <c r="AB4" i="5"/>
  <c r="T4" i="5"/>
  <c r="L4" i="5"/>
  <c r="D4" i="5"/>
  <c r="AS3" i="5"/>
  <c r="AK3" i="5"/>
  <c r="AC3" i="5"/>
  <c r="U3" i="5"/>
  <c r="M3" i="5"/>
  <c r="E3" i="5"/>
  <c r="AM16" i="5"/>
  <c r="AE16" i="5"/>
  <c r="W16" i="5"/>
  <c r="O16" i="5"/>
  <c r="G16" i="5"/>
  <c r="AV15" i="5"/>
  <c r="AN15" i="5"/>
  <c r="AF15" i="5"/>
  <c r="X15" i="5"/>
  <c r="P15" i="5"/>
  <c r="H15" i="5"/>
  <c r="AW14" i="5"/>
  <c r="AO14" i="5"/>
  <c r="AG14" i="5"/>
  <c r="Y14" i="5"/>
  <c r="Q14" i="5"/>
  <c r="I14" i="5"/>
  <c r="AX13" i="5"/>
  <c r="AP13" i="5"/>
  <c r="AH13" i="5"/>
  <c r="Z13" i="5"/>
  <c r="R13" i="5"/>
  <c r="J13" i="5"/>
  <c r="AY12" i="5"/>
  <c r="AQ12" i="5"/>
  <c r="AI12" i="5"/>
  <c r="AA12" i="5"/>
  <c r="S12" i="5"/>
  <c r="K12" i="5"/>
  <c r="AZ11" i="5"/>
  <c r="AR11" i="5"/>
  <c r="AJ11" i="5"/>
  <c r="AB11" i="5"/>
  <c r="T11" i="5"/>
  <c r="L11" i="5"/>
  <c r="D11" i="5"/>
  <c r="AS10" i="5"/>
  <c r="AK10" i="5"/>
  <c r="AC10" i="5"/>
  <c r="U10" i="5"/>
  <c r="M10" i="5"/>
  <c r="E10" i="5"/>
  <c r="AT9" i="5"/>
  <c r="AL9" i="5"/>
  <c r="AD9" i="5"/>
  <c r="V9" i="5"/>
  <c r="N9" i="5"/>
  <c r="F9" i="5"/>
  <c r="AU8" i="5"/>
  <c r="AM8" i="5"/>
  <c r="AE8" i="5"/>
  <c r="W8" i="5"/>
  <c r="O8" i="5"/>
  <c r="G8" i="5"/>
  <c r="AV7" i="5"/>
  <c r="AN7" i="5"/>
  <c r="AF7" i="5"/>
  <c r="X7" i="5"/>
  <c r="P7" i="5"/>
  <c r="H7" i="5"/>
  <c r="AW6" i="5"/>
  <c r="AO6" i="5"/>
  <c r="AG6" i="5"/>
  <c r="Y6" i="5"/>
  <c r="Q6" i="5"/>
  <c r="I6" i="5"/>
  <c r="AX5" i="5"/>
  <c r="AP5" i="5"/>
  <c r="AH5" i="5"/>
  <c r="Z5" i="5"/>
  <c r="R5" i="5"/>
  <c r="J5" i="5"/>
  <c r="AY4" i="5"/>
  <c r="AQ4" i="5"/>
  <c r="AI4" i="5"/>
  <c r="AA4" i="5"/>
  <c r="S4" i="5"/>
  <c r="K4" i="5"/>
  <c r="AZ3" i="5"/>
  <c r="AR3" i="5"/>
  <c r="AJ3" i="5"/>
  <c r="AB3" i="5"/>
  <c r="T3" i="5"/>
  <c r="L3" i="5"/>
  <c r="D3" i="5"/>
  <c r="C10" i="5"/>
  <c r="C19" i="5"/>
  <c r="C9" i="5"/>
  <c r="C17" i="5"/>
  <c r="C8" i="5"/>
  <c r="C16" i="5"/>
  <c r="C15" i="5"/>
  <c r="C11" i="5"/>
  <c r="C18" i="5"/>
  <c r="C7" i="5"/>
  <c r="C6" i="5"/>
  <c r="C14" i="5"/>
  <c r="C5" i="5"/>
  <c r="C13" i="5"/>
  <c r="C12" i="5"/>
  <c r="C4" i="5"/>
  <c r="C3" i="5"/>
  <c r="G61" i="4"/>
  <c r="AW59" i="4"/>
  <c r="AD58" i="4"/>
  <c r="D57" i="4"/>
  <c r="E56" i="4"/>
  <c r="O52" i="4"/>
  <c r="R58" i="4"/>
  <c r="AI57" i="4"/>
  <c r="AE56" i="4"/>
  <c r="F54" i="4"/>
  <c r="V61" i="4"/>
  <c r="G60" i="4"/>
  <c r="P59" i="4"/>
  <c r="AT57" i="4"/>
  <c r="AO56" i="4"/>
  <c r="J55" i="4"/>
  <c r="AS54" i="4"/>
  <c r="AO58" i="4"/>
  <c r="I58" i="4"/>
  <c r="Z57" i="4"/>
  <c r="AQ56" i="4"/>
  <c r="AF56" i="4"/>
  <c r="S56" i="4"/>
  <c r="G56" i="4"/>
  <c r="AA55" i="4"/>
  <c r="M55" i="4"/>
  <c r="AW54" i="4"/>
  <c r="AD54" i="4"/>
  <c r="I54" i="4"/>
  <c r="O53" i="4"/>
  <c r="AQ52" i="4"/>
  <c r="P52" i="4"/>
  <c r="AG51" i="4"/>
  <c r="AX50" i="4"/>
  <c r="AO59" i="4"/>
  <c r="AN52" i="4"/>
  <c r="J46" i="4"/>
  <c r="Q58" i="4"/>
  <c r="AH57" i="4"/>
  <c r="AY56" i="4"/>
  <c r="AB56" i="4"/>
  <c r="P56" i="4"/>
  <c r="AZ55" i="4"/>
  <c r="AL55" i="4"/>
  <c r="AR54" i="4"/>
  <c r="Y54" i="4"/>
  <c r="AE53" i="4"/>
  <c r="J53" i="4"/>
  <c r="AJ52" i="4"/>
  <c r="H52" i="4"/>
  <c r="Y51" i="4"/>
  <c r="AP50" i="4"/>
  <c r="AM61" i="4"/>
  <c r="X60" i="4"/>
  <c r="AG59" i="4"/>
  <c r="S58" i="4"/>
  <c r="L55" i="4"/>
  <c r="AW50" i="4"/>
  <c r="Q56" i="4"/>
  <c r="AH53" i="4"/>
  <c r="AD61" i="4"/>
  <c r="AE60" i="4"/>
  <c r="AN59" i="4"/>
  <c r="AM58" i="4"/>
  <c r="X57" i="4"/>
  <c r="AN55" i="4"/>
  <c r="K53" i="4"/>
  <c r="AS61" i="4"/>
  <c r="AT60" i="4"/>
  <c r="AL60" i="4"/>
  <c r="AD60" i="4"/>
  <c r="V60" i="4"/>
  <c r="N60" i="4"/>
  <c r="F60" i="4"/>
  <c r="AU59" i="4"/>
  <c r="AM59" i="4"/>
  <c r="AE59" i="4"/>
  <c r="W59" i="4"/>
  <c r="O59" i="4"/>
  <c r="G59" i="4"/>
  <c r="AV58" i="4"/>
  <c r="AL58" i="4"/>
  <c r="AA58" i="4"/>
  <c r="F58" i="4"/>
  <c r="AR57" i="4"/>
  <c r="W57" i="4"/>
  <c r="L57" i="4"/>
  <c r="AN56" i="4"/>
  <c r="AY55" i="4"/>
  <c r="AK55" i="4"/>
  <c r="X55" i="4"/>
  <c r="I55" i="4"/>
  <c r="W54" i="4"/>
  <c r="AY53" i="4"/>
  <c r="AD53" i="4"/>
  <c r="H53" i="4"/>
  <c r="AI52" i="4"/>
  <c r="G52" i="4"/>
  <c r="X51" i="4"/>
  <c r="AO50" i="4"/>
  <c r="AU49" i="4"/>
  <c r="AF48" i="4"/>
  <c r="Q47" i="4"/>
  <c r="AY45" i="4"/>
  <c r="AN60" i="4"/>
  <c r="Y59" i="4"/>
  <c r="AU57" i="4"/>
  <c r="R56" i="4"/>
  <c r="AU54" i="4"/>
  <c r="N53" i="4"/>
  <c r="H58" i="4"/>
  <c r="AP56" i="4"/>
  <c r="AT54" i="4"/>
  <c r="AM52" i="4"/>
  <c r="AT61" i="4"/>
  <c r="O60" i="4"/>
  <c r="AF59" i="4"/>
  <c r="AW58" i="4"/>
  <c r="N57" i="4"/>
  <c r="Y55" i="4"/>
  <c r="AF53" i="4"/>
  <c r="Z58" i="4"/>
  <c r="P58" i="4"/>
  <c r="AQ57" i="4"/>
  <c r="AG57" i="4"/>
  <c r="K57" i="4"/>
  <c r="AX56" i="4"/>
  <c r="AA56" i="4"/>
  <c r="O56" i="4"/>
  <c r="AX55" i="4"/>
  <c r="AJ55" i="4"/>
  <c r="V55" i="4"/>
  <c r="AP54" i="4"/>
  <c r="V54" i="4"/>
  <c r="AX53" i="4"/>
  <c r="G53" i="4"/>
  <c r="AF52" i="4"/>
  <c r="AE61" i="4"/>
  <c r="H60" i="4"/>
  <c r="AX58" i="4"/>
  <c r="Z55" i="4"/>
  <c r="AF51" i="4"/>
  <c r="AN58" i="4"/>
  <c r="Y57" i="4"/>
  <c r="D56" i="4"/>
  <c r="K55" i="4"/>
  <c r="N61" i="4"/>
  <c r="AV59" i="4"/>
  <c r="X59" i="4"/>
  <c r="G58" i="4"/>
  <c r="AS60" i="4"/>
  <c r="AC60" i="4"/>
  <c r="U60" i="4"/>
  <c r="M60" i="4"/>
  <c r="E60" i="4"/>
  <c r="AT59" i="4"/>
  <c r="AL59" i="4"/>
  <c r="AD59" i="4"/>
  <c r="V59" i="4"/>
  <c r="N59" i="4"/>
  <c r="F59" i="4"/>
  <c r="AU58" i="4"/>
  <c r="AK58" i="4"/>
  <c r="O58" i="4"/>
  <c r="E58" i="4"/>
  <c r="AF57" i="4"/>
  <c r="V57" i="4"/>
  <c r="AW56" i="4"/>
  <c r="AM56" i="4"/>
  <c r="Z56" i="4"/>
  <c r="M56" i="4"/>
  <c r="AI55" i="4"/>
  <c r="U55" i="4"/>
  <c r="H55" i="4"/>
  <c r="U54" i="4"/>
  <c r="AV53" i="4"/>
  <c r="AA53" i="4"/>
  <c r="F53" i="4"/>
  <c r="AE52" i="4"/>
  <c r="D52" i="4"/>
  <c r="U51" i="4"/>
  <c r="AL50" i="4"/>
  <c r="AM49" i="4"/>
  <c r="X48" i="4"/>
  <c r="I47" i="4"/>
  <c r="AQ45" i="4"/>
  <c r="P60" i="4"/>
  <c r="AO55" i="4"/>
  <c r="AZ56" i="4"/>
  <c r="W60" i="4"/>
  <c r="AC58" i="4"/>
  <c r="E54" i="4"/>
  <c r="Y58" i="4"/>
  <c r="AP57" i="4"/>
  <c r="J57" i="4"/>
  <c r="Y56" i="4"/>
  <c r="L56" i="4"/>
  <c r="AW55" i="4"/>
  <c r="AH55" i="4"/>
  <c r="T55" i="4"/>
  <c r="F55" i="4"/>
  <c r="AO54" i="4"/>
  <c r="AU53" i="4"/>
  <c r="Z53" i="4"/>
  <c r="AW51" i="4"/>
  <c r="Q51" i="4"/>
  <c r="AH50" i="4"/>
  <c r="AU61" i="4"/>
  <c r="R46" i="4"/>
  <c r="F61" i="4"/>
  <c r="AT50" i="4"/>
  <c r="E61" i="4"/>
  <c r="AZ61" i="4"/>
  <c r="D61" i="4"/>
  <c r="AY61" i="4"/>
  <c r="AQ61" i="4"/>
  <c r="AI61" i="4"/>
  <c r="AA61" i="4"/>
  <c r="S61" i="4"/>
  <c r="K61" i="4"/>
  <c r="AZ60" i="4"/>
  <c r="AR60" i="4"/>
  <c r="AJ60" i="4"/>
  <c r="AB60" i="4"/>
  <c r="T60" i="4"/>
  <c r="L60" i="4"/>
  <c r="D60" i="4"/>
  <c r="AS59" i="4"/>
  <c r="AK59" i="4"/>
  <c r="AC59" i="4"/>
  <c r="U59" i="4"/>
  <c r="M59" i="4"/>
  <c r="E59" i="4"/>
  <c r="AT58" i="4"/>
  <c r="AI58" i="4"/>
  <c r="N58" i="4"/>
  <c r="AZ57" i="4"/>
  <c r="AE57" i="4"/>
  <c r="T57" i="4"/>
  <c r="AV56" i="4"/>
  <c r="AK56" i="4"/>
  <c r="S55" i="4"/>
  <c r="E55" i="4"/>
  <c r="AM54" i="4"/>
  <c r="R54" i="4"/>
  <c r="AT53" i="4"/>
  <c r="X53" i="4"/>
  <c r="AZ52" i="4"/>
  <c r="AB52" i="4"/>
  <c r="AV51" i="4"/>
  <c r="P51" i="4"/>
  <c r="AG50" i="4"/>
  <c r="AE49" i="4"/>
  <c r="P48" i="4"/>
  <c r="AX46" i="4"/>
  <c r="AI45" i="4"/>
  <c r="Q59" i="4"/>
  <c r="AI53" i="4"/>
  <c r="AC51" i="4"/>
  <c r="AK61" i="4"/>
  <c r="L61" i="4"/>
  <c r="AH58" i="4"/>
  <c r="X58" i="4"/>
  <c r="AY57" i="4"/>
  <c r="AO57" i="4"/>
  <c r="S57" i="4"/>
  <c r="I57" i="4"/>
  <c r="AJ56" i="4"/>
  <c r="X56" i="4"/>
  <c r="K56" i="4"/>
  <c r="AV55" i="4"/>
  <c r="AG55" i="4"/>
  <c r="R55" i="4"/>
  <c r="D55" i="4"/>
  <c r="AL54" i="4"/>
  <c r="Q54" i="4"/>
  <c r="W53" i="4"/>
  <c r="AY52" i="4"/>
  <c r="AA52" i="4"/>
  <c r="W61" i="4"/>
  <c r="AJ57" i="4"/>
  <c r="AG47" i="4"/>
  <c r="AM60" i="4"/>
  <c r="F50" i="4"/>
  <c r="U61" i="4"/>
  <c r="T61" i="4"/>
  <c r="AX61" i="4"/>
  <c r="AP61" i="4"/>
  <c r="AH61" i="4"/>
  <c r="Z61" i="4"/>
  <c r="R61" i="4"/>
  <c r="J61" i="4"/>
  <c r="AY60" i="4"/>
  <c r="AQ60" i="4"/>
  <c r="AI60" i="4"/>
  <c r="AA60" i="4"/>
  <c r="S60" i="4"/>
  <c r="K60" i="4"/>
  <c r="AZ59" i="4"/>
  <c r="AR59" i="4"/>
  <c r="AJ59" i="4"/>
  <c r="AB59" i="4"/>
  <c r="T59" i="4"/>
  <c r="L59" i="4"/>
  <c r="D59" i="4"/>
  <c r="AS58" i="4"/>
  <c r="W58" i="4"/>
  <c r="M58" i="4"/>
  <c r="AN57" i="4"/>
  <c r="AD57" i="4"/>
  <c r="H57" i="4"/>
  <c r="AU56" i="4"/>
  <c r="J56" i="4"/>
  <c r="AT55" i="4"/>
  <c r="AZ54" i="4"/>
  <c r="AK54" i="4"/>
  <c r="O54" i="4"/>
  <c r="AQ53" i="4"/>
  <c r="V53" i="4"/>
  <c r="AW52" i="4"/>
  <c r="X52" i="4"/>
  <c r="AS51" i="4"/>
  <c r="M51" i="4"/>
  <c r="AD50" i="4"/>
  <c r="W49" i="4"/>
  <c r="H48" i="4"/>
  <c r="AP46" i="4"/>
  <c r="AA45" i="4"/>
  <c r="AF60" i="4"/>
  <c r="N50" i="4"/>
  <c r="AL61" i="4"/>
  <c r="L52" i="4"/>
  <c r="M61" i="4"/>
  <c r="AB61" i="4"/>
  <c r="AG58" i="4"/>
  <c r="AX57" i="4"/>
  <c r="R57" i="4"/>
  <c r="AI56" i="4"/>
  <c r="W56" i="4"/>
  <c r="I56" i="4"/>
  <c r="AS55" i="4"/>
  <c r="AF55" i="4"/>
  <c r="Q55" i="4"/>
  <c r="AY54" i="4"/>
  <c r="N54" i="4"/>
  <c r="AP53" i="4"/>
  <c r="AV52" i="4"/>
  <c r="W52" i="4"/>
  <c r="AO51" i="4"/>
  <c r="I51" i="4"/>
  <c r="Z50" i="4"/>
  <c r="I59" i="4"/>
  <c r="G54" i="4"/>
  <c r="Y47" i="4"/>
  <c r="AJ61" i="4"/>
  <c r="AK60" i="4"/>
  <c r="AW61" i="4"/>
  <c r="AO61" i="4"/>
  <c r="AG61" i="4"/>
  <c r="Y61" i="4"/>
  <c r="Q61" i="4"/>
  <c r="I61" i="4"/>
  <c r="AX60" i="4"/>
  <c r="AP60" i="4"/>
  <c r="AH60" i="4"/>
  <c r="Z60" i="4"/>
  <c r="R60" i="4"/>
  <c r="J60" i="4"/>
  <c r="AY59" i="4"/>
  <c r="AQ59" i="4"/>
  <c r="AI59" i="4"/>
  <c r="AA59" i="4"/>
  <c r="S59" i="4"/>
  <c r="K59" i="4"/>
  <c r="AZ58" i="4"/>
  <c r="AQ58" i="4"/>
  <c r="V58" i="4"/>
  <c r="K58" i="4"/>
  <c r="AM57" i="4"/>
  <c r="AB57" i="4"/>
  <c r="G57" i="4"/>
  <c r="AS56" i="4"/>
  <c r="AH56" i="4"/>
  <c r="U56" i="4"/>
  <c r="AR55" i="4"/>
  <c r="AD55" i="4"/>
  <c r="AH54" i="4"/>
  <c r="M54" i="4"/>
  <c r="AN53" i="4"/>
  <c r="S53" i="4"/>
  <c r="AU52" i="4"/>
  <c r="AN51" i="4"/>
  <c r="H51" i="4"/>
  <c r="Y50" i="4"/>
  <c r="O49" i="4"/>
  <c r="AW47" i="4"/>
  <c r="AH46" i="4"/>
  <c r="S45" i="4"/>
  <c r="O61" i="4"/>
  <c r="AC54" i="4"/>
  <c r="H59" i="4"/>
  <c r="AC56" i="4"/>
  <c r="Z54" i="4"/>
  <c r="AP58" i="4"/>
  <c r="AF58" i="4"/>
  <c r="J58" i="4"/>
  <c r="AW57" i="4"/>
  <c r="AA57" i="4"/>
  <c r="Q57" i="4"/>
  <c r="AR56" i="4"/>
  <c r="AG56" i="4"/>
  <c r="T56" i="4"/>
  <c r="H56" i="4"/>
  <c r="AQ55" i="4"/>
  <c r="AC55" i="4"/>
  <c r="P55" i="4"/>
  <c r="AX54" i="4"/>
  <c r="AG54" i="4"/>
  <c r="AM53" i="4"/>
  <c r="R53" i="4"/>
  <c r="T52" i="4"/>
  <c r="AV60" i="4"/>
  <c r="O57" i="4"/>
  <c r="AV48" i="4"/>
  <c r="AU60" i="4"/>
  <c r="AN48" i="4"/>
  <c r="AC61" i="4"/>
  <c r="AR61" i="4"/>
  <c r="AV61" i="4"/>
  <c r="AN61" i="4"/>
  <c r="AF61" i="4"/>
  <c r="X61" i="4"/>
  <c r="P61" i="4"/>
  <c r="H61" i="4"/>
  <c r="AW60" i="4"/>
  <c r="AO60" i="4"/>
  <c r="AG60" i="4"/>
  <c r="Y60" i="4"/>
  <c r="Q60" i="4"/>
  <c r="I60" i="4"/>
  <c r="AX59" i="4"/>
  <c r="AP59" i="4"/>
  <c r="AH59" i="4"/>
  <c r="Z59" i="4"/>
  <c r="R59" i="4"/>
  <c r="J59" i="4"/>
  <c r="AY58" i="4"/>
  <c r="AE58" i="4"/>
  <c r="U58" i="4"/>
  <c r="AV57" i="4"/>
  <c r="AL57" i="4"/>
  <c r="P57" i="4"/>
  <c r="F57" i="4"/>
  <c r="AP55" i="4"/>
  <c r="AB55" i="4"/>
  <c r="N55" i="4"/>
  <c r="AE54" i="4"/>
  <c r="J54" i="4"/>
  <c r="AL53" i="4"/>
  <c r="P53" i="4"/>
  <c r="AR52" i="4"/>
  <c r="S52" i="4"/>
  <c r="AK51" i="4"/>
  <c r="E51" i="4"/>
  <c r="V50" i="4"/>
  <c r="G49" i="4"/>
  <c r="AO47" i="4"/>
  <c r="Z46" i="4"/>
  <c r="K45" i="4"/>
  <c r="K52" i="4"/>
  <c r="AZ51" i="4"/>
  <c r="AR51" i="4"/>
  <c r="AJ51" i="4"/>
  <c r="AB51" i="4"/>
  <c r="T51" i="4"/>
  <c r="L51" i="4"/>
  <c r="D51" i="4"/>
  <c r="AS50" i="4"/>
  <c r="AK50" i="4"/>
  <c r="AC50" i="4"/>
  <c r="U50" i="4"/>
  <c r="M50" i="4"/>
  <c r="E50" i="4"/>
  <c r="AT49" i="4"/>
  <c r="AL49" i="4"/>
  <c r="AD49" i="4"/>
  <c r="V49" i="4"/>
  <c r="N49" i="4"/>
  <c r="F49" i="4"/>
  <c r="AU48" i="4"/>
  <c r="AM48" i="4"/>
  <c r="AE48" i="4"/>
  <c r="W48" i="4"/>
  <c r="O48" i="4"/>
  <c r="G48" i="4"/>
  <c r="AV47" i="4"/>
  <c r="AN47" i="4"/>
  <c r="AF47" i="4"/>
  <c r="X47" i="4"/>
  <c r="P47" i="4"/>
  <c r="H47" i="4"/>
  <c r="AW46" i="4"/>
  <c r="AO46" i="4"/>
  <c r="AG46" i="4"/>
  <c r="Y46" i="4"/>
  <c r="Q46" i="4"/>
  <c r="I46" i="4"/>
  <c r="AX45" i="4"/>
  <c r="AP45" i="4"/>
  <c r="AH45" i="4"/>
  <c r="Z45" i="4"/>
  <c r="R45" i="4"/>
  <c r="J45" i="4"/>
  <c r="AR58" i="4"/>
  <c r="AJ58" i="4"/>
  <c r="AB58" i="4"/>
  <c r="T58" i="4"/>
  <c r="L58" i="4"/>
  <c r="D58" i="4"/>
  <c r="AS57" i="4"/>
  <c r="AK57" i="4"/>
  <c r="AC57" i="4"/>
  <c r="U57" i="4"/>
  <c r="M57" i="4"/>
  <c r="E57" i="4"/>
  <c r="AT56" i="4"/>
  <c r="AL56" i="4"/>
  <c r="AD56" i="4"/>
  <c r="V56" i="4"/>
  <c r="N56" i="4"/>
  <c r="F56" i="4"/>
  <c r="AU55" i="4"/>
  <c r="AM55" i="4"/>
  <c r="AE55" i="4"/>
  <c r="W55" i="4"/>
  <c r="O55" i="4"/>
  <c r="G55" i="4"/>
  <c r="AV54" i="4"/>
  <c r="AN54" i="4"/>
  <c r="AF54" i="4"/>
  <c r="X54" i="4"/>
  <c r="P54" i="4"/>
  <c r="H54" i="4"/>
  <c r="AW53" i="4"/>
  <c r="AO53" i="4"/>
  <c r="AG53" i="4"/>
  <c r="Y53" i="4"/>
  <c r="Q53" i="4"/>
  <c r="I53" i="4"/>
  <c r="AX52" i="4"/>
  <c r="AP52" i="4"/>
  <c r="AH52" i="4"/>
  <c r="Z52" i="4"/>
  <c r="R52" i="4"/>
  <c r="J52" i="4"/>
  <c r="AY51" i="4"/>
  <c r="AQ51" i="4"/>
  <c r="AI51" i="4"/>
  <c r="AA51" i="4"/>
  <c r="S51" i="4"/>
  <c r="K51" i="4"/>
  <c r="AZ50" i="4"/>
  <c r="AR50" i="4"/>
  <c r="AJ50" i="4"/>
  <c r="AB50" i="4"/>
  <c r="T50" i="4"/>
  <c r="L50" i="4"/>
  <c r="D50" i="4"/>
  <c r="AS49" i="4"/>
  <c r="AK49" i="4"/>
  <c r="AC49" i="4"/>
  <c r="U49" i="4"/>
  <c r="M49" i="4"/>
  <c r="E49" i="4"/>
  <c r="AT48" i="4"/>
  <c r="AL48" i="4"/>
  <c r="AD48" i="4"/>
  <c r="V48" i="4"/>
  <c r="N48" i="4"/>
  <c r="F48" i="4"/>
  <c r="AU47" i="4"/>
  <c r="AM47" i="4"/>
  <c r="AE47" i="4"/>
  <c r="W47" i="4"/>
  <c r="O47" i="4"/>
  <c r="G47" i="4"/>
  <c r="AV46" i="4"/>
  <c r="AN46" i="4"/>
  <c r="AF46" i="4"/>
  <c r="X46" i="4"/>
  <c r="P46" i="4"/>
  <c r="H46" i="4"/>
  <c r="AW45" i="4"/>
  <c r="AO45" i="4"/>
  <c r="AG45" i="4"/>
  <c r="Y45" i="4"/>
  <c r="Q45" i="4"/>
  <c r="I45" i="4"/>
  <c r="AO52" i="4"/>
  <c r="AG52" i="4"/>
  <c r="Y52" i="4"/>
  <c r="Q52" i="4"/>
  <c r="I52" i="4"/>
  <c r="AX51" i="4"/>
  <c r="AP51" i="4"/>
  <c r="AH51" i="4"/>
  <c r="Z51" i="4"/>
  <c r="R51" i="4"/>
  <c r="J51" i="4"/>
  <c r="AY50" i="4"/>
  <c r="AQ50" i="4"/>
  <c r="AI50" i="4"/>
  <c r="AA50" i="4"/>
  <c r="S50" i="4"/>
  <c r="K50" i="4"/>
  <c r="AZ49" i="4"/>
  <c r="AR49" i="4"/>
  <c r="AJ49" i="4"/>
  <c r="AB49" i="4"/>
  <c r="T49" i="4"/>
  <c r="L49" i="4"/>
  <c r="D49" i="4"/>
  <c r="AS48" i="4"/>
  <c r="AK48" i="4"/>
  <c r="AC48" i="4"/>
  <c r="U48" i="4"/>
  <c r="M48" i="4"/>
  <c r="E48" i="4"/>
  <c r="AT47" i="4"/>
  <c r="AL47" i="4"/>
  <c r="AD47" i="4"/>
  <c r="V47" i="4"/>
  <c r="N47" i="4"/>
  <c r="F47" i="4"/>
  <c r="AU46" i="4"/>
  <c r="AM46" i="4"/>
  <c r="AE46" i="4"/>
  <c r="W46" i="4"/>
  <c r="O46" i="4"/>
  <c r="G46" i="4"/>
  <c r="AV45" i="4"/>
  <c r="AN45" i="4"/>
  <c r="AF45" i="4"/>
  <c r="X45" i="4"/>
  <c r="P45" i="4"/>
  <c r="H45" i="4"/>
  <c r="R50" i="4"/>
  <c r="J50" i="4"/>
  <c r="AY49" i="4"/>
  <c r="AQ49" i="4"/>
  <c r="AI49" i="4"/>
  <c r="AA49" i="4"/>
  <c r="S49" i="4"/>
  <c r="K49" i="4"/>
  <c r="AZ48" i="4"/>
  <c r="AR48" i="4"/>
  <c r="AJ48" i="4"/>
  <c r="AB48" i="4"/>
  <c r="T48" i="4"/>
  <c r="L48" i="4"/>
  <c r="D48" i="4"/>
  <c r="AS47" i="4"/>
  <c r="AK47" i="4"/>
  <c r="AC47" i="4"/>
  <c r="U47" i="4"/>
  <c r="M47" i="4"/>
  <c r="E47" i="4"/>
  <c r="AT46" i="4"/>
  <c r="AL46" i="4"/>
  <c r="AD46" i="4"/>
  <c r="V46" i="4"/>
  <c r="N46" i="4"/>
  <c r="F46" i="4"/>
  <c r="AU45" i="4"/>
  <c r="AM45" i="4"/>
  <c r="AE45" i="4"/>
  <c r="W45" i="4"/>
  <c r="O45" i="4"/>
  <c r="G45" i="4"/>
  <c r="Q50" i="4"/>
  <c r="I50" i="4"/>
  <c r="AX49" i="4"/>
  <c r="AP49" i="4"/>
  <c r="AH49" i="4"/>
  <c r="Z49" i="4"/>
  <c r="R49" i="4"/>
  <c r="J49" i="4"/>
  <c r="AY48" i="4"/>
  <c r="AQ48" i="4"/>
  <c r="AI48" i="4"/>
  <c r="AA48" i="4"/>
  <c r="S48" i="4"/>
  <c r="K48" i="4"/>
  <c r="AZ47" i="4"/>
  <c r="AR47" i="4"/>
  <c r="AJ47" i="4"/>
  <c r="AB47" i="4"/>
  <c r="T47" i="4"/>
  <c r="L47" i="4"/>
  <c r="D47" i="4"/>
  <c r="AS46" i="4"/>
  <c r="AK46" i="4"/>
  <c r="AC46" i="4"/>
  <c r="U46" i="4"/>
  <c r="M46" i="4"/>
  <c r="E46" i="4"/>
  <c r="AT45" i="4"/>
  <c r="AL45" i="4"/>
  <c r="AD45" i="4"/>
  <c r="V45" i="4"/>
  <c r="N45" i="4"/>
  <c r="F45" i="4"/>
  <c r="AJ54" i="4"/>
  <c r="AB54" i="4"/>
  <c r="T54" i="4"/>
  <c r="L54" i="4"/>
  <c r="D54" i="4"/>
  <c r="AS53" i="4"/>
  <c r="AK53" i="4"/>
  <c r="AC53" i="4"/>
  <c r="U53" i="4"/>
  <c r="M53" i="4"/>
  <c r="E53" i="4"/>
  <c r="AT52" i="4"/>
  <c r="AL52" i="4"/>
  <c r="AD52" i="4"/>
  <c r="V52" i="4"/>
  <c r="N52" i="4"/>
  <c r="F52" i="4"/>
  <c r="AU51" i="4"/>
  <c r="AM51" i="4"/>
  <c r="AE51" i="4"/>
  <c r="W51" i="4"/>
  <c r="O51" i="4"/>
  <c r="G51" i="4"/>
  <c r="AV50" i="4"/>
  <c r="AN50" i="4"/>
  <c r="AF50" i="4"/>
  <c r="X50" i="4"/>
  <c r="P50" i="4"/>
  <c r="H50" i="4"/>
  <c r="AW49" i="4"/>
  <c r="AO49" i="4"/>
  <c r="AG49" i="4"/>
  <c r="Y49" i="4"/>
  <c r="Q49" i="4"/>
  <c r="I49" i="4"/>
  <c r="AX48" i="4"/>
  <c r="AP48" i="4"/>
  <c r="AH48" i="4"/>
  <c r="Z48" i="4"/>
  <c r="R48" i="4"/>
  <c r="J48" i="4"/>
  <c r="AY47" i="4"/>
  <c r="AQ47" i="4"/>
  <c r="AI47" i="4"/>
  <c r="AA47" i="4"/>
  <c r="S47" i="4"/>
  <c r="K47" i="4"/>
  <c r="AZ46" i="4"/>
  <c r="AR46" i="4"/>
  <c r="AJ46" i="4"/>
  <c r="AB46" i="4"/>
  <c r="T46" i="4"/>
  <c r="L46" i="4"/>
  <c r="D46" i="4"/>
  <c r="AS45" i="4"/>
  <c r="AK45" i="4"/>
  <c r="AC45" i="4"/>
  <c r="U45" i="4"/>
  <c r="M45" i="4"/>
  <c r="E45" i="4"/>
  <c r="AQ54" i="4"/>
  <c r="AI54" i="4"/>
  <c r="AA54" i="4"/>
  <c r="S54" i="4"/>
  <c r="K54" i="4"/>
  <c r="AZ53" i="4"/>
  <c r="AR53" i="4"/>
  <c r="AJ53" i="4"/>
  <c r="AB53" i="4"/>
  <c r="T53" i="4"/>
  <c r="L53" i="4"/>
  <c r="D53" i="4"/>
  <c r="AS52" i="4"/>
  <c r="AK52" i="4"/>
  <c r="AC52" i="4"/>
  <c r="U52" i="4"/>
  <c r="M52" i="4"/>
  <c r="E52" i="4"/>
  <c r="AT51" i="4"/>
  <c r="AL51" i="4"/>
  <c r="AD51" i="4"/>
  <c r="V51" i="4"/>
  <c r="N51" i="4"/>
  <c r="F51" i="4"/>
  <c r="AU50" i="4"/>
  <c r="AM50" i="4"/>
  <c r="AE50" i="4"/>
  <c r="W50" i="4"/>
  <c r="O50" i="4"/>
  <c r="G50" i="4"/>
  <c r="AV49" i="4"/>
  <c r="AN49" i="4"/>
  <c r="AF49" i="4"/>
  <c r="X49" i="4"/>
  <c r="P49" i="4"/>
  <c r="H49" i="4"/>
  <c r="AW48" i="4"/>
  <c r="AO48" i="4"/>
  <c r="AG48" i="4"/>
  <c r="Y48" i="4"/>
  <c r="Q48" i="4"/>
  <c r="I48" i="4"/>
  <c r="AX47" i="4"/>
  <c r="AP47" i="4"/>
  <c r="AH47" i="4"/>
  <c r="Z47" i="4"/>
  <c r="R47" i="4"/>
  <c r="J47" i="4"/>
  <c r="AY46" i="4"/>
  <c r="AQ46" i="4"/>
  <c r="AI46" i="4"/>
  <c r="AA46" i="4"/>
  <c r="S46" i="4"/>
  <c r="K46" i="4"/>
  <c r="AZ45" i="4"/>
  <c r="AR45" i="4"/>
  <c r="AJ45" i="4"/>
  <c r="AB45" i="4"/>
  <c r="T45" i="4"/>
  <c r="L45" i="4"/>
  <c r="D45" i="4"/>
  <c r="C50" i="4"/>
  <c r="C61" i="4"/>
  <c r="C60" i="4"/>
  <c r="C51" i="4"/>
  <c r="C58" i="4"/>
  <c r="C57" i="4"/>
  <c r="C49" i="4"/>
  <c r="C53" i="4"/>
  <c r="C59" i="4"/>
  <c r="C56" i="4"/>
  <c r="C48" i="4"/>
  <c r="C47" i="4"/>
  <c r="C52" i="4"/>
  <c r="C55" i="4"/>
  <c r="C54" i="4"/>
  <c r="C46" i="4"/>
  <c r="C45" i="4"/>
  <c r="F37" i="4"/>
  <c r="D24" i="4" a="1"/>
  <c r="L24" i="4" a="1"/>
  <c r="T24" i="4" a="1"/>
  <c r="AB24" i="4" a="1"/>
  <c r="AJ24" i="4" a="1"/>
  <c r="AR24" i="4" a="1"/>
  <c r="AZ24" i="4" a="1"/>
  <c r="K25" i="4" a="1"/>
  <c r="S25" i="4" a="1"/>
  <c r="AA25" i="4" a="1"/>
  <c r="AI25" i="4" a="1"/>
  <c r="AQ25" i="4" a="1"/>
  <c r="AY25" i="4" a="1"/>
  <c r="J26" i="4" a="1"/>
  <c r="R26" i="4" a="1"/>
  <c r="Z26" i="4" a="1"/>
  <c r="AH26" i="4" a="1"/>
  <c r="AP26" i="4" a="1"/>
  <c r="AX26" i="4" a="1"/>
  <c r="I27" i="4" a="1"/>
  <c r="Q27" i="4" a="1"/>
  <c r="Y27" i="4" a="1"/>
  <c r="AG27" i="4" a="1"/>
  <c r="AO27" i="4" a="1"/>
  <c r="AW27" i="4" a="1"/>
  <c r="H28" i="4" a="1"/>
  <c r="P28" i="4" a="1"/>
  <c r="X28" i="4" a="1"/>
  <c r="AF28" i="4" a="1"/>
  <c r="AN28" i="4" a="1"/>
  <c r="AV28" i="4" a="1"/>
  <c r="G29" i="4" a="1"/>
  <c r="O29" i="4" a="1"/>
  <c r="W29" i="4" a="1"/>
  <c r="AE29" i="4" a="1"/>
  <c r="AM29" i="4" a="1"/>
  <c r="AU29" i="4" a="1"/>
  <c r="F30" i="4" a="1"/>
  <c r="N30" i="4" a="1"/>
  <c r="E24" i="4" a="1"/>
  <c r="M24" i="4" a="1"/>
  <c r="U24" i="4" a="1"/>
  <c r="AC24" i="4" a="1"/>
  <c r="AK24" i="4" a="1"/>
  <c r="AS24" i="4" a="1"/>
  <c r="D25" i="4" a="1"/>
  <c r="L25" i="4" a="1"/>
  <c r="T25" i="4" a="1"/>
  <c r="AB25" i="4" a="1"/>
  <c r="AJ25" i="4" a="1"/>
  <c r="AR25" i="4" a="1"/>
  <c r="AZ25" i="4" a="1"/>
  <c r="K26" i="4" a="1"/>
  <c r="S26" i="4" a="1"/>
  <c r="AA26" i="4" a="1"/>
  <c r="AI26" i="4" a="1"/>
  <c r="AQ26" i="4" a="1"/>
  <c r="AY26" i="4" a="1"/>
  <c r="J27" i="4" a="1"/>
  <c r="R27" i="4" a="1"/>
  <c r="Z27" i="4" a="1"/>
  <c r="AH27" i="4" a="1"/>
  <c r="AP27" i="4" a="1"/>
  <c r="AX27" i="4" a="1"/>
  <c r="I28" i="4" a="1"/>
  <c r="Q28" i="4" a="1"/>
  <c r="Y28" i="4" a="1"/>
  <c r="AG28" i="4" a="1"/>
  <c r="AO28" i="4" a="1"/>
  <c r="AW28" i="4" a="1"/>
  <c r="H29" i="4" a="1"/>
  <c r="P29" i="4" a="1"/>
  <c r="X29" i="4" a="1"/>
  <c r="AF29" i="4" a="1"/>
  <c r="F24" i="4" a="1"/>
  <c r="N24" i="4" a="1"/>
  <c r="V24" i="4" a="1"/>
  <c r="AD24" i="4" a="1"/>
  <c r="AL24" i="4" a="1"/>
  <c r="AT24" i="4" a="1"/>
  <c r="E25" i="4" a="1"/>
  <c r="M25" i="4" a="1"/>
  <c r="U25" i="4" a="1"/>
  <c r="AC25" i="4" a="1"/>
  <c r="AK25" i="4" a="1"/>
  <c r="AS25" i="4" a="1"/>
  <c r="D26" i="4" a="1"/>
  <c r="L26" i="4" a="1"/>
  <c r="T26" i="4" a="1"/>
  <c r="AB26" i="4" a="1"/>
  <c r="AJ26" i="4" a="1"/>
  <c r="AR26" i="4" a="1"/>
  <c r="AZ26" i="4" a="1"/>
  <c r="K27" i="4" a="1"/>
  <c r="S27" i="4" a="1"/>
  <c r="AA27" i="4" a="1"/>
  <c r="AI27" i="4" a="1"/>
  <c r="AQ27" i="4" a="1"/>
  <c r="AY27" i="4" a="1"/>
  <c r="J28" i="4" a="1"/>
  <c r="R28" i="4" a="1"/>
  <c r="Z28" i="4" a="1"/>
  <c r="AH28" i="4" a="1"/>
  <c r="AP28" i="4" a="1"/>
  <c r="AX28" i="4" a="1"/>
  <c r="I29" i="4" a="1"/>
  <c r="Q29" i="4" a="1"/>
  <c r="Y29" i="4" a="1"/>
  <c r="AG29" i="4" a="1"/>
  <c r="AO29" i="4" a="1"/>
  <c r="AW29" i="4" a="1"/>
  <c r="H30" i="4" a="1"/>
  <c r="P30" i="4" a="1"/>
  <c r="X30" i="4" a="1"/>
  <c r="AF30" i="4" a="1"/>
  <c r="AN30" i="4" a="1"/>
  <c r="AV30" i="4" a="1"/>
  <c r="G31" i="4" a="1"/>
  <c r="O31" i="4" a="1"/>
  <c r="W31" i="4" a="1"/>
  <c r="AE31" i="4" a="1"/>
  <c r="AM31" i="4" a="1"/>
  <c r="AU31" i="4" a="1"/>
  <c r="F32" i="4" a="1"/>
  <c r="N32" i="4" a="1"/>
  <c r="G24" i="4" a="1"/>
  <c r="O24" i="4" a="1"/>
  <c r="W24" i="4" a="1"/>
  <c r="AE24" i="4" a="1"/>
  <c r="AM24" i="4" a="1"/>
  <c r="AU24" i="4" a="1"/>
  <c r="F25" i="4" a="1"/>
  <c r="N25" i="4" a="1"/>
  <c r="V25" i="4" a="1"/>
  <c r="AD25" i="4" a="1"/>
  <c r="AL25" i="4" a="1"/>
  <c r="AT25" i="4" a="1"/>
  <c r="E26" i="4" a="1"/>
  <c r="M26" i="4" a="1"/>
  <c r="U26" i="4" a="1"/>
  <c r="AC26" i="4" a="1"/>
  <c r="AK26" i="4" a="1"/>
  <c r="AS26" i="4" a="1"/>
  <c r="D27" i="4" a="1"/>
  <c r="L27" i="4" a="1"/>
  <c r="T27" i="4" a="1"/>
  <c r="AB27" i="4" a="1"/>
  <c r="AJ27" i="4" a="1"/>
  <c r="AR27" i="4" a="1"/>
  <c r="AZ27" i="4" a="1"/>
  <c r="K28" i="4" a="1"/>
  <c r="S28" i="4" a="1"/>
  <c r="AA28" i="4" a="1"/>
  <c r="AI28" i="4" a="1"/>
  <c r="AQ28" i="4" a="1"/>
  <c r="AY28" i="4" a="1"/>
  <c r="J29" i="4" a="1"/>
  <c r="R29" i="4" a="1"/>
  <c r="Z29" i="4" a="1"/>
  <c r="AH29" i="4" a="1"/>
  <c r="AP29" i="4" a="1"/>
  <c r="AX29" i="4" a="1"/>
  <c r="I30" i="4" a="1"/>
  <c r="Q30" i="4" a="1"/>
  <c r="Y30" i="4" a="1"/>
  <c r="AG30" i="4" a="1"/>
  <c r="AO30" i="4" a="1"/>
  <c r="AW30" i="4" a="1"/>
  <c r="H31" i="4" a="1"/>
  <c r="P31" i="4" a="1"/>
  <c r="X31" i="4" a="1"/>
  <c r="AF31" i="4" a="1"/>
  <c r="AN31" i="4" a="1"/>
  <c r="AV31" i="4" a="1"/>
  <c r="G32" i="4" a="1"/>
  <c r="O32" i="4" a="1"/>
  <c r="W32" i="4" a="1"/>
  <c r="AE32" i="4" a="1"/>
  <c r="AM32" i="4" a="1"/>
  <c r="AU32" i="4" a="1"/>
  <c r="F33" i="4" a="1"/>
  <c r="N33" i="4" a="1"/>
  <c r="V33" i="4" a="1"/>
  <c r="AD33" i="4" a="1"/>
  <c r="AL33" i="4" a="1"/>
  <c r="AT33" i="4" a="1"/>
  <c r="E34" i="4" a="1"/>
  <c r="M34" i="4" a="1"/>
  <c r="U34" i="4" a="1"/>
  <c r="AC34" i="4" a="1"/>
  <c r="AK34" i="4" a="1"/>
  <c r="AS34" i="4" a="1"/>
  <c r="D35" i="4" a="1"/>
  <c r="L35" i="4" a="1"/>
  <c r="T35" i="4" a="1"/>
  <c r="AB35" i="4" a="1"/>
  <c r="AJ35" i="4" a="1"/>
  <c r="AR35" i="4" a="1"/>
  <c r="AZ35" i="4" a="1"/>
  <c r="K36" i="4" a="1"/>
  <c r="S36" i="4" a="1"/>
  <c r="AA36" i="4" a="1"/>
  <c r="AI36" i="4" a="1"/>
  <c r="AQ36" i="4" a="1"/>
  <c r="AY36" i="4" a="1"/>
  <c r="J37" i="4" a="1"/>
  <c r="R37" i="4" a="1"/>
  <c r="Z37" i="4" a="1"/>
  <c r="AH37" i="4" a="1"/>
  <c r="AP37" i="4" a="1"/>
  <c r="AX37" i="4" a="1"/>
  <c r="H24" i="4" a="1"/>
  <c r="P24" i="4" a="1"/>
  <c r="X24" i="4" a="1"/>
  <c r="AF24" i="4" a="1"/>
  <c r="AN24" i="4" a="1"/>
  <c r="AV24" i="4" a="1"/>
  <c r="G25" i="4" a="1"/>
  <c r="O25" i="4" a="1"/>
  <c r="W25" i="4" a="1"/>
  <c r="AE25" i="4" a="1"/>
  <c r="AM25" i="4" a="1"/>
  <c r="AU25" i="4" a="1"/>
  <c r="F26" i="4" a="1"/>
  <c r="N26" i="4" a="1"/>
  <c r="V26" i="4" a="1"/>
  <c r="AD26" i="4" a="1"/>
  <c r="AL26" i="4" a="1"/>
  <c r="AT26" i="4" a="1"/>
  <c r="E27" i="4" a="1"/>
  <c r="M27" i="4" a="1"/>
  <c r="U27" i="4" a="1"/>
  <c r="AC27" i="4" a="1"/>
  <c r="AK27" i="4" a="1"/>
  <c r="AS27" i="4" a="1"/>
  <c r="D28" i="4" a="1"/>
  <c r="L28" i="4" a="1"/>
  <c r="T28" i="4" a="1"/>
  <c r="AB28" i="4" a="1"/>
  <c r="AJ28" i="4" a="1"/>
  <c r="AR28" i="4" a="1"/>
  <c r="AZ28" i="4" a="1"/>
  <c r="K29" i="4" a="1"/>
  <c r="S29" i="4" a="1"/>
  <c r="AA29" i="4" a="1"/>
  <c r="AI29" i="4" a="1"/>
  <c r="AQ29" i="4" a="1"/>
  <c r="AY29" i="4" a="1"/>
  <c r="J30" i="4" a="1"/>
  <c r="R30" i="4" a="1"/>
  <c r="Z30" i="4" a="1"/>
  <c r="I24" i="4" a="1"/>
  <c r="Q24" i="4" a="1"/>
  <c r="Y24" i="4" a="1"/>
  <c r="AG24" i="4" a="1"/>
  <c r="AO24" i="4" a="1"/>
  <c r="AW24" i="4" a="1"/>
  <c r="H25" i="4" a="1"/>
  <c r="P25" i="4" a="1"/>
  <c r="X25" i="4" a="1"/>
  <c r="AF25" i="4" a="1"/>
  <c r="AN25" i="4" a="1"/>
  <c r="AV25" i="4" a="1"/>
  <c r="G26" i="4" a="1"/>
  <c r="O26" i="4" a="1"/>
  <c r="W26" i="4" a="1"/>
  <c r="AE26" i="4" a="1"/>
  <c r="AM26" i="4" a="1"/>
  <c r="AU26" i="4" a="1"/>
  <c r="F27" i="4" a="1"/>
  <c r="N27" i="4" a="1"/>
  <c r="V27" i="4" a="1"/>
  <c r="AD27" i="4" a="1"/>
  <c r="AL27" i="4" a="1"/>
  <c r="AT27" i="4" a="1"/>
  <c r="E28" i="4" a="1"/>
  <c r="M28" i="4" a="1"/>
  <c r="U28" i="4" a="1"/>
  <c r="AC28" i="4" a="1"/>
  <c r="AK28" i="4" a="1"/>
  <c r="AS28" i="4" a="1"/>
  <c r="D29" i="4" a="1"/>
  <c r="L29" i="4" a="1"/>
  <c r="T29" i="4" a="1"/>
  <c r="AB29" i="4" a="1"/>
  <c r="AJ29" i="4" a="1"/>
  <c r="AR29" i="4" a="1"/>
  <c r="AZ29" i="4" a="1"/>
  <c r="K30" i="4" a="1"/>
  <c r="S30" i="4" a="1"/>
  <c r="AA30" i="4" a="1"/>
  <c r="AI30" i="4" a="1"/>
  <c r="AQ30" i="4" a="1"/>
  <c r="AY30" i="4" a="1"/>
  <c r="J31" i="4" a="1"/>
  <c r="R31" i="4" a="1"/>
  <c r="Z31" i="4" a="1"/>
  <c r="AH31" i="4" a="1"/>
  <c r="AP31" i="4" a="1"/>
  <c r="AX31" i="4" a="1"/>
  <c r="I32" i="4" a="1"/>
  <c r="Q32" i="4" a="1"/>
  <c r="Y32" i="4" a="1"/>
  <c r="AG32" i="4" a="1"/>
  <c r="AO32" i="4" a="1"/>
  <c r="AW32" i="4" a="1"/>
  <c r="H33" i="4" a="1"/>
  <c r="J24" i="4" a="1"/>
  <c r="R24" i="4" a="1"/>
  <c r="Z24" i="4" a="1"/>
  <c r="AH24" i="4" a="1"/>
  <c r="AP24" i="4" a="1"/>
  <c r="AX24" i="4" a="1"/>
  <c r="I25" i="4" a="1"/>
  <c r="Q25" i="4" a="1"/>
  <c r="Y25" i="4" a="1"/>
  <c r="AG25" i="4" a="1"/>
  <c r="AO25" i="4" a="1"/>
  <c r="AW25" i="4" a="1"/>
  <c r="H26" i="4" a="1"/>
  <c r="P26" i="4" a="1"/>
  <c r="X26" i="4" a="1"/>
  <c r="AF26" i="4" a="1"/>
  <c r="AN26" i="4" a="1"/>
  <c r="AV26" i="4" a="1"/>
  <c r="G27" i="4" a="1"/>
  <c r="O27" i="4" a="1"/>
  <c r="W27" i="4" a="1"/>
  <c r="AE27" i="4" a="1"/>
  <c r="AM27" i="4" a="1"/>
  <c r="AU27" i="4" a="1"/>
  <c r="F28" i="4" a="1"/>
  <c r="N28" i="4" a="1"/>
  <c r="V28" i="4" a="1"/>
  <c r="AD28" i="4" a="1"/>
  <c r="AL28" i="4" a="1"/>
  <c r="AT28" i="4" a="1"/>
  <c r="E29" i="4" a="1"/>
  <c r="M29" i="4" a="1"/>
  <c r="U29" i="4" a="1"/>
  <c r="AC29" i="4" a="1"/>
  <c r="AK29" i="4" a="1"/>
  <c r="AS29" i="4" a="1"/>
  <c r="D30" i="4" a="1"/>
  <c r="L30" i="4" a="1"/>
  <c r="T30" i="4" a="1"/>
  <c r="AB30" i="4" a="1"/>
  <c r="AJ30" i="4" a="1"/>
  <c r="AR30" i="4" a="1"/>
  <c r="AZ30" i="4" a="1"/>
  <c r="K31" i="4" a="1"/>
  <c r="S31" i="4" a="1"/>
  <c r="AA31" i="4" a="1"/>
  <c r="AI31" i="4" a="1"/>
  <c r="AQ31" i="4" a="1"/>
  <c r="AY31" i="4" a="1"/>
  <c r="J32" i="4" a="1"/>
  <c r="R32" i="4" a="1"/>
  <c r="Z32" i="4" a="1"/>
  <c r="AH32" i="4" a="1"/>
  <c r="AP32" i="4" a="1"/>
  <c r="AX32" i="4" a="1"/>
  <c r="I33" i="4" a="1"/>
  <c r="Q33" i="4" a="1"/>
  <c r="Y33" i="4" a="1"/>
  <c r="AG33" i="4" a="1"/>
  <c r="AO33" i="4" a="1"/>
  <c r="AW33" i="4" a="1"/>
  <c r="H34" i="4" a="1"/>
  <c r="P34" i="4" a="1"/>
  <c r="X34" i="4" a="1"/>
  <c r="AF34" i="4" a="1"/>
  <c r="AN34" i="4" a="1"/>
  <c r="AV34" i="4" a="1"/>
  <c r="G35" i="4" a="1"/>
  <c r="O35" i="4" a="1"/>
  <c r="W35" i="4" a="1"/>
  <c r="AE35" i="4" a="1"/>
  <c r="AM35" i="4" a="1"/>
  <c r="AU35" i="4" a="1"/>
  <c r="F36" i="4" a="1"/>
  <c r="N36" i="4" a="1"/>
  <c r="V36" i="4" a="1"/>
  <c r="AD36" i="4" a="1"/>
  <c r="AL36" i="4" a="1"/>
  <c r="AT36" i="4" a="1"/>
  <c r="E37" i="4" a="1"/>
  <c r="M37" i="4" a="1"/>
  <c r="U37" i="4" a="1"/>
  <c r="AC37" i="4" a="1"/>
  <c r="AK37" i="4" a="1"/>
  <c r="AS37" i="4" a="1"/>
  <c r="K24" i="4" a="1"/>
  <c r="AU30" i="4" a="1"/>
  <c r="Y31" i="4" a="1"/>
  <c r="AZ31" i="4" a="1"/>
  <c r="AA32" i="4" a="1"/>
  <c r="AT32" i="4" a="1"/>
  <c r="O34" i="4" a="1"/>
  <c r="AB34" i="4" a="1"/>
  <c r="E35" i="4" a="1"/>
  <c r="AD35" i="4" a="1"/>
  <c r="AQ35" i="4" a="1"/>
  <c r="T36" i="4" a="1"/>
  <c r="AS36" i="4" a="1"/>
  <c r="I37" i="4" a="1"/>
  <c r="AI37" i="4" a="1"/>
  <c r="G38" i="4" a="1"/>
  <c r="O38" i="4" a="1"/>
  <c r="W38" i="4" a="1"/>
  <c r="AE38" i="4" a="1"/>
  <c r="AM38" i="4" a="1"/>
  <c r="AU38" i="4" a="1"/>
  <c r="F39" i="4" a="1"/>
  <c r="N39" i="4" a="1"/>
  <c r="V39" i="4" a="1"/>
  <c r="AD39" i="4" a="1"/>
  <c r="AL39" i="4" a="1"/>
  <c r="AT39" i="4" a="1"/>
  <c r="E40" i="4" a="1"/>
  <c r="M40" i="4" a="1"/>
  <c r="S24" i="4" a="1"/>
  <c r="AH25" i="4" a="1"/>
  <c r="AW26" i="4" a="1"/>
  <c r="O28" i="4" a="1"/>
  <c r="AD29" i="4" a="1"/>
  <c r="V30" i="4" a="1"/>
  <c r="AX30" i="4" a="1"/>
  <c r="AB31" i="4" a="1"/>
  <c r="AV32" i="4" a="1"/>
  <c r="S33" i="4" a="1"/>
  <c r="AJ33" i="4" a="1"/>
  <c r="AZ33" i="4" a="1"/>
  <c r="Q34" i="4" a="1"/>
  <c r="AP34" i="4" a="1"/>
  <c r="R35" i="4" a="1"/>
  <c r="AF35" i="4" a="1"/>
  <c r="H36" i="4" a="1"/>
  <c r="AG36" i="4" a="1"/>
  <c r="AU36" i="4" a="1"/>
  <c r="W37" i="4" a="1"/>
  <c r="AV37" i="4" a="1"/>
  <c r="AV36" i="4" a="1"/>
  <c r="AG38" i="4" a="1"/>
  <c r="H39" i="4" a="1"/>
  <c r="X39" i="4" a="1"/>
  <c r="AV39" i="4" a="1"/>
  <c r="W40" i="4" a="1"/>
  <c r="AM40" i="4" a="1"/>
  <c r="AW36" i="4" a="1"/>
  <c r="AG39" i="4" a="1"/>
  <c r="H40" i="4" a="1"/>
  <c r="AF40" i="4" a="1"/>
  <c r="AG37" i="4" a="1"/>
  <c r="AS39" i="4" a="1"/>
  <c r="AS40" i="4" a="1"/>
  <c r="W30" i="4" a="1"/>
  <c r="D31" i="4" a="1"/>
  <c r="D32" i="4" a="1"/>
  <c r="AB32" i="4" a="1"/>
  <c r="AY32" i="4" a="1"/>
  <c r="T33" i="4" a="1"/>
  <c r="AK33" i="4" a="1"/>
  <c r="D34" i="4" a="1"/>
  <c r="AD34" i="4" a="1"/>
  <c r="F35" i="4" a="1"/>
  <c r="S35" i="4" a="1"/>
  <c r="AS35" i="4" a="1"/>
  <c r="U36" i="4" a="1"/>
  <c r="AH36" i="4" a="1"/>
  <c r="K37" i="4" a="1"/>
  <c r="AJ37" i="4" a="1"/>
  <c r="H38" i="4" a="1"/>
  <c r="P38" i="4" a="1"/>
  <c r="X38" i="4" a="1"/>
  <c r="AF38" i="4" a="1"/>
  <c r="AN38" i="4" a="1"/>
  <c r="AV38" i="4" a="1"/>
  <c r="G39" i="4" a="1"/>
  <c r="O39" i="4" a="1"/>
  <c r="W39" i="4" a="1"/>
  <c r="AE39" i="4" a="1"/>
  <c r="AM39" i="4" a="1"/>
  <c r="AU39" i="4" a="1"/>
  <c r="F40" i="4" a="1"/>
  <c r="N40" i="4" a="1"/>
  <c r="V40" i="4" a="1"/>
  <c r="AD40" i="4" a="1"/>
  <c r="AL40" i="4" a="1"/>
  <c r="AT40" i="4" a="1"/>
  <c r="X37" i="4" a="1"/>
  <c r="AW37" i="4" a="1"/>
  <c r="AO38" i="4" a="1"/>
  <c r="P39" i="4" a="1"/>
  <c r="AF39" i="4" a="1"/>
  <c r="G40" i="4" a="1"/>
  <c r="AE40" i="4" a="1"/>
  <c r="Y39" i="4" a="1"/>
  <c r="AW39" i="4" a="1"/>
  <c r="X40" i="4" a="1"/>
  <c r="AV40" i="4" a="1"/>
  <c r="F38" i="4" a="1"/>
  <c r="AK39" i="4" a="1"/>
  <c r="AK40" i="4" a="1"/>
  <c r="AA24" i="4" a="1"/>
  <c r="AP25" i="4" a="1"/>
  <c r="H27" i="4" a="1"/>
  <c r="W28" i="4" a="1"/>
  <c r="AL29" i="4" a="1"/>
  <c r="AC30" i="4" a="1"/>
  <c r="AC31" i="4" a="1"/>
  <c r="E32" i="4" a="1"/>
  <c r="AC32" i="4" a="1"/>
  <c r="U33" i="4" a="1"/>
  <c r="AM33" i="4" a="1"/>
  <c r="R34" i="4" a="1"/>
  <c r="AQ34" i="4" a="1"/>
  <c r="H35" i="4" a="1"/>
  <c r="AG35" i="4" a="1"/>
  <c r="I36" i="4" a="1"/>
  <c r="W36" i="4" a="1"/>
  <c r="AL37" i="4" a="1"/>
  <c r="O40" i="4" a="1"/>
  <c r="N37" i="4" a="1"/>
  <c r="V38" i="4" a="1"/>
  <c r="E31" i="4" a="1"/>
  <c r="AD31" i="4" a="1"/>
  <c r="H32" i="4" a="1"/>
  <c r="AD32" i="4" a="1"/>
  <c r="AZ32" i="4" a="1"/>
  <c r="W33" i="4" a="1"/>
  <c r="AN33" i="4" a="1"/>
  <c r="F34" i="4" a="1"/>
  <c r="AE34" i="4" a="1"/>
  <c r="AR34" i="4" a="1"/>
  <c r="U35" i="4" a="1"/>
  <c r="AT35" i="4" a="1"/>
  <c r="J36" i="4" a="1"/>
  <c r="AJ36" i="4" a="1"/>
  <c r="L37" i="4" a="1"/>
  <c r="Y37" i="4" a="1"/>
  <c r="I38" i="4" a="1"/>
  <c r="Q38" i="4" a="1"/>
  <c r="Y38" i="4" a="1"/>
  <c r="AW38" i="4" a="1"/>
  <c r="AN39" i="4" a="1"/>
  <c r="AU40" i="4" a="1"/>
  <c r="AO39" i="4" a="1"/>
  <c r="AN40" i="4" a="1"/>
  <c r="AD38" i="4" a="1"/>
  <c r="AI24" i="4" a="1"/>
  <c r="AX25" i="4" a="1"/>
  <c r="P27" i="4" a="1"/>
  <c r="AE28" i="4" a="1"/>
  <c r="AN29" i="4" a="1"/>
  <c r="AD30" i="4" a="1"/>
  <c r="F31" i="4" a="1"/>
  <c r="AG31" i="4" a="1"/>
  <c r="K32" i="4" a="1"/>
  <c r="AF32" i="4" a="1"/>
  <c r="D33" i="4" a="1"/>
  <c r="X33" i="4" a="1"/>
  <c r="AP33" i="4" a="1"/>
  <c r="S34" i="4" a="1"/>
  <c r="AG34" i="4" a="1"/>
  <c r="I35" i="4" a="1"/>
  <c r="AH35" i="4" a="1"/>
  <c r="AV35" i="4" a="1"/>
  <c r="X36" i="4" a="1"/>
  <c r="AM37" i="4" a="1"/>
  <c r="E39" i="4" a="1"/>
  <c r="AT29" i="4" a="1"/>
  <c r="AE30" i="4" a="1"/>
  <c r="I31" i="4" a="1"/>
  <c r="AJ31" i="4" a="1"/>
  <c r="AI32" i="4" a="1"/>
  <c r="E33" i="4" a="1"/>
  <c r="Z33" i="4" a="1"/>
  <c r="G34" i="4" a="1"/>
  <c r="T34" i="4" a="1"/>
  <c r="AT34" i="4" a="1"/>
  <c r="V35" i="4" a="1"/>
  <c r="AI35" i="4" a="1"/>
  <c r="L36" i="4" a="1"/>
  <c r="AK36" i="4" a="1"/>
  <c r="AX36" i="4" a="1"/>
  <c r="AA37" i="4" a="1"/>
  <c r="AY37" i="4" a="1"/>
  <c r="J38" i="4" a="1"/>
  <c r="R38" i="4" a="1"/>
  <c r="Z38" i="4" a="1"/>
  <c r="AH38" i="4" a="1"/>
  <c r="AP38" i="4" a="1"/>
  <c r="AX38" i="4" a="1"/>
  <c r="I39" i="4" a="1"/>
  <c r="Q39" i="4" a="1"/>
  <c r="P40" i="4" a="1"/>
  <c r="D40" i="4" a="1"/>
  <c r="AQ24" i="4" a="1"/>
  <c r="I26" i="4" a="1"/>
  <c r="X27" i="4" a="1"/>
  <c r="AM28" i="4" a="1"/>
  <c r="AH30" i="4" a="1"/>
  <c r="L31" i="4" a="1"/>
  <c r="L32" i="4" a="1"/>
  <c r="G33" i="4" a="1"/>
  <c r="AQ33" i="4" a="1"/>
  <c r="I34" i="4" a="1"/>
  <c r="AH34" i="4" a="1"/>
  <c r="J35" i="4" a="1"/>
  <c r="X35" i="4" a="1"/>
  <c r="AW35" i="4" a="1"/>
  <c r="Y36" i="4" a="1"/>
  <c r="AM36" i="4" a="1"/>
  <c r="O37" i="4" a="1"/>
  <c r="AN37" i="4" a="1"/>
  <c r="AA39" i="4" a="1"/>
  <c r="Z40" i="4" a="1"/>
  <c r="AR37" i="4" a="1"/>
  <c r="K40" i="4" a="1"/>
  <c r="AC39" i="4" a="1"/>
  <c r="AZ40" i="4" a="1"/>
  <c r="AV29" i="4" a="1"/>
  <c r="AK30" i="4" a="1"/>
  <c r="AK31" i="4" a="1"/>
  <c r="M32" i="4" a="1"/>
  <c r="AJ32" i="4" a="1"/>
  <c r="J33" i="4" a="1"/>
  <c r="AA33" i="4" a="1"/>
  <c r="V34" i="4" a="1"/>
  <c r="AU34" i="4" a="1"/>
  <c r="K35" i="4" a="1"/>
  <c r="AK35" i="4" a="1"/>
  <c r="M36" i="4" a="1"/>
  <c r="Z36" i="4" a="1"/>
  <c r="AZ36" i="4" a="1"/>
  <c r="AB37" i="4" a="1"/>
  <c r="AO37" i="4" a="1"/>
  <c r="AZ37" i="4" a="1"/>
  <c r="K38" i="4" a="1"/>
  <c r="S38" i="4" a="1"/>
  <c r="AA38" i="4" a="1"/>
  <c r="AI38" i="4" a="1"/>
  <c r="AQ38" i="4" a="1"/>
  <c r="AY38" i="4" a="1"/>
  <c r="J39" i="4" a="1"/>
  <c r="R39" i="4" a="1"/>
  <c r="Z39" i="4" a="1"/>
  <c r="AH39" i="4" a="1"/>
  <c r="AP39" i="4" a="1"/>
  <c r="AX39" i="4" a="1"/>
  <c r="I40" i="4" a="1"/>
  <c r="Q40" i="4" a="1"/>
  <c r="Y40" i="4" a="1"/>
  <c r="AG40" i="4" a="1"/>
  <c r="AO40" i="4" a="1"/>
  <c r="AW40" i="4" a="1"/>
  <c r="AB36" i="4" a="1"/>
  <c r="D38" i="4" a="1"/>
  <c r="L38" i="4" a="1"/>
  <c r="AB38" i="4" a="1"/>
  <c r="AR38" i="4" a="1"/>
  <c r="K39" i="4" a="1"/>
  <c r="AI39" i="4" a="1"/>
  <c r="AY39" i="4" a="1"/>
  <c r="R40" i="4" a="1"/>
  <c r="AP40" i="4" a="1"/>
  <c r="E38" i="4" a="1"/>
  <c r="AC38" i="4" a="1"/>
  <c r="D39" i="4" a="1"/>
  <c r="T39" i="4" a="1"/>
  <c r="AR39" i="4" a="1"/>
  <c r="S40" i="4" a="1"/>
  <c r="AQ40" i="4" a="1"/>
  <c r="M39" i="4" a="1"/>
  <c r="AB40" i="4" a="1"/>
  <c r="U40" i="4" a="1"/>
  <c r="AY24" i="4" a="1"/>
  <c r="Q26" i="4" a="1"/>
  <c r="AF27" i="4" a="1"/>
  <c r="AU28" i="4" a="1"/>
  <c r="E30" i="4" a="1"/>
  <c r="M31" i="4" a="1"/>
  <c r="AL31" i="4" a="1"/>
  <c r="P32" i="4" a="1"/>
  <c r="AK32" i="4" a="1"/>
  <c r="AB33" i="4" a="1"/>
  <c r="AR33" i="4" a="1"/>
  <c r="J34" i="4" a="1"/>
  <c r="AI34" i="4" a="1"/>
  <c r="AW34" i="4" a="1"/>
  <c r="Y35" i="4" a="1"/>
  <c r="AX35" i="4" a="1"/>
  <c r="O36" i="4" a="1"/>
  <c r="AN36" i="4" a="1"/>
  <c r="P37" i="4" a="1"/>
  <c r="AD37" i="4" a="1"/>
  <c r="AJ34" i="4" a="1"/>
  <c r="AY35" i="4" a="1"/>
  <c r="D37" i="4" a="1"/>
  <c r="AQ37" i="4" a="1"/>
  <c r="T38" i="4" a="1"/>
  <c r="AJ38" i="4" a="1"/>
  <c r="S39" i="4" a="1"/>
  <c r="AQ39" i="4" a="1"/>
  <c r="J40" i="4" a="1"/>
  <c r="AH40" i="4" a="1"/>
  <c r="S37" i="4" a="1"/>
  <c r="M38" i="4" a="1"/>
  <c r="AK38" i="4" a="1"/>
  <c r="L39" i="4" a="1"/>
  <c r="AJ39" i="4" a="1"/>
  <c r="AI40" i="4" a="1"/>
  <c r="AY40" i="4" a="1"/>
  <c r="U39" i="4" a="1"/>
  <c r="AR40" i="4" a="1"/>
  <c r="AL30" i="4" a="1"/>
  <c r="N31" i="4" a="1"/>
  <c r="AO31" i="4" a="1"/>
  <c r="S32" i="4" a="1"/>
  <c r="AL32" i="4" a="1"/>
  <c r="K33" i="4" a="1"/>
  <c r="AC33" i="4" a="1"/>
  <c r="AS33" i="4" a="1"/>
  <c r="W34" i="4" a="1"/>
  <c r="M35" i="4" a="1"/>
  <c r="AL35" i="4" a="1"/>
  <c r="Q37" i="4" a="1"/>
  <c r="AZ38" i="4" a="1"/>
  <c r="AX40" i="4" a="1"/>
  <c r="AB39" i="4" a="1"/>
  <c r="AT38" i="4" a="1"/>
  <c r="J25" i="4" a="1"/>
  <c r="Y26" i="4" a="1"/>
  <c r="AN27" i="4" a="1"/>
  <c r="F29" i="4" a="1"/>
  <c r="G30" i="4" a="1"/>
  <c r="AM30" i="4" a="1"/>
  <c r="Q31" i="4" a="1"/>
  <c r="AR31" i="4" a="1"/>
  <c r="AN32" i="4" a="1"/>
  <c r="L33" i="4" a="1"/>
  <c r="AE33" i="4" a="1"/>
  <c r="AU33" i="4" a="1"/>
  <c r="K34" i="4" a="1"/>
  <c r="Y34" i="4" a="1"/>
  <c r="AX34" i="4" a="1"/>
  <c r="Z35" i="4" a="1"/>
  <c r="AN35" i="4" a="1"/>
  <c r="P36" i="4" a="1"/>
  <c r="AO36" i="4" a="1"/>
  <c r="AE37" i="4" a="1"/>
  <c r="AS38" i="4" a="1"/>
  <c r="AZ39" i="4" a="1"/>
  <c r="N38" i="4" a="1"/>
  <c r="AJ40" i="4" a="1"/>
  <c r="M30" i="4" a="1"/>
  <c r="AP30" i="4" a="1"/>
  <c r="T31" i="4" a="1"/>
  <c r="T32" i="4" a="1"/>
  <c r="AQ32" i="4" a="1"/>
  <c r="M33" i="4" a="1"/>
  <c r="AF33" i="4" a="1"/>
  <c r="AV33" i="4" a="1"/>
  <c r="L34" i="4" a="1"/>
  <c r="AL34" i="4" a="1"/>
  <c r="N35" i="4" a="1"/>
  <c r="AA35" i="4" a="1"/>
  <c r="D36" i="4" a="1"/>
  <c r="AC36" i="4" a="1"/>
  <c r="AP36" i="4" a="1"/>
  <c r="U38" i="4" a="1"/>
  <c r="AA40" i="4" a="1"/>
  <c r="T40" i="4" a="1"/>
  <c r="R25" i="4" a="1"/>
  <c r="AG26" i="4" a="1"/>
  <c r="AV27" i="4" a="1"/>
  <c r="N29" i="4" a="1"/>
  <c r="AS30" i="4" a="1"/>
  <c r="AS31" i="4" a="1"/>
  <c r="U32" i="4" a="1"/>
  <c r="O33" i="4" a="1"/>
  <c r="AH33" i="4" a="1"/>
  <c r="AX33" i="4" a="1"/>
  <c r="Z34" i="4" a="1"/>
  <c r="AY34" i="4" a="1"/>
  <c r="P35" i="4" a="1"/>
  <c r="AO35" i="4" a="1"/>
  <c r="Q36" i="4" a="1"/>
  <c r="AE36" i="4" a="1"/>
  <c r="G37" i="4" a="1"/>
  <c r="AF37" i="4" a="1"/>
  <c r="AT37" i="4" a="1"/>
  <c r="O30" i="4" a="1"/>
  <c r="U31" i="4" a="1"/>
  <c r="AT31" i="4" a="1"/>
  <c r="V32" i="4" a="1"/>
  <c r="AR32" i="4" a="1"/>
  <c r="P33" i="4" a="1"/>
  <c r="N34" i="4" a="1"/>
  <c r="AM34" i="4" a="1"/>
  <c r="AZ34" i="4" a="1"/>
  <c r="AC35" i="4" a="1"/>
  <c r="E36" i="4" a="1"/>
  <c r="R36" i="4" a="1"/>
  <c r="AR36" i="4" a="1"/>
  <c r="T37" i="4" a="1"/>
  <c r="AL38" i="4" a="1"/>
  <c r="L40" i="4" a="1"/>
  <c r="Z25" i="4" a="1"/>
  <c r="AO26" i="4" a="1"/>
  <c r="G28" i="4" a="1"/>
  <c r="V29" i="4" a="1"/>
  <c r="U30" i="4" a="1"/>
  <c r="AT30" i="4" a="1"/>
  <c r="V31" i="4" a="1"/>
  <c r="AW31" i="4" a="1"/>
  <c r="X32" i="4" a="1"/>
  <c r="AS32" i="4" a="1"/>
  <c r="R33" i="4" a="1"/>
  <c r="AI33" i="4" a="1"/>
  <c r="AY33" i="4" a="1"/>
  <c r="AA34" i="4" a="1"/>
  <c r="AO34" i="4" a="1"/>
  <c r="Q35" i="4" a="1"/>
  <c r="AP35" i="4" a="1"/>
  <c r="G36" i="4" a="1"/>
  <c r="AF36" i="4" a="1"/>
  <c r="H37" i="4" a="1"/>
  <c r="V37" i="4" a="1"/>
  <c r="AU37" i="4" a="1"/>
  <c r="AC40" i="4" a="1"/>
  <c r="C25" i="4" a="1"/>
  <c r="C33" i="4" a="1"/>
  <c r="C27" i="4" a="1"/>
  <c r="C39" i="4" a="1"/>
  <c r="C34" i="4" a="1"/>
  <c r="C31" i="4" a="1"/>
  <c r="C26" i="4" a="1"/>
  <c r="C35" i="4" a="1"/>
  <c r="C36" i="4" a="1"/>
  <c r="C28" i="4" a="1"/>
  <c r="C37" i="4" a="1"/>
  <c r="C38" i="4" a="1"/>
  <c r="C29" i="4" a="1"/>
  <c r="C40" i="4" a="1"/>
  <c r="C30" i="4" a="1"/>
  <c r="C32" i="4" a="1"/>
  <c r="C24" i="4" a="1"/>
  <c r="D3" i="4" a="1"/>
  <c r="L3" i="4" a="1"/>
  <c r="T3" i="4" a="1"/>
  <c r="AB3" i="4" a="1"/>
  <c r="AJ3" i="4" a="1"/>
  <c r="AR3" i="4" a="1"/>
  <c r="AZ3" i="4" a="1"/>
  <c r="K4" i="4" a="1"/>
  <c r="S4" i="4" a="1"/>
  <c r="AA4" i="4" a="1"/>
  <c r="AI4" i="4" a="1"/>
  <c r="AQ4" i="4" a="1"/>
  <c r="AY4" i="4" a="1"/>
  <c r="J5" i="4" a="1"/>
  <c r="R5" i="4" a="1"/>
  <c r="Z5" i="4" a="1"/>
  <c r="AH5" i="4" a="1"/>
  <c r="AP5" i="4" a="1"/>
  <c r="AX5" i="4" a="1"/>
  <c r="I6" i="4" a="1"/>
  <c r="Q6" i="4" a="1"/>
  <c r="Y6" i="4" a="1"/>
  <c r="AG6" i="4" a="1"/>
  <c r="AO6" i="4" a="1"/>
  <c r="AW6" i="4" a="1"/>
  <c r="H7" i="4" a="1"/>
  <c r="P7" i="4" a="1"/>
  <c r="X7" i="4" a="1"/>
  <c r="AF7" i="4" a="1"/>
  <c r="AN7" i="4" a="1"/>
  <c r="AV7" i="4" a="1"/>
  <c r="G8" i="4" a="1"/>
  <c r="O8" i="4" a="1"/>
  <c r="W8" i="4" a="1"/>
  <c r="AE8" i="4" a="1"/>
  <c r="AM8" i="4" a="1"/>
  <c r="AU8" i="4" a="1"/>
  <c r="F9" i="4" a="1"/>
  <c r="N9" i="4" a="1"/>
  <c r="V9" i="4" a="1"/>
  <c r="AD9" i="4" a="1"/>
  <c r="AL9" i="4" a="1"/>
  <c r="AT9" i="4" a="1"/>
  <c r="E10" i="4" a="1"/>
  <c r="M10" i="4" a="1"/>
  <c r="U10" i="4" a="1"/>
  <c r="AC10" i="4" a="1"/>
  <c r="AK10" i="4" a="1"/>
  <c r="AS10" i="4" a="1"/>
  <c r="D11" i="4" a="1"/>
  <c r="L11" i="4" a="1"/>
  <c r="T11" i="4" a="1"/>
  <c r="AB11" i="4" a="1"/>
  <c r="AJ11" i="4" a="1"/>
  <c r="AR11" i="4" a="1"/>
  <c r="AZ11" i="4" a="1"/>
  <c r="K12" i="4" a="1"/>
  <c r="S12" i="4" a="1"/>
  <c r="AA12" i="4" a="1"/>
  <c r="AI12" i="4" a="1"/>
  <c r="AQ12" i="4" a="1"/>
  <c r="AY12" i="4" a="1"/>
  <c r="J13" i="4" a="1"/>
  <c r="R13" i="4" a="1"/>
  <c r="Z13" i="4" a="1"/>
  <c r="AH13" i="4" a="1"/>
  <c r="AP13" i="4" a="1"/>
  <c r="AX13" i="4" a="1"/>
  <c r="I14" i="4" a="1"/>
  <c r="Q14" i="4" a="1"/>
  <c r="Y14" i="4" a="1"/>
  <c r="AG14" i="4" a="1"/>
  <c r="AO14" i="4" a="1"/>
  <c r="AW14" i="4" a="1"/>
  <c r="H15" i="4" a="1"/>
  <c r="P15" i="4" a="1"/>
  <c r="X15" i="4" a="1"/>
  <c r="AF15" i="4" a="1"/>
  <c r="AN15" i="4" a="1"/>
  <c r="AV15" i="4" a="1"/>
  <c r="G16" i="4" a="1"/>
  <c r="O16" i="4" a="1"/>
  <c r="W16" i="4" a="1"/>
  <c r="AE16" i="4" a="1"/>
  <c r="AM16" i="4" a="1"/>
  <c r="AU16" i="4" a="1"/>
  <c r="E3" i="4" a="1"/>
  <c r="M3" i="4" a="1"/>
  <c r="U3" i="4" a="1"/>
  <c r="AC3" i="4" a="1"/>
  <c r="AK3" i="4" a="1"/>
  <c r="AS3" i="4" a="1"/>
  <c r="D4" i="4" a="1"/>
  <c r="L4" i="4" a="1"/>
  <c r="T4" i="4" a="1"/>
  <c r="AB4" i="4" a="1"/>
  <c r="AJ4" i="4" a="1"/>
  <c r="AR4" i="4" a="1"/>
  <c r="AZ4" i="4" a="1"/>
  <c r="K5" i="4" a="1"/>
  <c r="S5" i="4" a="1"/>
  <c r="AA5" i="4" a="1"/>
  <c r="AI5" i="4" a="1"/>
  <c r="AQ5" i="4" a="1"/>
  <c r="AY5" i="4" a="1"/>
  <c r="J6" i="4" a="1"/>
  <c r="R6" i="4" a="1"/>
  <c r="Z6" i="4" a="1"/>
  <c r="AH6" i="4" a="1"/>
  <c r="AP6" i="4" a="1"/>
  <c r="AX6" i="4" a="1"/>
  <c r="I7" i="4" a="1"/>
  <c r="Q7" i="4" a="1"/>
  <c r="Y7" i="4" a="1"/>
  <c r="AG7" i="4" a="1"/>
  <c r="AO7" i="4" a="1"/>
  <c r="AW7" i="4" a="1"/>
  <c r="H8" i="4" a="1"/>
  <c r="P8" i="4" a="1"/>
  <c r="X8" i="4" a="1"/>
  <c r="AF8" i="4" a="1"/>
  <c r="AN8" i="4" a="1"/>
  <c r="AV8" i="4" a="1"/>
  <c r="G9" i="4" a="1"/>
  <c r="O9" i="4" a="1"/>
  <c r="W9" i="4" a="1"/>
  <c r="AE9" i="4" a="1"/>
  <c r="AM9" i="4" a="1"/>
  <c r="AU9" i="4" a="1"/>
  <c r="F10" i="4" a="1"/>
  <c r="N10" i="4" a="1"/>
  <c r="V10" i="4" a="1"/>
  <c r="AD10" i="4" a="1"/>
  <c r="AL10" i="4" a="1"/>
  <c r="AT10" i="4" a="1"/>
  <c r="E11" i="4" a="1"/>
  <c r="M11" i="4" a="1"/>
  <c r="U11" i="4" a="1"/>
  <c r="AC11" i="4" a="1"/>
  <c r="AK11" i="4" a="1"/>
  <c r="AS11" i="4" a="1"/>
  <c r="D12" i="4" a="1"/>
  <c r="L12" i="4" a="1"/>
  <c r="T12" i="4" a="1"/>
  <c r="AB12" i="4" a="1"/>
  <c r="AJ12" i="4" a="1"/>
  <c r="AR12" i="4" a="1"/>
  <c r="AZ12" i="4" a="1"/>
  <c r="K13" i="4" a="1"/>
  <c r="S13" i="4" a="1"/>
  <c r="AA13" i="4" a="1"/>
  <c r="AI13" i="4" a="1"/>
  <c r="AQ13" i="4" a="1"/>
  <c r="AY13" i="4" a="1"/>
  <c r="J14" i="4" a="1"/>
  <c r="R14" i="4" a="1"/>
  <c r="Z14" i="4" a="1"/>
  <c r="AH14" i="4" a="1"/>
  <c r="AP14" i="4" a="1"/>
  <c r="AX14" i="4" a="1"/>
  <c r="I15" i="4" a="1"/>
  <c r="Q15" i="4" a="1"/>
  <c r="Y15" i="4" a="1"/>
  <c r="AG15" i="4" a="1"/>
  <c r="AO15" i="4" a="1"/>
  <c r="AW15" i="4" a="1"/>
  <c r="H16" i="4" a="1"/>
  <c r="P16" i="4" a="1"/>
  <c r="X16" i="4" a="1"/>
  <c r="AF16" i="4" a="1"/>
  <c r="F3" i="4" a="1"/>
  <c r="N3" i="4" a="1"/>
  <c r="V3" i="4" a="1"/>
  <c r="AD3" i="4" a="1"/>
  <c r="AL3" i="4" a="1"/>
  <c r="AT3" i="4" a="1"/>
  <c r="E4" i="4" a="1"/>
  <c r="M4" i="4" a="1"/>
  <c r="U4" i="4" a="1"/>
  <c r="AC4" i="4" a="1"/>
  <c r="AK4" i="4" a="1"/>
  <c r="AS4" i="4" a="1"/>
  <c r="D5" i="4" a="1"/>
  <c r="L5" i="4" a="1"/>
  <c r="T5" i="4" a="1"/>
  <c r="AB5" i="4" a="1"/>
  <c r="AJ5" i="4" a="1"/>
  <c r="AR5" i="4" a="1"/>
  <c r="AZ5" i="4" a="1"/>
  <c r="K6" i="4" a="1"/>
  <c r="S6" i="4" a="1"/>
  <c r="AA6" i="4" a="1"/>
  <c r="AI6" i="4" a="1"/>
  <c r="AQ6" i="4" a="1"/>
  <c r="AY6" i="4" a="1"/>
  <c r="J7" i="4" a="1"/>
  <c r="R7" i="4" a="1"/>
  <c r="Z7" i="4" a="1"/>
  <c r="AH7" i="4" a="1"/>
  <c r="AP7" i="4" a="1"/>
  <c r="AX7" i="4" a="1"/>
  <c r="I8" i="4" a="1"/>
  <c r="Q8" i="4" a="1"/>
  <c r="Y8" i="4" a="1"/>
  <c r="AG8" i="4" a="1"/>
  <c r="AO8" i="4" a="1"/>
  <c r="AW8" i="4" a="1"/>
  <c r="H9" i="4" a="1"/>
  <c r="P9" i="4" a="1"/>
  <c r="X9" i="4" a="1"/>
  <c r="AF9" i="4" a="1"/>
  <c r="AN9" i="4" a="1"/>
  <c r="AV9" i="4" a="1"/>
  <c r="G10" i="4" a="1"/>
  <c r="O10" i="4" a="1"/>
  <c r="W10" i="4" a="1"/>
  <c r="AE10" i="4" a="1"/>
  <c r="AM10" i="4" a="1"/>
  <c r="AU10" i="4" a="1"/>
  <c r="F11" i="4" a="1"/>
  <c r="N11" i="4" a="1"/>
  <c r="V11" i="4" a="1"/>
  <c r="AD11" i="4" a="1"/>
  <c r="AL11" i="4" a="1"/>
  <c r="AT11" i="4" a="1"/>
  <c r="E12" i="4" a="1"/>
  <c r="M12" i="4" a="1"/>
  <c r="U12" i="4" a="1"/>
  <c r="AC12" i="4" a="1"/>
  <c r="AK12" i="4" a="1"/>
  <c r="AS12" i="4" a="1"/>
  <c r="D13" i="4" a="1"/>
  <c r="L13" i="4" a="1"/>
  <c r="T13" i="4" a="1"/>
  <c r="AB13" i="4" a="1"/>
  <c r="AJ13" i="4" a="1"/>
  <c r="AR13" i="4" a="1"/>
  <c r="AZ13" i="4" a="1"/>
  <c r="K14" i="4" a="1"/>
  <c r="S14" i="4" a="1"/>
  <c r="AA14" i="4" a="1"/>
  <c r="AI14" i="4" a="1"/>
  <c r="AQ14" i="4" a="1"/>
  <c r="AY14" i="4" a="1"/>
  <c r="G3" i="4" a="1"/>
  <c r="O3" i="4" a="1"/>
  <c r="W3" i="4" a="1"/>
  <c r="AE3" i="4" a="1"/>
  <c r="AM3" i="4" a="1"/>
  <c r="AU3" i="4" a="1"/>
  <c r="F4" i="4" a="1"/>
  <c r="N4" i="4" a="1"/>
  <c r="V4" i="4" a="1"/>
  <c r="AD4" i="4" a="1"/>
  <c r="AL4" i="4" a="1"/>
  <c r="AT4" i="4" a="1"/>
  <c r="E5" i="4" a="1"/>
  <c r="M5" i="4" a="1"/>
  <c r="U5" i="4" a="1"/>
  <c r="AC5" i="4" a="1"/>
  <c r="AK5" i="4" a="1"/>
  <c r="AS5" i="4" a="1"/>
  <c r="D6" i="4" a="1"/>
  <c r="L6" i="4" a="1"/>
  <c r="T6" i="4" a="1"/>
  <c r="AB6" i="4" a="1"/>
  <c r="AJ6" i="4" a="1"/>
  <c r="AR6" i="4" a="1"/>
  <c r="AZ6" i="4" a="1"/>
  <c r="K7" i="4" a="1"/>
  <c r="S7" i="4" a="1"/>
  <c r="AA7" i="4" a="1"/>
  <c r="AI7" i="4" a="1"/>
  <c r="AQ7" i="4" a="1"/>
  <c r="AY7" i="4" a="1"/>
  <c r="J8" i="4" a="1"/>
  <c r="R8" i="4" a="1"/>
  <c r="Z8" i="4" a="1"/>
  <c r="AH8" i="4" a="1"/>
  <c r="AP8" i="4" a="1"/>
  <c r="AX8" i="4" a="1"/>
  <c r="I9" i="4" a="1"/>
  <c r="Q9" i="4" a="1"/>
  <c r="Y9" i="4" a="1"/>
  <c r="AG9" i="4" a="1"/>
  <c r="AO9" i="4" a="1"/>
  <c r="AW9" i="4" a="1"/>
  <c r="H10" i="4" a="1"/>
  <c r="P10" i="4" a="1"/>
  <c r="X10" i="4" a="1"/>
  <c r="AF10" i="4" a="1"/>
  <c r="AN10" i="4" a="1"/>
  <c r="AV10" i="4" a="1"/>
  <c r="G11" i="4" a="1"/>
  <c r="O11" i="4" a="1"/>
  <c r="W11" i="4" a="1"/>
  <c r="AE11" i="4" a="1"/>
  <c r="AM11" i="4" a="1"/>
  <c r="AU11" i="4" a="1"/>
  <c r="F12" i="4" a="1"/>
  <c r="N12" i="4" a="1"/>
  <c r="V12" i="4" a="1"/>
  <c r="AD12" i="4" a="1"/>
  <c r="AL12" i="4" a="1"/>
  <c r="AT12" i="4" a="1"/>
  <c r="E13" i="4" a="1"/>
  <c r="M13" i="4" a="1"/>
  <c r="U13" i="4" a="1"/>
  <c r="AC13" i="4" a="1"/>
  <c r="AK13" i="4" a="1"/>
  <c r="AS13" i="4" a="1"/>
  <c r="D14" i="4" a="1"/>
  <c r="L14" i="4" a="1"/>
  <c r="T14" i="4" a="1"/>
  <c r="AB14" i="4" a="1"/>
  <c r="AJ14" i="4" a="1"/>
  <c r="AR14" i="4" a="1"/>
  <c r="AZ14" i="4" a="1"/>
  <c r="K15" i="4" a="1"/>
  <c r="S15" i="4" a="1"/>
  <c r="AA15" i="4" a="1"/>
  <c r="AI15" i="4" a="1"/>
  <c r="AQ15" i="4" a="1"/>
  <c r="AY15" i="4" a="1"/>
  <c r="J16" i="4" a="1"/>
  <c r="R16" i="4" a="1"/>
  <c r="Z16" i="4" a="1"/>
  <c r="AH16" i="4" a="1"/>
  <c r="AP16" i="4" a="1"/>
  <c r="H3" i="4" a="1"/>
  <c r="P3" i="4" a="1"/>
  <c r="X3" i="4" a="1"/>
  <c r="AF3" i="4" a="1"/>
  <c r="AN3" i="4" a="1"/>
  <c r="AV3" i="4" a="1"/>
  <c r="G4" i="4" a="1"/>
  <c r="O4" i="4" a="1"/>
  <c r="W4" i="4" a="1"/>
  <c r="AE4" i="4" a="1"/>
  <c r="AM4" i="4" a="1"/>
  <c r="AU4" i="4" a="1"/>
  <c r="F5" i="4" a="1"/>
  <c r="N5" i="4" a="1"/>
  <c r="V5" i="4" a="1"/>
  <c r="AD5" i="4" a="1"/>
  <c r="AL5" i="4" a="1"/>
  <c r="AT5" i="4" a="1"/>
  <c r="E6" i="4" a="1"/>
  <c r="M6" i="4" a="1"/>
  <c r="U6" i="4" a="1"/>
  <c r="AC6" i="4" a="1"/>
  <c r="AK6" i="4" a="1"/>
  <c r="AS6" i="4" a="1"/>
  <c r="D7" i="4" a="1"/>
  <c r="L7" i="4" a="1"/>
  <c r="T7" i="4" a="1"/>
  <c r="AB7" i="4" a="1"/>
  <c r="AJ7" i="4" a="1"/>
  <c r="AR7" i="4" a="1"/>
  <c r="AZ7" i="4" a="1"/>
  <c r="K8" i="4" a="1"/>
  <c r="S8" i="4" a="1"/>
  <c r="AA8" i="4" a="1"/>
  <c r="AI8" i="4" a="1"/>
  <c r="AQ8" i="4" a="1"/>
  <c r="AY8" i="4" a="1"/>
  <c r="J9" i="4" a="1"/>
  <c r="R9" i="4" a="1"/>
  <c r="Z9" i="4" a="1"/>
  <c r="AH9" i="4" a="1"/>
  <c r="AP9" i="4" a="1"/>
  <c r="AX9" i="4" a="1"/>
  <c r="I10" i="4" a="1"/>
  <c r="Q10" i="4" a="1"/>
  <c r="Y10" i="4" a="1"/>
  <c r="AG10" i="4" a="1"/>
  <c r="AO10" i="4" a="1"/>
  <c r="AW10" i="4" a="1"/>
  <c r="H11" i="4" a="1"/>
  <c r="P11" i="4" a="1"/>
  <c r="X11" i="4" a="1"/>
  <c r="AF11" i="4" a="1"/>
  <c r="AN11" i="4" a="1"/>
  <c r="AV11" i="4" a="1"/>
  <c r="G12" i="4" a="1"/>
  <c r="O12" i="4" a="1"/>
  <c r="W12" i="4" a="1"/>
  <c r="AE12" i="4" a="1"/>
  <c r="AM12" i="4" a="1"/>
  <c r="AU12" i="4" a="1"/>
  <c r="F13" i="4" a="1"/>
  <c r="N13" i="4" a="1"/>
  <c r="V13" i="4" a="1"/>
  <c r="AD13" i="4" a="1"/>
  <c r="AL13" i="4" a="1"/>
  <c r="AT13" i="4" a="1"/>
  <c r="E14" i="4" a="1"/>
  <c r="M14" i="4" a="1"/>
  <c r="U14" i="4" a="1"/>
  <c r="AC14" i="4" a="1"/>
  <c r="AK14" i="4" a="1"/>
  <c r="AS14" i="4" a="1"/>
  <c r="D15" i="4" a="1"/>
  <c r="L15" i="4" a="1"/>
  <c r="T15" i="4" a="1"/>
  <c r="AB15" i="4" a="1"/>
  <c r="AJ15" i="4" a="1"/>
  <c r="AR15" i="4" a="1"/>
  <c r="AZ15" i="4" a="1"/>
  <c r="K16" i="4" a="1"/>
  <c r="S16" i="4" a="1"/>
  <c r="AA16" i="4" a="1"/>
  <c r="AI16" i="4" a="1"/>
  <c r="AQ16" i="4" a="1"/>
  <c r="I3" i="4" a="1"/>
  <c r="Q3" i="4" a="1"/>
  <c r="Y3" i="4" a="1"/>
  <c r="AG3" i="4" a="1"/>
  <c r="AO3" i="4" a="1"/>
  <c r="AW3" i="4" a="1"/>
  <c r="H4" i="4" a="1"/>
  <c r="P4" i="4" a="1"/>
  <c r="X4" i="4" a="1"/>
  <c r="AF4" i="4" a="1"/>
  <c r="AN4" i="4" a="1"/>
  <c r="AV4" i="4" a="1"/>
  <c r="G5" i="4" a="1"/>
  <c r="O5" i="4" a="1"/>
  <c r="W5" i="4" a="1"/>
  <c r="AE5" i="4" a="1"/>
  <c r="AM5" i="4" a="1"/>
  <c r="AU5" i="4" a="1"/>
  <c r="F6" i="4" a="1"/>
  <c r="N6" i="4" a="1"/>
  <c r="V6" i="4" a="1"/>
  <c r="AD6" i="4" a="1"/>
  <c r="AL6" i="4" a="1"/>
  <c r="AT6" i="4" a="1"/>
  <c r="E7" i="4" a="1"/>
  <c r="M7" i="4" a="1"/>
  <c r="U7" i="4" a="1"/>
  <c r="AC7" i="4" a="1"/>
  <c r="AK7" i="4" a="1"/>
  <c r="AS7" i="4" a="1"/>
  <c r="D8" i="4" a="1"/>
  <c r="L8" i="4" a="1"/>
  <c r="T8" i="4" a="1"/>
  <c r="AB8" i="4" a="1"/>
  <c r="AJ8" i="4" a="1"/>
  <c r="AR8" i="4" a="1"/>
  <c r="AZ8" i="4" a="1"/>
  <c r="K9" i="4" a="1"/>
  <c r="S9" i="4" a="1"/>
  <c r="AA9" i="4" a="1"/>
  <c r="AI9" i="4" a="1"/>
  <c r="AQ9" i="4" a="1"/>
  <c r="AY9" i="4" a="1"/>
  <c r="J10" i="4" a="1"/>
  <c r="R10" i="4" a="1"/>
  <c r="Z10" i="4" a="1"/>
  <c r="AH10" i="4" a="1"/>
  <c r="AP10" i="4" a="1"/>
  <c r="AX10" i="4" a="1"/>
  <c r="I11" i="4" a="1"/>
  <c r="Q11" i="4" a="1"/>
  <c r="Y11" i="4" a="1"/>
  <c r="AG11" i="4" a="1"/>
  <c r="AO11" i="4" a="1"/>
  <c r="AW11" i="4" a="1"/>
  <c r="H12" i="4" a="1"/>
  <c r="P12" i="4" a="1"/>
  <c r="X12" i="4" a="1"/>
  <c r="AF12" i="4" a="1"/>
  <c r="AN12" i="4" a="1"/>
  <c r="AV12" i="4" a="1"/>
  <c r="G13" i="4" a="1"/>
  <c r="O13" i="4" a="1"/>
  <c r="W13" i="4" a="1"/>
  <c r="AE13" i="4" a="1"/>
  <c r="AM13" i="4" a="1"/>
  <c r="AU13" i="4" a="1"/>
  <c r="F14" i="4" a="1"/>
  <c r="N14" i="4" a="1"/>
  <c r="V14" i="4" a="1"/>
  <c r="AD14" i="4" a="1"/>
  <c r="AL14" i="4" a="1"/>
  <c r="AT14" i="4" a="1"/>
  <c r="E15" i="4" a="1"/>
  <c r="M15" i="4" a="1"/>
  <c r="U15" i="4" a="1"/>
  <c r="AC15" i="4" a="1"/>
  <c r="AK15" i="4" a="1"/>
  <c r="AS15" i="4" a="1"/>
  <c r="D16" i="4" a="1"/>
  <c r="L16" i="4" a="1"/>
  <c r="J3" i="4" a="1"/>
  <c r="R3" i="4" a="1"/>
  <c r="Z3" i="4" a="1"/>
  <c r="AH3" i="4" a="1"/>
  <c r="AP3" i="4" a="1"/>
  <c r="AX3" i="4" a="1"/>
  <c r="I4" i="4" a="1"/>
  <c r="Q4" i="4" a="1"/>
  <c r="Y4" i="4" a="1"/>
  <c r="AG4" i="4" a="1"/>
  <c r="AO4" i="4" a="1"/>
  <c r="AW4" i="4" a="1"/>
  <c r="H5" i="4" a="1"/>
  <c r="P5" i="4" a="1"/>
  <c r="X5" i="4" a="1"/>
  <c r="AF5" i="4" a="1"/>
  <c r="AN5" i="4" a="1"/>
  <c r="AV5" i="4" a="1"/>
  <c r="G6" i="4" a="1"/>
  <c r="O6" i="4" a="1"/>
  <c r="W6" i="4" a="1"/>
  <c r="AE6" i="4" a="1"/>
  <c r="AM6" i="4" a="1"/>
  <c r="AU6" i="4" a="1"/>
  <c r="F7" i="4" a="1"/>
  <c r="N7" i="4" a="1"/>
  <c r="V7" i="4" a="1"/>
  <c r="AD7" i="4" a="1"/>
  <c r="AL7" i="4" a="1"/>
  <c r="AT7" i="4" a="1"/>
  <c r="E8" i="4" a="1"/>
  <c r="M8" i="4" a="1"/>
  <c r="U8" i="4" a="1"/>
  <c r="AC8" i="4" a="1"/>
  <c r="AK8" i="4" a="1"/>
  <c r="AS8" i="4" a="1"/>
  <c r="D9" i="4" a="1"/>
  <c r="L9" i="4" a="1"/>
  <c r="T9" i="4" a="1"/>
  <c r="AB9" i="4" a="1"/>
  <c r="AJ9" i="4" a="1"/>
  <c r="AR9" i="4" a="1"/>
  <c r="AZ9" i="4" a="1"/>
  <c r="K10" i="4" a="1"/>
  <c r="S10" i="4" a="1"/>
  <c r="AA10" i="4" a="1"/>
  <c r="AI10" i="4" a="1"/>
  <c r="AQ10" i="4" a="1"/>
  <c r="AY10" i="4" a="1"/>
  <c r="J11" i="4" a="1"/>
  <c r="R11" i="4" a="1"/>
  <c r="Z11" i="4" a="1"/>
  <c r="AH11" i="4" a="1"/>
  <c r="AP11" i="4" a="1"/>
  <c r="AX11" i="4" a="1"/>
  <c r="I12" i="4" a="1"/>
  <c r="Q12" i="4" a="1"/>
  <c r="Y12" i="4" a="1"/>
  <c r="AG12" i="4" a="1"/>
  <c r="AO12" i="4" a="1"/>
  <c r="AW12" i="4" a="1"/>
  <c r="H13" i="4" a="1"/>
  <c r="P13" i="4" a="1"/>
  <c r="X13" i="4" a="1"/>
  <c r="AF13" i="4" a="1"/>
  <c r="AN13" i="4" a="1"/>
  <c r="AV13" i="4" a="1"/>
  <c r="G14" i="4" a="1"/>
  <c r="O14" i="4" a="1"/>
  <c r="W14" i="4" a="1"/>
  <c r="AE14" i="4" a="1"/>
  <c r="AM14" i="4" a="1"/>
  <c r="AU14" i="4" a="1"/>
  <c r="F15" i="4" a="1"/>
  <c r="N15" i="4" a="1"/>
  <c r="V15" i="4" a="1"/>
  <c r="AD15" i="4" a="1"/>
  <c r="AL15" i="4" a="1"/>
  <c r="AT15" i="4" a="1"/>
  <c r="E16" i="4" a="1"/>
  <c r="M16" i="4" a="1"/>
  <c r="U16" i="4" a="1"/>
  <c r="AC16" i="4" a="1"/>
  <c r="AK16" i="4" a="1"/>
  <c r="AS16" i="4" a="1"/>
  <c r="K3" i="4" a="1"/>
  <c r="AO5" i="4" a="1"/>
  <c r="V8" i="4" a="1"/>
  <c r="AZ10" i="4" a="1"/>
  <c r="AG13" i="4" a="1"/>
  <c r="AH15" i="4" a="1"/>
  <c r="AL16" i="4" a="1"/>
  <c r="D17" i="4" a="1"/>
  <c r="L17" i="4" a="1"/>
  <c r="T17" i="4" a="1"/>
  <c r="AB17" i="4" a="1"/>
  <c r="AJ17" i="4" a="1"/>
  <c r="AZ17" i="4" a="1"/>
  <c r="AA18" i="4" a="1"/>
  <c r="AY18" i="4" a="1"/>
  <c r="Z19" i="4" a="1"/>
  <c r="AX19" i="4" a="1"/>
  <c r="AJ18" i="4" a="1"/>
  <c r="AY19" i="4" a="1"/>
  <c r="Z15" i="4" a="1"/>
  <c r="S3" i="4" a="1"/>
  <c r="AW5" i="4" a="1"/>
  <c r="AD8" i="4" a="1"/>
  <c r="K11" i="4" a="1"/>
  <c r="AO13" i="4" a="1"/>
  <c r="AM15" i="4" a="1"/>
  <c r="AN16" i="4" a="1"/>
  <c r="L18" i="4" a="1"/>
  <c r="K19" i="4" a="1"/>
  <c r="AQ19" i="4" a="1"/>
  <c r="F8" i="4" a="1"/>
  <c r="AA3" i="4" a="1"/>
  <c r="H6" i="4" a="1"/>
  <c r="AL8" i="4" a="1"/>
  <c r="S11" i="4" a="1"/>
  <c r="AW13" i="4" a="1"/>
  <c r="AP15" i="4" a="1"/>
  <c r="AO16" i="4" a="1"/>
  <c r="E17" i="4" a="1"/>
  <c r="M17" i="4" a="1"/>
  <c r="U17" i="4" a="1"/>
  <c r="AC17" i="4" a="1"/>
  <c r="AK17" i="4" a="1"/>
  <c r="AS17" i="4" a="1"/>
  <c r="D18" i="4" a="1"/>
  <c r="T18" i="4" a="1"/>
  <c r="AR18" i="4" a="1"/>
  <c r="AA19" i="4" a="1"/>
  <c r="AG16" i="4" a="1"/>
  <c r="AI3" i="4" a="1"/>
  <c r="P6" i="4" a="1"/>
  <c r="AT8" i="4" a="1"/>
  <c r="AA11" i="4" a="1"/>
  <c r="H14" i="4" a="1"/>
  <c r="AU15" i="4" a="1"/>
  <c r="AR16" i="4" a="1"/>
  <c r="F17" i="4" a="1"/>
  <c r="E18" i="4" a="1"/>
  <c r="U18" i="4" a="1"/>
  <c r="AK18" i="4" a="1"/>
  <c r="AS18" i="4" a="1"/>
  <c r="L19" i="4" a="1"/>
  <c r="AB19" i="4" a="1"/>
  <c r="AZ19" i="4" a="1"/>
  <c r="S17" i="4" a="1"/>
  <c r="AP18" i="4" a="1"/>
  <c r="AW19" i="4" a="1"/>
  <c r="AQ3" i="4" a="1"/>
  <c r="X6" i="4" a="1"/>
  <c r="E9" i="4" a="1"/>
  <c r="AI11" i="4" a="1"/>
  <c r="P14" i="4" a="1"/>
  <c r="AX15" i="4" a="1"/>
  <c r="AT16" i="4" a="1"/>
  <c r="N17" i="4" a="1"/>
  <c r="V17" i="4" a="1"/>
  <c r="AD17" i="4" a="1"/>
  <c r="AL17" i="4" a="1"/>
  <c r="AT17" i="4" a="1"/>
  <c r="M18" i="4" a="1"/>
  <c r="AC18" i="4" a="1"/>
  <c r="D19" i="4" a="1"/>
  <c r="AR19" i="4" a="1"/>
  <c r="I19" i="4" a="1"/>
  <c r="AY3" i="4" a="1"/>
  <c r="AF6" i="4" a="1"/>
  <c r="M9" i="4" a="1"/>
  <c r="AQ11" i="4" a="1"/>
  <c r="X14" i="4" a="1"/>
  <c r="F16" i="4" a="1"/>
  <c r="H19" i="4" a="1"/>
  <c r="J18" i="4" a="1"/>
  <c r="AO19" i="4" a="1"/>
  <c r="J4" i="4" a="1"/>
  <c r="AN6" i="4" a="1"/>
  <c r="U9" i="4" a="1"/>
  <c r="AY11" i="4" a="1"/>
  <c r="AF14" i="4" a="1"/>
  <c r="I16" i="4" a="1"/>
  <c r="AV16" i="4" a="1"/>
  <c r="G17" i="4" a="1"/>
  <c r="O17" i="4" a="1"/>
  <c r="W17" i="4" a="1"/>
  <c r="AE17" i="4" a="1"/>
  <c r="AM17" i="4" a="1"/>
  <c r="AU17" i="4" a="1"/>
  <c r="F18" i="4" a="1"/>
  <c r="N18" i="4" a="1"/>
  <c r="V18" i="4" a="1"/>
  <c r="AD18" i="4" a="1"/>
  <c r="AL18" i="4" a="1"/>
  <c r="AT18" i="4" a="1"/>
  <c r="E19" i="4" a="1"/>
  <c r="M19" i="4" a="1"/>
  <c r="U19" i="4" a="1"/>
  <c r="AC19" i="4" a="1"/>
  <c r="AK19" i="4" a="1"/>
  <c r="AS19" i="4" a="1"/>
  <c r="AF17" i="4" a="1"/>
  <c r="G18" i="4" a="1"/>
  <c r="AE18" i="4" a="1"/>
  <c r="AU18" i="4" a="1"/>
  <c r="N19" i="4" a="1"/>
  <c r="AL19" i="4" a="1"/>
  <c r="H18" i="4" a="1"/>
  <c r="AV18" i="4" a="1"/>
  <c r="O19" i="4" a="1"/>
  <c r="AG18" i="4" a="1"/>
  <c r="P19" i="4" a="1"/>
  <c r="AV19" i="4" a="1"/>
  <c r="AI17" i="4" a="1"/>
  <c r="AH18" i="4" a="1"/>
  <c r="AG19" i="4" a="1"/>
  <c r="R4" i="4" a="1"/>
  <c r="AV6" i="4" a="1"/>
  <c r="AC9" i="4" a="1"/>
  <c r="J12" i="4" a="1"/>
  <c r="AN14" i="4" a="1"/>
  <c r="N16" i="4" a="1"/>
  <c r="AV17" i="4" a="1"/>
  <c r="O18" i="4" a="1"/>
  <c r="AM18" i="4" a="1"/>
  <c r="F19" i="4" a="1"/>
  <c r="AD19" i="4" a="1"/>
  <c r="AT19" i="4" a="1"/>
  <c r="P18" i="4" a="1"/>
  <c r="G19" i="4" a="1"/>
  <c r="W19" i="4" a="1"/>
  <c r="AO18" i="4" a="1"/>
  <c r="AN19" i="4" a="1"/>
  <c r="AY17" i="4" a="1"/>
  <c r="Z18" i="4" a="1"/>
  <c r="Q19" i="4" a="1"/>
  <c r="Z4" i="4" a="1"/>
  <c r="G7" i="4" a="1"/>
  <c r="AK9" i="4" a="1"/>
  <c r="R12" i="4" a="1"/>
  <c r="AV14" i="4" a="1"/>
  <c r="Q16" i="4" a="1"/>
  <c r="AW16" i="4" a="1"/>
  <c r="H17" i="4" a="1"/>
  <c r="P17" i="4" a="1"/>
  <c r="X17" i="4" a="1"/>
  <c r="AN17" i="4" a="1"/>
  <c r="W18" i="4" a="1"/>
  <c r="V19" i="4" a="1"/>
  <c r="AN18" i="4" a="1"/>
  <c r="AM19" i="4" a="1"/>
  <c r="AW18" i="4" a="1"/>
  <c r="AQ17" i="4" a="1"/>
  <c r="Y19" i="4" a="1"/>
  <c r="AH4" i="4" a="1"/>
  <c r="O7" i="4" a="1"/>
  <c r="AS9" i="4" a="1"/>
  <c r="Z12" i="4" a="1"/>
  <c r="G15" i="4" a="1"/>
  <c r="T16" i="4" a="1"/>
  <c r="X18" i="4" a="1"/>
  <c r="AE19" i="4" a="1"/>
  <c r="AF19" i="4" a="1"/>
  <c r="K17" i="4" a="1"/>
  <c r="AP4" i="4" a="1"/>
  <c r="W7" i="4" a="1"/>
  <c r="D10" i="4" a="1"/>
  <c r="AH12" i="4" a="1"/>
  <c r="J15" i="4" a="1"/>
  <c r="V16" i="4" a="1"/>
  <c r="AX16" i="4" a="1"/>
  <c r="I17" i="4" a="1"/>
  <c r="Q17" i="4" a="1"/>
  <c r="Y17" i="4" a="1"/>
  <c r="AG17" i="4" a="1"/>
  <c r="AO17" i="4" a="1"/>
  <c r="AW17" i="4" a="1"/>
  <c r="AF18" i="4" a="1"/>
  <c r="AU19" i="4" a="1"/>
  <c r="AJ10" i="4" a="1"/>
  <c r="AX4" i="4" a="1"/>
  <c r="AE7" i="4" a="1"/>
  <c r="L10" i="4" a="1"/>
  <c r="AP12" i="4" a="1"/>
  <c r="O15" i="4" a="1"/>
  <c r="Y16" i="4" a="1"/>
  <c r="AA17" i="4" a="1"/>
  <c r="I5" i="4" a="1"/>
  <c r="AM7" i="4" a="1"/>
  <c r="T10" i="4" a="1"/>
  <c r="AX12" i="4" a="1"/>
  <c r="R15" i="4" a="1"/>
  <c r="AB16" i="4" a="1"/>
  <c r="AY16" i="4" a="1"/>
  <c r="J17" i="4" a="1"/>
  <c r="R17" i="4" a="1"/>
  <c r="Z17" i="4" a="1"/>
  <c r="AH17" i="4" a="1"/>
  <c r="AP17" i="4" a="1"/>
  <c r="AX17" i="4" a="1"/>
  <c r="I18" i="4" a="1"/>
  <c r="Q18" i="4" a="1"/>
  <c r="Y18" i="4" a="1"/>
  <c r="X19" i="4" a="1"/>
  <c r="R18" i="4" a="1"/>
  <c r="Q5" i="4" a="1"/>
  <c r="AU7" i="4" a="1"/>
  <c r="AB10" i="4" a="1"/>
  <c r="I13" i="4" a="1"/>
  <c r="W15" i="4" a="1"/>
  <c r="AD16" i="4" a="1"/>
  <c r="Y5" i="4" a="1"/>
  <c r="AZ16" i="4" a="1"/>
  <c r="AX18" i="4" a="1"/>
  <c r="AG5" i="4" a="1"/>
  <c r="N8" i="4" a="1"/>
  <c r="AR10" i="4" a="1"/>
  <c r="Y13" i="4" a="1"/>
  <c r="AE15" i="4" a="1"/>
  <c r="AJ16" i="4" a="1"/>
  <c r="AR17" i="4" a="1"/>
  <c r="K18" i="4" a="1"/>
  <c r="S18" i="4" a="1"/>
  <c r="AI18" i="4" a="1"/>
  <c r="AQ18" i="4" a="1"/>
  <c r="J19" i="4" a="1"/>
  <c r="R19" i="4" a="1"/>
  <c r="AH19" i="4" a="1"/>
  <c r="AP19" i="4" a="1"/>
  <c r="AB18" i="4" a="1"/>
  <c r="AZ18" i="4" a="1"/>
  <c r="S19" i="4" a="1"/>
  <c r="AI19" i="4" a="1"/>
  <c r="T19" i="4" a="1"/>
  <c r="AJ19" i="4" a="1"/>
  <c r="Q13" i="4" a="1"/>
  <c r="C4" i="4" a="1"/>
  <c r="C12" i="4" a="1"/>
  <c r="C5" i="4" a="1"/>
  <c r="C13" i="4" a="1"/>
  <c r="C8" i="4" a="1"/>
  <c r="C10" i="4" a="1"/>
  <c r="C6" i="4" a="1"/>
  <c r="C18" i="4" a="1"/>
  <c r="C14" i="4" a="1"/>
  <c r="C15" i="4" a="1"/>
  <c r="C17" i="4" a="1"/>
  <c r="C19" i="4" a="1"/>
  <c r="C7" i="4" a="1"/>
  <c r="C11" i="4" a="1"/>
  <c r="C16" i="4" a="1"/>
  <c r="C9" i="4" a="1"/>
  <c r="C3" i="4" a="1"/>
  <c r="D45" i="3" a="1"/>
  <c r="L45" i="3" a="1"/>
  <c r="T45" i="3" a="1"/>
  <c r="AB45" i="3" a="1"/>
  <c r="AJ45" i="3" a="1"/>
  <c r="AR45" i="3" a="1"/>
  <c r="AZ45" i="3" a="1"/>
  <c r="K46" i="3" a="1"/>
  <c r="S46" i="3" a="1"/>
  <c r="AA46" i="3" a="1"/>
  <c r="AI46" i="3" a="1"/>
  <c r="AQ46" i="3" a="1"/>
  <c r="AY46" i="3" a="1"/>
  <c r="J47" i="3" a="1"/>
  <c r="R47" i="3" a="1"/>
  <c r="Z47" i="3" a="1"/>
  <c r="AH47" i="3" a="1"/>
  <c r="AP47" i="3" a="1"/>
  <c r="AX47" i="3" a="1"/>
  <c r="I48" i="3" a="1"/>
  <c r="Q48" i="3" a="1"/>
  <c r="Y48" i="3" a="1"/>
  <c r="AG48" i="3" a="1"/>
  <c r="AO48" i="3" a="1"/>
  <c r="AW48" i="3" a="1"/>
  <c r="H49" i="3" a="1"/>
  <c r="P49" i="3" a="1"/>
  <c r="X49" i="3" a="1"/>
  <c r="AF49" i="3" a="1"/>
  <c r="AN49" i="3" a="1"/>
  <c r="AV49" i="3" a="1"/>
  <c r="G50" i="3" a="1"/>
  <c r="O50" i="3" a="1"/>
  <c r="W50" i="3" a="1"/>
  <c r="AE50" i="3" a="1"/>
  <c r="AM50" i="3" a="1"/>
  <c r="AU50" i="3" a="1"/>
  <c r="F51" i="3" a="1"/>
  <c r="N51" i="3" a="1"/>
  <c r="V51" i="3" a="1"/>
  <c r="AD51" i="3" a="1"/>
  <c r="AL51" i="3" a="1"/>
  <c r="AT51" i="3" a="1"/>
  <c r="E52" i="3" a="1"/>
  <c r="M52" i="3" a="1"/>
  <c r="U52" i="3" a="1"/>
  <c r="AC52" i="3" a="1"/>
  <c r="AK52" i="3" a="1"/>
  <c r="AS52" i="3" a="1"/>
  <c r="D53" i="3" a="1"/>
  <c r="L53" i="3" a="1"/>
  <c r="T53" i="3" a="1"/>
  <c r="AB53" i="3" a="1"/>
  <c r="AJ53" i="3" a="1"/>
  <c r="E45" i="3" a="1"/>
  <c r="M45" i="3" a="1"/>
  <c r="U45" i="3" a="1"/>
  <c r="AC45" i="3" a="1"/>
  <c r="AK45" i="3" a="1"/>
  <c r="AS45" i="3" a="1"/>
  <c r="D46" i="3" a="1"/>
  <c r="L46" i="3" a="1"/>
  <c r="T46" i="3" a="1"/>
  <c r="AB46" i="3" a="1"/>
  <c r="AJ46" i="3" a="1"/>
  <c r="AR46" i="3" a="1"/>
  <c r="AZ46" i="3" a="1"/>
  <c r="K47" i="3" a="1"/>
  <c r="S47" i="3" a="1"/>
  <c r="AA47" i="3" a="1"/>
  <c r="AI47" i="3" a="1"/>
  <c r="AQ47" i="3" a="1"/>
  <c r="AY47" i="3" a="1"/>
  <c r="J48" i="3" a="1"/>
  <c r="R48" i="3" a="1"/>
  <c r="Z48" i="3" a="1"/>
  <c r="AH48" i="3" a="1"/>
  <c r="AP48" i="3" a="1"/>
  <c r="AX48" i="3" a="1"/>
  <c r="I49" i="3" a="1"/>
  <c r="Q49" i="3" a="1"/>
  <c r="Y49" i="3" a="1"/>
  <c r="AG49" i="3" a="1"/>
  <c r="AO49" i="3" a="1"/>
  <c r="AW49" i="3" a="1"/>
  <c r="H50" i="3" a="1"/>
  <c r="P50" i="3" a="1"/>
  <c r="X50" i="3" a="1"/>
  <c r="AF50" i="3" a="1"/>
  <c r="AN50" i="3" a="1"/>
  <c r="AV50" i="3" a="1"/>
  <c r="G51" i="3" a="1"/>
  <c r="O51" i="3" a="1"/>
  <c r="W51" i="3" a="1"/>
  <c r="AE51" i="3" a="1"/>
  <c r="AM51" i="3" a="1"/>
  <c r="AU51" i="3" a="1"/>
  <c r="F52" i="3" a="1"/>
  <c r="N52" i="3" a="1"/>
  <c r="V52" i="3" a="1"/>
  <c r="AD52" i="3" a="1"/>
  <c r="AL52" i="3" a="1"/>
  <c r="AT52" i="3" a="1"/>
  <c r="E53" i="3" a="1"/>
  <c r="M53" i="3" a="1"/>
  <c r="U53" i="3" a="1"/>
  <c r="AC53" i="3" a="1"/>
  <c r="AK53" i="3" a="1"/>
  <c r="AS53" i="3" a="1"/>
  <c r="D54" i="3" a="1"/>
  <c r="L54" i="3" a="1"/>
  <c r="T54" i="3" a="1"/>
  <c r="AB54" i="3" a="1"/>
  <c r="AJ54" i="3" a="1"/>
  <c r="AR54" i="3" a="1"/>
  <c r="AZ54" i="3" a="1"/>
  <c r="K55" i="3" a="1"/>
  <c r="S55" i="3" a="1"/>
  <c r="AA55" i="3" a="1"/>
  <c r="AI55" i="3" a="1"/>
  <c r="AQ55" i="3" a="1"/>
  <c r="AY55" i="3" a="1"/>
  <c r="J56" i="3" a="1"/>
  <c r="R56" i="3" a="1"/>
  <c r="Z56" i="3" a="1"/>
  <c r="AH56" i="3" a="1"/>
  <c r="AP56" i="3" a="1"/>
  <c r="AX56" i="3" a="1"/>
  <c r="I57" i="3" a="1"/>
  <c r="Q57" i="3" a="1"/>
  <c r="Y57" i="3" a="1"/>
  <c r="AG57" i="3" a="1"/>
  <c r="AO57" i="3" a="1"/>
  <c r="AW57" i="3" a="1"/>
  <c r="H58" i="3" a="1"/>
  <c r="P58" i="3" a="1"/>
  <c r="X58" i="3" a="1"/>
  <c r="AF58" i="3" a="1"/>
  <c r="AN58" i="3" a="1"/>
  <c r="AV58" i="3" a="1"/>
  <c r="F45" i="3" a="1"/>
  <c r="N45" i="3" a="1"/>
  <c r="V45" i="3" a="1"/>
  <c r="AD45" i="3" a="1"/>
  <c r="AL45" i="3" a="1"/>
  <c r="AT45" i="3" a="1"/>
  <c r="E46" i="3" a="1"/>
  <c r="M46" i="3" a="1"/>
  <c r="U46" i="3" a="1"/>
  <c r="AC46" i="3" a="1"/>
  <c r="AK46" i="3" a="1"/>
  <c r="AS46" i="3" a="1"/>
  <c r="D47" i="3" a="1"/>
  <c r="L47" i="3" a="1"/>
  <c r="T47" i="3" a="1"/>
  <c r="AB47" i="3" a="1"/>
  <c r="AJ47" i="3" a="1"/>
  <c r="AR47" i="3" a="1"/>
  <c r="AZ47" i="3" a="1"/>
  <c r="K48" i="3" a="1"/>
  <c r="S48" i="3" a="1"/>
  <c r="AA48" i="3" a="1"/>
  <c r="AI48" i="3" a="1"/>
  <c r="AQ48" i="3" a="1"/>
  <c r="AY48" i="3" a="1"/>
  <c r="J49" i="3" a="1"/>
  <c r="R49" i="3" a="1"/>
  <c r="Z49" i="3" a="1"/>
  <c r="AH49" i="3" a="1"/>
  <c r="AP49" i="3" a="1"/>
  <c r="AX49" i="3" a="1"/>
  <c r="I50" i="3" a="1"/>
  <c r="Q50" i="3" a="1"/>
  <c r="Y50" i="3" a="1"/>
  <c r="AG50" i="3" a="1"/>
  <c r="AO50" i="3" a="1"/>
  <c r="AW50" i="3" a="1"/>
  <c r="H51" i="3" a="1"/>
  <c r="P51" i="3" a="1"/>
  <c r="X51" i="3" a="1"/>
  <c r="AF51" i="3" a="1"/>
  <c r="AN51" i="3" a="1"/>
  <c r="AV51" i="3" a="1"/>
  <c r="G52" i="3" a="1"/>
  <c r="O52" i="3" a="1"/>
  <c r="W52" i="3" a="1"/>
  <c r="AE52" i="3" a="1"/>
  <c r="AM52" i="3" a="1"/>
  <c r="AU52" i="3" a="1"/>
  <c r="F53" i="3" a="1"/>
  <c r="N53" i="3" a="1"/>
  <c r="V53" i="3" a="1"/>
  <c r="AD53" i="3" a="1"/>
  <c r="AL53" i="3" a="1"/>
  <c r="AT53" i="3" a="1"/>
  <c r="E54" i="3" a="1"/>
  <c r="M54" i="3" a="1"/>
  <c r="U54" i="3" a="1"/>
  <c r="AC54" i="3" a="1"/>
  <c r="AK54" i="3" a="1"/>
  <c r="AS54" i="3" a="1"/>
  <c r="D55" i="3" a="1"/>
  <c r="L55" i="3" a="1"/>
  <c r="T55" i="3" a="1"/>
  <c r="AB55" i="3" a="1"/>
  <c r="AJ55" i="3" a="1"/>
  <c r="AR55" i="3" a="1"/>
  <c r="AZ55" i="3" a="1"/>
  <c r="K56" i="3" a="1"/>
  <c r="S56" i="3" a="1"/>
  <c r="AA56" i="3" a="1"/>
  <c r="AI56" i="3" a="1"/>
  <c r="AQ56" i="3" a="1"/>
  <c r="AY56" i="3" a="1"/>
  <c r="J57" i="3" a="1"/>
  <c r="R57" i="3" a="1"/>
  <c r="Z57" i="3" a="1"/>
  <c r="AH57" i="3" a="1"/>
  <c r="AP57" i="3" a="1"/>
  <c r="AX57" i="3" a="1"/>
  <c r="I58" i="3" a="1"/>
  <c r="Q58" i="3" a="1"/>
  <c r="Y58" i="3" a="1"/>
  <c r="AG58" i="3" a="1"/>
  <c r="AO58" i="3" a="1"/>
  <c r="AW58" i="3" a="1"/>
  <c r="G45" i="3" a="1"/>
  <c r="O45" i="3" a="1"/>
  <c r="W45" i="3" a="1"/>
  <c r="AE45" i="3" a="1"/>
  <c r="AM45" i="3" a="1"/>
  <c r="AU45" i="3" a="1"/>
  <c r="F46" i="3" a="1"/>
  <c r="N46" i="3" a="1"/>
  <c r="V46" i="3" a="1"/>
  <c r="AD46" i="3" a="1"/>
  <c r="AL46" i="3" a="1"/>
  <c r="AT46" i="3" a="1"/>
  <c r="E47" i="3" a="1"/>
  <c r="M47" i="3" a="1"/>
  <c r="U47" i="3" a="1"/>
  <c r="AC47" i="3" a="1"/>
  <c r="AK47" i="3" a="1"/>
  <c r="AS47" i="3" a="1"/>
  <c r="D48" i="3" a="1"/>
  <c r="L48" i="3" a="1"/>
  <c r="T48" i="3" a="1"/>
  <c r="AB48" i="3" a="1"/>
  <c r="AJ48" i="3" a="1"/>
  <c r="AR48" i="3" a="1"/>
  <c r="AZ48" i="3" a="1"/>
  <c r="K49" i="3" a="1"/>
  <c r="S49" i="3" a="1"/>
  <c r="AA49" i="3" a="1"/>
  <c r="AI49" i="3" a="1"/>
  <c r="AQ49" i="3" a="1"/>
  <c r="AY49" i="3" a="1"/>
  <c r="J50" i="3" a="1"/>
  <c r="R50" i="3" a="1"/>
  <c r="Z50" i="3" a="1"/>
  <c r="AH50" i="3" a="1"/>
  <c r="AP50" i="3" a="1"/>
  <c r="AX50" i="3" a="1"/>
  <c r="I51" i="3" a="1"/>
  <c r="Q51" i="3" a="1"/>
  <c r="Y51" i="3" a="1"/>
  <c r="AG51" i="3" a="1"/>
  <c r="AO51" i="3" a="1"/>
  <c r="AW51" i="3" a="1"/>
  <c r="H52" i="3" a="1"/>
  <c r="P52" i="3" a="1"/>
  <c r="X52" i="3" a="1"/>
  <c r="AF52" i="3" a="1"/>
  <c r="AN52" i="3" a="1"/>
  <c r="AV52" i="3" a="1"/>
  <c r="G53" i="3" a="1"/>
  <c r="O53" i="3" a="1"/>
  <c r="W53" i="3" a="1"/>
  <c r="AE53" i="3" a="1"/>
  <c r="AM53" i="3" a="1"/>
  <c r="AU53" i="3" a="1"/>
  <c r="F54" i="3" a="1"/>
  <c r="N54" i="3" a="1"/>
  <c r="V54" i="3" a="1"/>
  <c r="AD54" i="3" a="1"/>
  <c r="AL54" i="3" a="1"/>
  <c r="AT54" i="3" a="1"/>
  <c r="E55" i="3" a="1"/>
  <c r="M55" i="3" a="1"/>
  <c r="U55" i="3" a="1"/>
  <c r="AC55" i="3" a="1"/>
  <c r="AK55" i="3" a="1"/>
  <c r="AS55" i="3" a="1"/>
  <c r="D56" i="3" a="1"/>
  <c r="L56" i="3" a="1"/>
  <c r="T56" i="3" a="1"/>
  <c r="AB56" i="3" a="1"/>
  <c r="AJ56" i="3" a="1"/>
  <c r="AR56" i="3" a="1"/>
  <c r="AZ56" i="3" a="1"/>
  <c r="K57" i="3" a="1"/>
  <c r="S57" i="3" a="1"/>
  <c r="AA57" i="3" a="1"/>
  <c r="AI57" i="3" a="1"/>
  <c r="AQ57" i="3" a="1"/>
  <c r="AY57" i="3" a="1"/>
  <c r="J58" i="3" a="1"/>
  <c r="R58" i="3" a="1"/>
  <c r="Z58" i="3" a="1"/>
  <c r="AH58" i="3" a="1"/>
  <c r="AP58" i="3" a="1"/>
  <c r="AX58" i="3" a="1"/>
  <c r="H45" i="3" a="1"/>
  <c r="P45" i="3" a="1"/>
  <c r="X45" i="3" a="1"/>
  <c r="AF45" i="3" a="1"/>
  <c r="AN45" i="3" a="1"/>
  <c r="AV45" i="3" a="1"/>
  <c r="G46" i="3" a="1"/>
  <c r="O46" i="3" a="1"/>
  <c r="W46" i="3" a="1"/>
  <c r="AE46" i="3" a="1"/>
  <c r="AM46" i="3" a="1"/>
  <c r="AU46" i="3" a="1"/>
  <c r="F47" i="3" a="1"/>
  <c r="N47" i="3" a="1"/>
  <c r="V47" i="3" a="1"/>
  <c r="AD47" i="3" a="1"/>
  <c r="AL47" i="3" a="1"/>
  <c r="AT47" i="3" a="1"/>
  <c r="E48" i="3" a="1"/>
  <c r="M48" i="3" a="1"/>
  <c r="U48" i="3" a="1"/>
  <c r="AC48" i="3" a="1"/>
  <c r="AK48" i="3" a="1"/>
  <c r="AS48" i="3" a="1"/>
  <c r="D49" i="3" a="1"/>
  <c r="L49" i="3" a="1"/>
  <c r="T49" i="3" a="1"/>
  <c r="AB49" i="3" a="1"/>
  <c r="AJ49" i="3" a="1"/>
  <c r="AR49" i="3" a="1"/>
  <c r="AZ49" i="3" a="1"/>
  <c r="K50" i="3" a="1"/>
  <c r="S50" i="3" a="1"/>
  <c r="AA50" i="3" a="1"/>
  <c r="AI50" i="3" a="1"/>
  <c r="AQ50" i="3" a="1"/>
  <c r="AY50" i="3" a="1"/>
  <c r="J51" i="3" a="1"/>
  <c r="R51" i="3" a="1"/>
  <c r="Z51" i="3" a="1"/>
  <c r="AH51" i="3" a="1"/>
  <c r="AP51" i="3" a="1"/>
  <c r="AX51" i="3" a="1"/>
  <c r="I52" i="3" a="1"/>
  <c r="Q52" i="3" a="1"/>
  <c r="Y52" i="3" a="1"/>
  <c r="AG52" i="3" a="1"/>
  <c r="AO52" i="3" a="1"/>
  <c r="AW52" i="3" a="1"/>
  <c r="H53" i="3" a="1"/>
  <c r="P53" i="3" a="1"/>
  <c r="X53" i="3" a="1"/>
  <c r="AF53" i="3" a="1"/>
  <c r="AN53" i="3" a="1"/>
  <c r="AV53" i="3" a="1"/>
  <c r="G54" i="3" a="1"/>
  <c r="O54" i="3" a="1"/>
  <c r="W54" i="3" a="1"/>
  <c r="AE54" i="3" a="1"/>
  <c r="AM54" i="3" a="1"/>
  <c r="AU54" i="3" a="1"/>
  <c r="F55" i="3" a="1"/>
  <c r="N55" i="3" a="1"/>
  <c r="V55" i="3" a="1"/>
  <c r="AD55" i="3" a="1"/>
  <c r="AL55" i="3" a="1"/>
  <c r="AT55" i="3" a="1"/>
  <c r="E56" i="3" a="1"/>
  <c r="M56" i="3" a="1"/>
  <c r="U56" i="3" a="1"/>
  <c r="AC56" i="3" a="1"/>
  <c r="I45" i="3" a="1"/>
  <c r="Q45" i="3" a="1"/>
  <c r="Y45" i="3" a="1"/>
  <c r="AG45" i="3" a="1"/>
  <c r="AO45" i="3" a="1"/>
  <c r="AW45" i="3" a="1"/>
  <c r="H46" i="3" a="1"/>
  <c r="P46" i="3" a="1"/>
  <c r="X46" i="3" a="1"/>
  <c r="AF46" i="3" a="1"/>
  <c r="AN46" i="3" a="1"/>
  <c r="AV46" i="3" a="1"/>
  <c r="G47" i="3" a="1"/>
  <c r="O47" i="3" a="1"/>
  <c r="W47" i="3" a="1"/>
  <c r="AE47" i="3" a="1"/>
  <c r="AM47" i="3" a="1"/>
  <c r="AU47" i="3" a="1"/>
  <c r="F48" i="3" a="1"/>
  <c r="N48" i="3" a="1"/>
  <c r="V48" i="3" a="1"/>
  <c r="AD48" i="3" a="1"/>
  <c r="AL48" i="3" a="1"/>
  <c r="AT48" i="3" a="1"/>
  <c r="E49" i="3" a="1"/>
  <c r="M49" i="3" a="1"/>
  <c r="U49" i="3" a="1"/>
  <c r="AC49" i="3" a="1"/>
  <c r="AK49" i="3" a="1"/>
  <c r="AS49" i="3" a="1"/>
  <c r="D50" i="3" a="1"/>
  <c r="L50" i="3" a="1"/>
  <c r="T50" i="3" a="1"/>
  <c r="AB50" i="3" a="1"/>
  <c r="AJ50" i="3" a="1"/>
  <c r="AR50" i="3" a="1"/>
  <c r="AZ50" i="3" a="1"/>
  <c r="K51" i="3" a="1"/>
  <c r="S51" i="3" a="1"/>
  <c r="AA51" i="3" a="1"/>
  <c r="AI51" i="3" a="1"/>
  <c r="AQ51" i="3" a="1"/>
  <c r="AY51" i="3" a="1"/>
  <c r="J52" i="3" a="1"/>
  <c r="R52" i="3" a="1"/>
  <c r="Z52" i="3" a="1"/>
  <c r="AH52" i="3" a="1"/>
  <c r="AP52" i="3" a="1"/>
  <c r="AX52" i="3" a="1"/>
  <c r="I53" i="3" a="1"/>
  <c r="Q53" i="3" a="1"/>
  <c r="Y53" i="3" a="1"/>
  <c r="AG53" i="3" a="1"/>
  <c r="J45" i="3" a="1"/>
  <c r="R45" i="3" a="1"/>
  <c r="Z45" i="3" a="1"/>
  <c r="AH45" i="3" a="1"/>
  <c r="AP45" i="3" a="1"/>
  <c r="AX45" i="3" a="1"/>
  <c r="I46" i="3" a="1"/>
  <c r="Q46" i="3" a="1"/>
  <c r="Y46" i="3" a="1"/>
  <c r="AG46" i="3" a="1"/>
  <c r="AO46" i="3" a="1"/>
  <c r="AW46" i="3" a="1"/>
  <c r="H47" i="3" a="1"/>
  <c r="P47" i="3" a="1"/>
  <c r="X47" i="3" a="1"/>
  <c r="AF47" i="3" a="1"/>
  <c r="AN47" i="3" a="1"/>
  <c r="AV47" i="3" a="1"/>
  <c r="G48" i="3" a="1"/>
  <c r="O48" i="3" a="1"/>
  <c r="W48" i="3" a="1"/>
  <c r="AE48" i="3" a="1"/>
  <c r="AM48" i="3" a="1"/>
  <c r="AU48" i="3" a="1"/>
  <c r="F49" i="3" a="1"/>
  <c r="N49" i="3" a="1"/>
  <c r="V49" i="3" a="1"/>
  <c r="AD49" i="3" a="1"/>
  <c r="AL49" i="3" a="1"/>
  <c r="AT49" i="3" a="1"/>
  <c r="E50" i="3" a="1"/>
  <c r="M50" i="3" a="1"/>
  <c r="U50" i="3" a="1"/>
  <c r="AC50" i="3" a="1"/>
  <c r="AK50" i="3" a="1"/>
  <c r="AS50" i="3" a="1"/>
  <c r="D51" i="3" a="1"/>
  <c r="L51" i="3" a="1"/>
  <c r="T51" i="3" a="1"/>
  <c r="AB51" i="3" a="1"/>
  <c r="AJ51" i="3" a="1"/>
  <c r="AR51" i="3" a="1"/>
  <c r="AZ51" i="3" a="1"/>
  <c r="K52" i="3" a="1"/>
  <c r="S52" i="3" a="1"/>
  <c r="AA52" i="3" a="1"/>
  <c r="AI52" i="3" a="1"/>
  <c r="AQ52" i="3" a="1"/>
  <c r="AY52" i="3" a="1"/>
  <c r="J53" i="3" a="1"/>
  <c r="R53" i="3" a="1"/>
  <c r="Z53" i="3" a="1"/>
  <c r="AH53" i="3" a="1"/>
  <c r="AP53" i="3" a="1"/>
  <c r="AX53" i="3" a="1"/>
  <c r="I54" i="3" a="1"/>
  <c r="Q54" i="3" a="1"/>
  <c r="Y54" i="3" a="1"/>
  <c r="AG54" i="3" a="1"/>
  <c r="AO54" i="3" a="1"/>
  <c r="AW54" i="3" a="1"/>
  <c r="H55" i="3" a="1"/>
  <c r="P55" i="3" a="1"/>
  <c r="X55" i="3" a="1"/>
  <c r="AF55" i="3" a="1"/>
  <c r="AN55" i="3" a="1"/>
  <c r="AV55" i="3" a="1"/>
  <c r="G56" i="3" a="1"/>
  <c r="O56" i="3" a="1"/>
  <c r="W56" i="3" a="1"/>
  <c r="AE56" i="3" a="1"/>
  <c r="AM56" i="3" a="1"/>
  <c r="AU56" i="3" a="1"/>
  <c r="F57" i="3" a="1"/>
  <c r="N57" i="3" a="1"/>
  <c r="V57" i="3" a="1"/>
  <c r="AD57" i="3" a="1"/>
  <c r="AL57" i="3" a="1"/>
  <c r="AT57" i="3" a="1"/>
  <c r="E58" i="3" a="1"/>
  <c r="M58" i="3" a="1"/>
  <c r="U58" i="3" a="1"/>
  <c r="AC58" i="3" a="1"/>
  <c r="AK58" i="3" a="1"/>
  <c r="AS58" i="3" a="1"/>
  <c r="D59" i="3" a="1"/>
  <c r="K45" i="3" a="1"/>
  <c r="Z46" i="3" a="1"/>
  <c r="AO47" i="3" a="1"/>
  <c r="G49" i="3" a="1"/>
  <c r="V50" i="3" a="1"/>
  <c r="AK51" i="3" a="1"/>
  <c r="AZ52" i="3" a="1"/>
  <c r="H57" i="3" a="1"/>
  <c r="AJ57" i="3" a="1"/>
  <c r="L58" i="3" a="1"/>
  <c r="AL58" i="3" a="1"/>
  <c r="AF54" i="3" a="1"/>
  <c r="AZ53" i="3" a="1"/>
  <c r="AI54" i="3" a="1"/>
  <c r="R55" i="3" a="1"/>
  <c r="AX55" i="3" a="1"/>
  <c r="AG56" i="3" a="1"/>
  <c r="L57" i="3" a="1"/>
  <c r="AK57" i="3" a="1"/>
  <c r="N58" i="3" a="1"/>
  <c r="E59" i="3" a="1"/>
  <c r="M59" i="3" a="1"/>
  <c r="U59" i="3" a="1"/>
  <c r="AC59" i="3" a="1"/>
  <c r="AK59" i="3" a="1"/>
  <c r="AS59" i="3" a="1"/>
  <c r="D60" i="3" a="1"/>
  <c r="L60" i="3" a="1"/>
  <c r="T60" i="3" a="1"/>
  <c r="AB60" i="3" a="1"/>
  <c r="AJ60" i="3" a="1"/>
  <c r="AR60" i="3" a="1"/>
  <c r="AZ60" i="3" a="1"/>
  <c r="K61" i="3" a="1"/>
  <c r="S61" i="3" a="1"/>
  <c r="AA61" i="3" a="1"/>
  <c r="AI61" i="3" a="1"/>
  <c r="AQ61" i="3" a="1"/>
  <c r="AY61" i="3" a="1"/>
  <c r="AC57" i="3" a="1"/>
  <c r="AY58" i="3" a="1"/>
  <c r="AC51" i="3" a="1"/>
  <c r="S45" i="3" a="1"/>
  <c r="AH46" i="3" a="1"/>
  <c r="AW47" i="3" a="1"/>
  <c r="O49" i="3" a="1"/>
  <c r="AD50" i="3" a="1"/>
  <c r="AS51" i="3" a="1"/>
  <c r="K53" i="3" a="1"/>
  <c r="H54" i="3" a="1"/>
  <c r="AN54" i="3" a="1"/>
  <c r="W55" i="3" a="1"/>
  <c r="F56" i="3" a="1"/>
  <c r="AK56" i="3" a="1"/>
  <c r="M57" i="3" a="1"/>
  <c r="AM57" i="3" a="1"/>
  <c r="AM58" i="3" a="1"/>
  <c r="F58" i="3" a="1"/>
  <c r="G57" i="3" a="1"/>
  <c r="J54" i="3" a="1"/>
  <c r="AP54" i="3" a="1"/>
  <c r="Y55" i="3" a="1"/>
  <c r="H56" i="3" a="1"/>
  <c r="AL56" i="3" a="1"/>
  <c r="O57" i="3" a="1"/>
  <c r="O58" i="3" a="1"/>
  <c r="AQ58" i="3" a="1"/>
  <c r="F59" i="3" a="1"/>
  <c r="N59" i="3" a="1"/>
  <c r="V59" i="3" a="1"/>
  <c r="AD59" i="3" a="1"/>
  <c r="AL59" i="3" a="1"/>
  <c r="AT59" i="3" a="1"/>
  <c r="E60" i="3" a="1"/>
  <c r="M60" i="3" a="1"/>
  <c r="U60" i="3" a="1"/>
  <c r="AC60" i="3" a="1"/>
  <c r="AK60" i="3" a="1"/>
  <c r="AS60" i="3" a="1"/>
  <c r="D61" i="3" a="1"/>
  <c r="L61" i="3" a="1"/>
  <c r="T61" i="3" a="1"/>
  <c r="AB61" i="3" a="1"/>
  <c r="AJ61" i="3" a="1"/>
  <c r="AR61" i="3" a="1"/>
  <c r="AZ61" i="3" a="1"/>
  <c r="D57" i="3" a="1"/>
  <c r="AZ58" i="3" a="1"/>
  <c r="AA45" i="3" a="1"/>
  <c r="AP46" i="3" a="1"/>
  <c r="H48" i="3" a="1"/>
  <c r="W49" i="3" a="1"/>
  <c r="AL50" i="3" a="1"/>
  <c r="D52" i="3" a="1"/>
  <c r="S53" i="3" a="1"/>
  <c r="AN56" i="3" a="1"/>
  <c r="AN57" i="3" a="1"/>
  <c r="S58" i="3" a="1"/>
  <c r="AR58" i="3" a="1"/>
  <c r="AU55" i="3" a="1"/>
  <c r="K54" i="3" a="1"/>
  <c r="AQ54" i="3" a="1"/>
  <c r="Z55" i="3" a="1"/>
  <c r="I56" i="3" a="1"/>
  <c r="P57" i="3" a="1"/>
  <c r="AR57" i="3" a="1"/>
  <c r="T58" i="3" a="1"/>
  <c r="AT58" i="3" a="1"/>
  <c r="G59" i="3" a="1"/>
  <c r="O59" i="3" a="1"/>
  <c r="W59" i="3" a="1"/>
  <c r="AE59" i="3" a="1"/>
  <c r="AM59" i="3" a="1"/>
  <c r="AU59" i="3" a="1"/>
  <c r="F60" i="3" a="1"/>
  <c r="N60" i="3" a="1"/>
  <c r="V60" i="3" a="1"/>
  <c r="AD60" i="3" a="1"/>
  <c r="AL60" i="3" a="1"/>
  <c r="AT60" i="3" a="1"/>
  <c r="E61" i="3" a="1"/>
  <c r="M61" i="3" a="1"/>
  <c r="U61" i="3" a="1"/>
  <c r="AC61" i="3" a="1"/>
  <c r="AK61" i="3" a="1"/>
  <c r="AS61" i="3" a="1"/>
  <c r="AJ52" i="3" a="1"/>
  <c r="AI45" i="3" a="1"/>
  <c r="AX46" i="3" a="1"/>
  <c r="P48" i="3" a="1"/>
  <c r="AE49" i="3" a="1"/>
  <c r="AT50" i="3" a="1"/>
  <c r="L52" i="3" a="1"/>
  <c r="AA53" i="3" a="1"/>
  <c r="P54" i="3" a="1"/>
  <c r="AV54" i="3" a="1"/>
  <c r="AE55" i="3" a="1"/>
  <c r="N56" i="3" a="1"/>
  <c r="AO56" i="3" a="1"/>
  <c r="T57" i="3" a="1"/>
  <c r="AS57" i="3" a="1"/>
  <c r="V58" i="3" a="1"/>
  <c r="U51" i="3" a="1"/>
  <c r="G58" i="3" a="1"/>
  <c r="R54" i="3" a="1"/>
  <c r="AX54" i="3" a="1"/>
  <c r="AG55" i="3" a="1"/>
  <c r="P56" i="3" a="1"/>
  <c r="AS56" i="3" a="1"/>
  <c r="U57" i="3" a="1"/>
  <c r="AU57" i="3" a="1"/>
  <c r="AU58" i="3" a="1"/>
  <c r="H59" i="3" a="1"/>
  <c r="P59" i="3" a="1"/>
  <c r="X59" i="3" a="1"/>
  <c r="AF59" i="3" a="1"/>
  <c r="AN59" i="3" a="1"/>
  <c r="AV59" i="3" a="1"/>
  <c r="G60" i="3" a="1"/>
  <c r="O60" i="3" a="1"/>
  <c r="W60" i="3" a="1"/>
  <c r="AE60" i="3" a="1"/>
  <c r="AM60" i="3" a="1"/>
  <c r="AU60" i="3" a="1"/>
  <c r="F61" i="3" a="1"/>
  <c r="N61" i="3" a="1"/>
  <c r="V61" i="3" a="1"/>
  <c r="AD61" i="3" a="1"/>
  <c r="AL61" i="3" a="1"/>
  <c r="AT61" i="3" a="1"/>
  <c r="AN48" i="3" a="1"/>
  <c r="AW53" i="3" a="1"/>
  <c r="AQ45" i="3" a="1"/>
  <c r="I47" i="3" a="1"/>
  <c r="X48" i="3" a="1"/>
  <c r="AM49" i="3" a="1"/>
  <c r="E51" i="3" a="1"/>
  <c r="T52" i="3" a="1"/>
  <c r="AI53" i="3" a="1"/>
  <c r="AT56" i="3" a="1"/>
  <c r="W57" i="3" a="1"/>
  <c r="W58" i="3" a="1"/>
  <c r="Y47" i="3" a="1"/>
  <c r="S54" i="3" a="1"/>
  <c r="AY54" i="3" a="1"/>
  <c r="AH55" i="3" a="1"/>
  <c r="Q56" i="3" a="1"/>
  <c r="AV56" i="3" a="1"/>
  <c r="AV57" i="3" a="1"/>
  <c r="AA58" i="3" a="1"/>
  <c r="I59" i="3" a="1"/>
  <c r="Q59" i="3" a="1"/>
  <c r="Y59" i="3" a="1"/>
  <c r="AG59" i="3" a="1"/>
  <c r="AO59" i="3" a="1"/>
  <c r="AW59" i="3" a="1"/>
  <c r="H60" i="3" a="1"/>
  <c r="P60" i="3" a="1"/>
  <c r="X60" i="3" a="1"/>
  <c r="AF60" i="3" a="1"/>
  <c r="AN60" i="3" a="1"/>
  <c r="AV60" i="3" a="1"/>
  <c r="G61" i="3" a="1"/>
  <c r="O61" i="3" a="1"/>
  <c r="W61" i="3" a="1"/>
  <c r="AE61" i="3" a="1"/>
  <c r="AM61" i="3" a="1"/>
  <c r="AU61" i="3" a="1"/>
  <c r="O55" i="3" a="1"/>
  <c r="AY45" i="3" a="1"/>
  <c r="Q47" i="3" a="1"/>
  <c r="AF48" i="3" a="1"/>
  <c r="AU49" i="3" a="1"/>
  <c r="M51" i="3" a="1"/>
  <c r="AB52" i="3" a="1"/>
  <c r="AO53" i="3" a="1"/>
  <c r="X54" i="3" a="1"/>
  <c r="G55" i="3" a="1"/>
  <c r="AM55" i="3" a="1"/>
  <c r="V56" i="3" a="1"/>
  <c r="X57" i="3" a="1"/>
  <c r="AZ57" i="3" a="1"/>
  <c r="AB58" i="3" a="1"/>
  <c r="F50" i="3" a="1"/>
  <c r="AQ53" i="3" a="1"/>
  <c r="Z54" i="3" a="1"/>
  <c r="I55" i="3" a="1"/>
  <c r="AO55" i="3" a="1"/>
  <c r="X56" i="3" a="1"/>
  <c r="AW56" i="3" a="1"/>
  <c r="AB57" i="3" a="1"/>
  <c r="D58" i="3" a="1"/>
  <c r="AD58" i="3" a="1"/>
  <c r="J59" i="3" a="1"/>
  <c r="R59" i="3" a="1"/>
  <c r="Z59" i="3" a="1"/>
  <c r="AH59" i="3" a="1"/>
  <c r="AP59" i="3" a="1"/>
  <c r="AX59" i="3" a="1"/>
  <c r="I60" i="3" a="1"/>
  <c r="Q60" i="3" a="1"/>
  <c r="Y60" i="3" a="1"/>
  <c r="AG60" i="3" a="1"/>
  <c r="AO60" i="3" a="1"/>
  <c r="AW60" i="3" a="1"/>
  <c r="H61" i="3" a="1"/>
  <c r="P61" i="3" a="1"/>
  <c r="X61" i="3" a="1"/>
  <c r="AF61" i="3" a="1"/>
  <c r="AN61" i="3" a="1"/>
  <c r="AV61" i="3" a="1"/>
  <c r="J46" i="3" a="1"/>
  <c r="AR52" i="3" a="1"/>
  <c r="AR53" i="3" a="1"/>
  <c r="AA54" i="3" a="1"/>
  <c r="J55" i="3" a="1"/>
  <c r="AP55" i="3" a="1"/>
  <c r="Y56" i="3" a="1"/>
  <c r="E57" i="3" a="1"/>
  <c r="AE57" i="3" a="1"/>
  <c r="AE58" i="3" a="1"/>
  <c r="K59" i="3" a="1"/>
  <c r="S59" i="3" a="1"/>
  <c r="AA59" i="3" a="1"/>
  <c r="AI59" i="3" a="1"/>
  <c r="AQ59" i="3" a="1"/>
  <c r="AY59" i="3" a="1"/>
  <c r="J60" i="3" a="1"/>
  <c r="R60" i="3" a="1"/>
  <c r="Z60" i="3" a="1"/>
  <c r="AH60" i="3" a="1"/>
  <c r="AP60" i="3" a="1"/>
  <c r="AX60" i="3" a="1"/>
  <c r="I61" i="3" a="1"/>
  <c r="Q61" i="3" a="1"/>
  <c r="Y61" i="3" a="1"/>
  <c r="AG61" i="3" a="1"/>
  <c r="AO61" i="3" a="1"/>
  <c r="AW61" i="3" a="1"/>
  <c r="R46" i="3" a="1"/>
  <c r="AG47" i="3" a="1"/>
  <c r="AV48" i="3" a="1"/>
  <c r="N50" i="3" a="1"/>
  <c r="AI58" i="3" a="1"/>
  <c r="AY53" i="3" a="1"/>
  <c r="AH54" i="3" a="1"/>
  <c r="Q55" i="3" a="1"/>
  <c r="AW55" i="3" a="1"/>
  <c r="AF56" i="3" a="1"/>
  <c r="AF57" i="3" a="1"/>
  <c r="K58" i="3" a="1"/>
  <c r="AJ58" i="3" a="1"/>
  <c r="L59" i="3" a="1"/>
  <c r="T59" i="3" a="1"/>
  <c r="AB59" i="3" a="1"/>
  <c r="AJ59" i="3" a="1"/>
  <c r="AR59" i="3" a="1"/>
  <c r="AZ59" i="3" a="1"/>
  <c r="K60" i="3" a="1"/>
  <c r="S60" i="3" a="1"/>
  <c r="AA60" i="3" a="1"/>
  <c r="AI60" i="3" a="1"/>
  <c r="AQ60" i="3" a="1"/>
  <c r="AY60" i="3" a="1"/>
  <c r="J61" i="3" a="1"/>
  <c r="R61" i="3" a="1"/>
  <c r="Z61" i="3" a="1"/>
  <c r="AH61" i="3" a="1"/>
  <c r="AP61" i="3" a="1"/>
  <c r="AX61" i="3" a="1"/>
  <c r="AD56" i="3" a="1"/>
  <c r="C46" i="3" a="1"/>
  <c r="C54" i="3" a="1"/>
  <c r="C55" i="3" a="1"/>
  <c r="C48" i="3" a="1"/>
  <c r="C56" i="3" a="1"/>
  <c r="C49" i="3" a="1"/>
  <c r="C57" i="3" a="1"/>
  <c r="C50" i="3" a="1"/>
  <c r="C58" i="3" a="1"/>
  <c r="C51" i="3" a="1"/>
  <c r="C59" i="3" a="1"/>
  <c r="C52" i="3" a="1"/>
  <c r="C60" i="3" a="1"/>
  <c r="C61" i="3" a="1"/>
  <c r="C47" i="3" a="1"/>
  <c r="C53" i="3" a="1"/>
  <c r="C45" i="3" a="1"/>
  <c r="D24" i="3" a="1"/>
  <c r="L24" i="3" a="1"/>
  <c r="T24" i="3" a="1"/>
  <c r="AB24" i="3" a="1"/>
  <c r="AJ24" i="3" a="1"/>
  <c r="AR24" i="3" a="1"/>
  <c r="AZ24" i="3" a="1"/>
  <c r="K25" i="3" a="1"/>
  <c r="S25" i="3" a="1"/>
  <c r="AA25" i="3" a="1"/>
  <c r="AI25" i="3" a="1"/>
  <c r="AQ25" i="3" a="1"/>
  <c r="AY25" i="3" a="1"/>
  <c r="J26" i="3" a="1"/>
  <c r="R26" i="3" a="1"/>
  <c r="Z26" i="3" a="1"/>
  <c r="AH26" i="3" a="1"/>
  <c r="AP26" i="3" a="1"/>
  <c r="AX26" i="3" a="1"/>
  <c r="I27" i="3" a="1"/>
  <c r="Q27" i="3" a="1"/>
  <c r="Y27" i="3" a="1"/>
  <c r="AG27" i="3" a="1"/>
  <c r="AO27" i="3" a="1"/>
  <c r="AW27" i="3" a="1"/>
  <c r="H28" i="3" a="1"/>
  <c r="P28" i="3" a="1"/>
  <c r="X28" i="3" a="1"/>
  <c r="AF28" i="3" a="1"/>
  <c r="AN28" i="3" a="1"/>
  <c r="AV28" i="3" a="1"/>
  <c r="G29" i="3" a="1"/>
  <c r="O29" i="3" a="1"/>
  <c r="W29" i="3" a="1"/>
  <c r="AE29" i="3" a="1"/>
  <c r="AM29" i="3" a="1"/>
  <c r="AU29" i="3" a="1"/>
  <c r="F30" i="3" a="1"/>
  <c r="N30" i="3" a="1"/>
  <c r="V30" i="3" a="1"/>
  <c r="AD30" i="3" a="1"/>
  <c r="AL30" i="3" a="1"/>
  <c r="AT30" i="3" a="1"/>
  <c r="E31" i="3" a="1"/>
  <c r="M31" i="3" a="1"/>
  <c r="U31" i="3" a="1"/>
  <c r="AC31" i="3" a="1"/>
  <c r="AK31" i="3" a="1"/>
  <c r="AS31" i="3" a="1"/>
  <c r="D32" i="3" a="1"/>
  <c r="L32" i="3" a="1"/>
  <c r="T32" i="3" a="1"/>
  <c r="AB32" i="3" a="1"/>
  <c r="AJ32" i="3" a="1"/>
  <c r="AR32" i="3" a="1"/>
  <c r="AZ32" i="3" a="1"/>
  <c r="K33" i="3" a="1"/>
  <c r="S33" i="3" a="1"/>
  <c r="AA33" i="3" a="1"/>
  <c r="AI33" i="3" a="1"/>
  <c r="AQ33" i="3" a="1"/>
  <c r="AY33" i="3" a="1"/>
  <c r="J34" i="3" a="1"/>
  <c r="R34" i="3" a="1"/>
  <c r="Z34" i="3" a="1"/>
  <c r="AH34" i="3" a="1"/>
  <c r="AP34" i="3" a="1"/>
  <c r="AX34" i="3" a="1"/>
  <c r="I35" i="3" a="1"/>
  <c r="Q35" i="3" a="1"/>
  <c r="Y35" i="3" a="1"/>
  <c r="AG35" i="3" a="1"/>
  <c r="AO35" i="3" a="1"/>
  <c r="AW35" i="3" a="1"/>
  <c r="H36" i="3" a="1"/>
  <c r="P36" i="3" a="1"/>
  <c r="X36" i="3" a="1"/>
  <c r="AF36" i="3" a="1"/>
  <c r="AN36" i="3" a="1"/>
  <c r="AV36" i="3" a="1"/>
  <c r="G37" i="3" a="1"/>
  <c r="O37" i="3" a="1"/>
  <c r="W37" i="3" a="1"/>
  <c r="AE37" i="3" a="1"/>
  <c r="AM37" i="3" a="1"/>
  <c r="AU37" i="3" a="1"/>
  <c r="E24" i="3" a="1"/>
  <c r="M24" i="3" a="1"/>
  <c r="U24" i="3" a="1"/>
  <c r="AC24" i="3" a="1"/>
  <c r="AK24" i="3" a="1"/>
  <c r="AS24" i="3" a="1"/>
  <c r="D25" i="3" a="1"/>
  <c r="L25" i="3" a="1"/>
  <c r="T25" i="3" a="1"/>
  <c r="AB25" i="3" a="1"/>
  <c r="AJ25" i="3" a="1"/>
  <c r="AR25" i="3" a="1"/>
  <c r="AZ25" i="3" a="1"/>
  <c r="K26" i="3" a="1"/>
  <c r="S26" i="3" a="1"/>
  <c r="AA26" i="3" a="1"/>
  <c r="AI26" i="3" a="1"/>
  <c r="AQ26" i="3" a="1"/>
  <c r="AY26" i="3" a="1"/>
  <c r="J27" i="3" a="1"/>
  <c r="R27" i="3" a="1"/>
  <c r="Z27" i="3" a="1"/>
  <c r="AH27" i="3" a="1"/>
  <c r="AP27" i="3" a="1"/>
  <c r="AX27" i="3" a="1"/>
  <c r="I28" i="3" a="1"/>
  <c r="Q28" i="3" a="1"/>
  <c r="Y28" i="3" a="1"/>
  <c r="AG28" i="3" a="1"/>
  <c r="AO28" i="3" a="1"/>
  <c r="AW28" i="3" a="1"/>
  <c r="H29" i="3" a="1"/>
  <c r="P29" i="3" a="1"/>
  <c r="X29" i="3" a="1"/>
  <c r="AF29" i="3" a="1"/>
  <c r="AN29" i="3" a="1"/>
  <c r="AV29" i="3" a="1"/>
  <c r="G30" i="3" a="1"/>
  <c r="O30" i="3" a="1"/>
  <c r="W30" i="3" a="1"/>
  <c r="AE30" i="3" a="1"/>
  <c r="AM30" i="3" a="1"/>
  <c r="AU30" i="3" a="1"/>
  <c r="F31" i="3" a="1"/>
  <c r="N31" i="3" a="1"/>
  <c r="V31" i="3" a="1"/>
  <c r="AD31" i="3" a="1"/>
  <c r="AL31" i="3" a="1"/>
  <c r="AT31" i="3" a="1"/>
  <c r="E32" i="3" a="1"/>
  <c r="M32" i="3" a="1"/>
  <c r="U32" i="3" a="1"/>
  <c r="AC32" i="3" a="1"/>
  <c r="AK32" i="3" a="1"/>
  <c r="AS32" i="3" a="1"/>
  <c r="D33" i="3" a="1"/>
  <c r="L33" i="3" a="1"/>
  <c r="T33" i="3" a="1"/>
  <c r="AB33" i="3" a="1"/>
  <c r="AJ33" i="3" a="1"/>
  <c r="AR33" i="3" a="1"/>
  <c r="AZ33" i="3" a="1"/>
  <c r="K34" i="3" a="1"/>
  <c r="S34" i="3" a="1"/>
  <c r="AA34" i="3" a="1"/>
  <c r="AI34" i="3" a="1"/>
  <c r="AQ34" i="3" a="1"/>
  <c r="AY34" i="3" a="1"/>
  <c r="J35" i="3" a="1"/>
  <c r="R35" i="3" a="1"/>
  <c r="Z35" i="3" a="1"/>
  <c r="AH35" i="3" a="1"/>
  <c r="AP35" i="3" a="1"/>
  <c r="AX35" i="3" a="1"/>
  <c r="I36" i="3" a="1"/>
  <c r="Q36" i="3" a="1"/>
  <c r="Y36" i="3" a="1"/>
  <c r="AG36" i="3" a="1"/>
  <c r="AO36" i="3" a="1"/>
  <c r="AW36" i="3" a="1"/>
  <c r="H37" i="3" a="1"/>
  <c r="P37" i="3" a="1"/>
  <c r="X37" i="3" a="1"/>
  <c r="AF37" i="3" a="1"/>
  <c r="AN37" i="3" a="1"/>
  <c r="AV37" i="3" a="1"/>
  <c r="F24" i="3" a="1"/>
  <c r="N24" i="3" a="1"/>
  <c r="V24" i="3" a="1"/>
  <c r="AD24" i="3" a="1"/>
  <c r="AL24" i="3" a="1"/>
  <c r="AT24" i="3" a="1"/>
  <c r="E25" i="3" a="1"/>
  <c r="M25" i="3" a="1"/>
  <c r="U25" i="3" a="1"/>
  <c r="AC25" i="3" a="1"/>
  <c r="AK25" i="3" a="1"/>
  <c r="AS25" i="3" a="1"/>
  <c r="D26" i="3" a="1"/>
  <c r="L26" i="3" a="1"/>
  <c r="T26" i="3" a="1"/>
  <c r="AB26" i="3" a="1"/>
  <c r="AJ26" i="3" a="1"/>
  <c r="AR26" i="3" a="1"/>
  <c r="AZ26" i="3" a="1"/>
  <c r="K27" i="3" a="1"/>
  <c r="S27" i="3" a="1"/>
  <c r="AA27" i="3" a="1"/>
  <c r="AI27" i="3" a="1"/>
  <c r="AQ27" i="3" a="1"/>
  <c r="AY27" i="3" a="1"/>
  <c r="J28" i="3" a="1"/>
  <c r="R28" i="3" a="1"/>
  <c r="Z28" i="3" a="1"/>
  <c r="AH28" i="3" a="1"/>
  <c r="AP28" i="3" a="1"/>
  <c r="AX28" i="3" a="1"/>
  <c r="I29" i="3" a="1"/>
  <c r="Q29" i="3" a="1"/>
  <c r="Y29" i="3" a="1"/>
  <c r="AG29" i="3" a="1"/>
  <c r="AO29" i="3" a="1"/>
  <c r="AW29" i="3" a="1"/>
  <c r="H30" i="3" a="1"/>
  <c r="P30" i="3" a="1"/>
  <c r="X30" i="3" a="1"/>
  <c r="AF30" i="3" a="1"/>
  <c r="AN30" i="3" a="1"/>
  <c r="AV30" i="3" a="1"/>
  <c r="G31" i="3" a="1"/>
  <c r="O31" i="3" a="1"/>
  <c r="W31" i="3" a="1"/>
  <c r="AE31" i="3" a="1"/>
  <c r="AM31" i="3" a="1"/>
  <c r="AU31" i="3" a="1"/>
  <c r="F32" i="3" a="1"/>
  <c r="N32" i="3" a="1"/>
  <c r="V32" i="3" a="1"/>
  <c r="AD32" i="3" a="1"/>
  <c r="AL32" i="3" a="1"/>
  <c r="AT32" i="3" a="1"/>
  <c r="E33" i="3" a="1"/>
  <c r="M33" i="3" a="1"/>
  <c r="U33" i="3" a="1"/>
  <c r="AC33" i="3" a="1"/>
  <c r="AK33" i="3" a="1"/>
  <c r="AS33" i="3" a="1"/>
  <c r="D34" i="3" a="1"/>
  <c r="L34" i="3" a="1"/>
  <c r="T34" i="3" a="1"/>
  <c r="AB34" i="3" a="1"/>
  <c r="AJ34" i="3" a="1"/>
  <c r="AR34" i="3" a="1"/>
  <c r="AZ34" i="3" a="1"/>
  <c r="K35" i="3" a="1"/>
  <c r="S35" i="3" a="1"/>
  <c r="AA35" i="3" a="1"/>
  <c r="AI35" i="3" a="1"/>
  <c r="AQ35" i="3" a="1"/>
  <c r="AY35" i="3" a="1"/>
  <c r="J36" i="3" a="1"/>
  <c r="R36" i="3" a="1"/>
  <c r="Z36" i="3" a="1"/>
  <c r="AH36" i="3" a="1"/>
  <c r="AP36" i="3" a="1"/>
  <c r="AX36" i="3" a="1"/>
  <c r="I37" i="3" a="1"/>
  <c r="Q37" i="3" a="1"/>
  <c r="Y37" i="3" a="1"/>
  <c r="AG37" i="3" a="1"/>
  <c r="AO37" i="3" a="1"/>
  <c r="G24" i="3" a="1"/>
  <c r="O24" i="3" a="1"/>
  <c r="W24" i="3" a="1"/>
  <c r="AE24" i="3" a="1"/>
  <c r="AM24" i="3" a="1"/>
  <c r="AU24" i="3" a="1"/>
  <c r="F25" i="3" a="1"/>
  <c r="N25" i="3" a="1"/>
  <c r="V25" i="3" a="1"/>
  <c r="AD25" i="3" a="1"/>
  <c r="AL25" i="3" a="1"/>
  <c r="AT25" i="3" a="1"/>
  <c r="E26" i="3" a="1"/>
  <c r="M26" i="3" a="1"/>
  <c r="U26" i="3" a="1"/>
  <c r="AC26" i="3" a="1"/>
  <c r="AK26" i="3" a="1"/>
  <c r="AS26" i="3" a="1"/>
  <c r="D27" i="3" a="1"/>
  <c r="L27" i="3" a="1"/>
  <c r="T27" i="3" a="1"/>
  <c r="AB27" i="3" a="1"/>
  <c r="AJ27" i="3" a="1"/>
  <c r="AR27" i="3" a="1"/>
  <c r="AZ27" i="3" a="1"/>
  <c r="K28" i="3" a="1"/>
  <c r="S28" i="3" a="1"/>
  <c r="AA28" i="3" a="1"/>
  <c r="AI28" i="3" a="1"/>
  <c r="AQ28" i="3" a="1"/>
  <c r="AY28" i="3" a="1"/>
  <c r="J29" i="3" a="1"/>
  <c r="R29" i="3" a="1"/>
  <c r="Z29" i="3" a="1"/>
  <c r="AH29" i="3" a="1"/>
  <c r="AP29" i="3" a="1"/>
  <c r="AX29" i="3" a="1"/>
  <c r="I30" i="3" a="1"/>
  <c r="Q30" i="3" a="1"/>
  <c r="Y30" i="3" a="1"/>
  <c r="AG30" i="3" a="1"/>
  <c r="AO30" i="3" a="1"/>
  <c r="AW30" i="3" a="1"/>
  <c r="H31" i="3" a="1"/>
  <c r="P31" i="3" a="1"/>
  <c r="X31" i="3" a="1"/>
  <c r="AF31" i="3" a="1"/>
  <c r="AN31" i="3" a="1"/>
  <c r="AV31" i="3" a="1"/>
  <c r="G32" i="3" a="1"/>
  <c r="O32" i="3" a="1"/>
  <c r="W32" i="3" a="1"/>
  <c r="AE32" i="3" a="1"/>
  <c r="AM32" i="3" a="1"/>
  <c r="AU32" i="3" a="1"/>
  <c r="F33" i="3" a="1"/>
  <c r="N33" i="3" a="1"/>
  <c r="V33" i="3" a="1"/>
  <c r="AD33" i="3" a="1"/>
  <c r="AL33" i="3" a="1"/>
  <c r="AT33" i="3" a="1"/>
  <c r="E34" i="3" a="1"/>
  <c r="M34" i="3" a="1"/>
  <c r="U34" i="3" a="1"/>
  <c r="AC34" i="3" a="1"/>
  <c r="AK34" i="3" a="1"/>
  <c r="AS34" i="3" a="1"/>
  <c r="D35" i="3" a="1"/>
  <c r="L35" i="3" a="1"/>
  <c r="T35" i="3" a="1"/>
  <c r="AB35" i="3" a="1"/>
  <c r="AJ35" i="3" a="1"/>
  <c r="AR35" i="3" a="1"/>
  <c r="AZ35" i="3" a="1"/>
  <c r="K36" i="3" a="1"/>
  <c r="S36" i="3" a="1"/>
  <c r="AA36" i="3" a="1"/>
  <c r="AI36" i="3" a="1"/>
  <c r="AQ36" i="3" a="1"/>
  <c r="AY36" i="3" a="1"/>
  <c r="J37" i="3" a="1"/>
  <c r="R37" i="3" a="1"/>
  <c r="Z37" i="3" a="1"/>
  <c r="AH37" i="3" a="1"/>
  <c r="AP37" i="3" a="1"/>
  <c r="H24" i="3" a="1"/>
  <c r="P24" i="3" a="1"/>
  <c r="X24" i="3" a="1"/>
  <c r="AF24" i="3" a="1"/>
  <c r="AN24" i="3" a="1"/>
  <c r="AV24" i="3" a="1"/>
  <c r="G25" i="3" a="1"/>
  <c r="O25" i="3" a="1"/>
  <c r="W25" i="3" a="1"/>
  <c r="AE25" i="3" a="1"/>
  <c r="AM25" i="3" a="1"/>
  <c r="AU25" i="3" a="1"/>
  <c r="F26" i="3" a="1"/>
  <c r="N26" i="3" a="1"/>
  <c r="V26" i="3" a="1"/>
  <c r="AD26" i="3" a="1"/>
  <c r="AL26" i="3" a="1"/>
  <c r="AT26" i="3" a="1"/>
  <c r="E27" i="3" a="1"/>
  <c r="M27" i="3" a="1"/>
  <c r="U27" i="3" a="1"/>
  <c r="AC27" i="3" a="1"/>
  <c r="AK27" i="3" a="1"/>
  <c r="AS27" i="3" a="1"/>
  <c r="D28" i="3" a="1"/>
  <c r="L28" i="3" a="1"/>
  <c r="T28" i="3" a="1"/>
  <c r="AB28" i="3" a="1"/>
  <c r="AJ28" i="3" a="1"/>
  <c r="AR28" i="3" a="1"/>
  <c r="AZ28" i="3" a="1"/>
  <c r="K29" i="3" a="1"/>
  <c r="S29" i="3" a="1"/>
  <c r="AA29" i="3" a="1"/>
  <c r="AI29" i="3" a="1"/>
  <c r="AQ29" i="3" a="1"/>
  <c r="AY29" i="3" a="1"/>
  <c r="J30" i="3" a="1"/>
  <c r="R30" i="3" a="1"/>
  <c r="Z30" i="3" a="1"/>
  <c r="AH30" i="3" a="1"/>
  <c r="AP30" i="3" a="1"/>
  <c r="AX30" i="3" a="1"/>
  <c r="I31" i="3" a="1"/>
  <c r="Q31" i="3" a="1"/>
  <c r="Y31" i="3" a="1"/>
  <c r="AG31" i="3" a="1"/>
  <c r="AO31" i="3" a="1"/>
  <c r="AW31" i="3" a="1"/>
  <c r="H32" i="3" a="1"/>
  <c r="P32" i="3" a="1"/>
  <c r="X32" i="3" a="1"/>
  <c r="AF32" i="3" a="1"/>
  <c r="AN32" i="3" a="1"/>
  <c r="AV32" i="3" a="1"/>
  <c r="G33" i="3" a="1"/>
  <c r="O33" i="3" a="1"/>
  <c r="W33" i="3" a="1"/>
  <c r="AE33" i="3" a="1"/>
  <c r="AM33" i="3" a="1"/>
  <c r="AU33" i="3" a="1"/>
  <c r="F34" i="3" a="1"/>
  <c r="N34" i="3" a="1"/>
  <c r="V34" i="3" a="1"/>
  <c r="AD34" i="3" a="1"/>
  <c r="AL34" i="3" a="1"/>
  <c r="AT34" i="3" a="1"/>
  <c r="E35" i="3" a="1"/>
  <c r="M35" i="3" a="1"/>
  <c r="U35" i="3" a="1"/>
  <c r="AC35" i="3" a="1"/>
  <c r="AK35" i="3" a="1"/>
  <c r="AS35" i="3" a="1"/>
  <c r="D36" i="3" a="1"/>
  <c r="L36" i="3" a="1"/>
  <c r="T36" i="3" a="1"/>
  <c r="AB36" i="3" a="1"/>
  <c r="AJ36" i="3" a="1"/>
  <c r="AR36" i="3" a="1"/>
  <c r="AZ36" i="3" a="1"/>
  <c r="K37" i="3" a="1"/>
  <c r="S37" i="3" a="1"/>
  <c r="AA37" i="3" a="1"/>
  <c r="AI37" i="3" a="1"/>
  <c r="AQ37" i="3" a="1"/>
  <c r="AY37" i="3" a="1"/>
  <c r="I24" i="3" a="1"/>
  <c r="Q24" i="3" a="1"/>
  <c r="Y24" i="3" a="1"/>
  <c r="AG24" i="3" a="1"/>
  <c r="AO24" i="3" a="1"/>
  <c r="AW24" i="3" a="1"/>
  <c r="H25" i="3" a="1"/>
  <c r="P25" i="3" a="1"/>
  <c r="X25" i="3" a="1"/>
  <c r="AF25" i="3" a="1"/>
  <c r="AN25" i="3" a="1"/>
  <c r="AV25" i="3" a="1"/>
  <c r="G26" i="3" a="1"/>
  <c r="O26" i="3" a="1"/>
  <c r="W26" i="3" a="1"/>
  <c r="AE26" i="3" a="1"/>
  <c r="AM26" i="3" a="1"/>
  <c r="AU26" i="3" a="1"/>
  <c r="F27" i="3" a="1"/>
  <c r="N27" i="3" a="1"/>
  <c r="V27" i="3" a="1"/>
  <c r="AD27" i="3" a="1"/>
  <c r="AL27" i="3" a="1"/>
  <c r="AT27" i="3" a="1"/>
  <c r="E28" i="3" a="1"/>
  <c r="M28" i="3" a="1"/>
  <c r="U28" i="3" a="1"/>
  <c r="AC28" i="3" a="1"/>
  <c r="AK28" i="3" a="1"/>
  <c r="AS28" i="3" a="1"/>
  <c r="D29" i="3" a="1"/>
  <c r="L29" i="3" a="1"/>
  <c r="T29" i="3" a="1"/>
  <c r="AB29" i="3" a="1"/>
  <c r="AJ29" i="3" a="1"/>
  <c r="AR29" i="3" a="1"/>
  <c r="AZ29" i="3" a="1"/>
  <c r="K30" i="3" a="1"/>
  <c r="S30" i="3" a="1"/>
  <c r="AA30" i="3" a="1"/>
  <c r="AI30" i="3" a="1"/>
  <c r="AQ30" i="3" a="1"/>
  <c r="AY30" i="3" a="1"/>
  <c r="J31" i="3" a="1"/>
  <c r="R31" i="3" a="1"/>
  <c r="Z31" i="3" a="1"/>
  <c r="AH31" i="3" a="1"/>
  <c r="AP31" i="3" a="1"/>
  <c r="AX31" i="3" a="1"/>
  <c r="I32" i="3" a="1"/>
  <c r="Q32" i="3" a="1"/>
  <c r="Y32" i="3" a="1"/>
  <c r="AG32" i="3" a="1"/>
  <c r="AO32" i="3" a="1"/>
  <c r="AW32" i="3" a="1"/>
  <c r="H33" i="3" a="1"/>
  <c r="P33" i="3" a="1"/>
  <c r="X33" i="3" a="1"/>
  <c r="AF33" i="3" a="1"/>
  <c r="AN33" i="3" a="1"/>
  <c r="AV33" i="3" a="1"/>
  <c r="G34" i="3" a="1"/>
  <c r="O34" i="3" a="1"/>
  <c r="W34" i="3" a="1"/>
  <c r="AE34" i="3" a="1"/>
  <c r="AM34" i="3" a="1"/>
  <c r="AU34" i="3" a="1"/>
  <c r="F35" i="3" a="1"/>
  <c r="N35" i="3" a="1"/>
  <c r="V35" i="3" a="1"/>
  <c r="AD35" i="3" a="1"/>
  <c r="AL35" i="3" a="1"/>
  <c r="AT35" i="3" a="1"/>
  <c r="E36" i="3" a="1"/>
  <c r="M36" i="3" a="1"/>
  <c r="U36" i="3" a="1"/>
  <c r="AC36" i="3" a="1"/>
  <c r="AK36" i="3" a="1"/>
  <c r="AS36" i="3" a="1"/>
  <c r="D37" i="3" a="1"/>
  <c r="L37" i="3" a="1"/>
  <c r="T37" i="3" a="1"/>
  <c r="AB37" i="3" a="1"/>
  <c r="AJ37" i="3" a="1"/>
  <c r="AR37" i="3" a="1"/>
  <c r="J24" i="3" a="1"/>
  <c r="K24" i="3" a="1"/>
  <c r="AW25" i="3" a="1"/>
  <c r="AO26" i="3" a="1"/>
  <c r="AD28" i="3" a="1"/>
  <c r="V29" i="3" a="1"/>
  <c r="K31" i="3" a="1"/>
  <c r="AZ31" i="3" a="1"/>
  <c r="AO33" i="3" a="1"/>
  <c r="AG34" i="3" a="1"/>
  <c r="V36" i="3" a="1"/>
  <c r="N37" i="3" a="1"/>
  <c r="AW37" i="3" a="1"/>
  <c r="I25" i="3" a="1"/>
  <c r="AX25" i="3" a="1"/>
  <c r="AM27" i="3" a="1"/>
  <c r="AE28" i="3" a="1"/>
  <c r="T30" i="3" a="1"/>
  <c r="L31" i="3" a="1"/>
  <c r="AX32" i="3" a="1"/>
  <c r="AP33" i="3" a="1"/>
  <c r="AE35" i="3" a="1"/>
  <c r="W36" i="3" a="1"/>
  <c r="I38" i="3" a="1"/>
  <c r="Q38" i="3" a="1"/>
  <c r="Y38" i="3" a="1"/>
  <c r="AG38" i="3" a="1"/>
  <c r="AO38" i="3" a="1"/>
  <c r="AW38" i="3" a="1"/>
  <c r="H39" i="3" a="1"/>
  <c r="P39" i="3" a="1"/>
  <c r="X39" i="3" a="1"/>
  <c r="AF39" i="3" a="1"/>
  <c r="AN39" i="3" a="1"/>
  <c r="AV39" i="3" a="1"/>
  <c r="G40" i="3" a="1"/>
  <c r="O40" i="3" a="1"/>
  <c r="W40" i="3" a="1"/>
  <c r="AE40" i="3" a="1"/>
  <c r="AM40" i="3" a="1"/>
  <c r="AU40" i="3" a="1"/>
  <c r="S40" i="3" a="1"/>
  <c r="Y34" i="3" a="1"/>
  <c r="AS40" i="3" a="1"/>
  <c r="AP32" i="3" a="1"/>
  <c r="R24" i="3" a="1"/>
  <c r="J25" i="3" a="1"/>
  <c r="AV26" i="3" a="1"/>
  <c r="AN27" i="3" a="1"/>
  <c r="AC29" i="3" a="1"/>
  <c r="U30" i="3" a="1"/>
  <c r="J32" i="3" a="1"/>
  <c r="AY32" i="3" a="1"/>
  <c r="AN34" i="3" a="1"/>
  <c r="AF35" i="3" a="1"/>
  <c r="U37" i="3" a="1"/>
  <c r="AX37" i="3" a="1"/>
  <c r="AV40" i="3" a="1"/>
  <c r="T39" i="3" a="1"/>
  <c r="AY40" i="3" a="1"/>
  <c r="G38" i="3" a="1"/>
  <c r="AT39" i="3" a="1"/>
  <c r="D31" i="3" a="1"/>
  <c r="S24" i="3" a="1"/>
  <c r="H26" i="3" a="1"/>
  <c r="AW26" i="3" a="1"/>
  <c r="AL28" i="3" a="1"/>
  <c r="AD29" i="3" a="1"/>
  <c r="S31" i="3" a="1"/>
  <c r="K32" i="3" a="1"/>
  <c r="AW33" i="3" a="1"/>
  <c r="AO34" i="3" a="1"/>
  <c r="AD36" i="3" a="1"/>
  <c r="V37" i="3" a="1"/>
  <c r="J38" i="3" a="1"/>
  <c r="R38" i="3" a="1"/>
  <c r="Z38" i="3" a="1"/>
  <c r="AH38" i="3" a="1"/>
  <c r="AP38" i="3" a="1"/>
  <c r="AX38" i="3" a="1"/>
  <c r="I39" i="3" a="1"/>
  <c r="Q39" i="3" a="1"/>
  <c r="Y39" i="3" a="1"/>
  <c r="AG39" i="3" a="1"/>
  <c r="AO39" i="3" a="1"/>
  <c r="AW39" i="3" a="1"/>
  <c r="H40" i="3" a="1"/>
  <c r="P40" i="3" a="1"/>
  <c r="X40" i="3" a="1"/>
  <c r="AF40" i="3" a="1"/>
  <c r="AN40" i="3" a="1"/>
  <c r="AD37" i="3" a="1"/>
  <c r="AB39" i="3" a="1"/>
  <c r="AQ40" i="3" a="1"/>
  <c r="N36" i="3" a="1"/>
  <c r="AL39" i="3" a="1"/>
  <c r="W28" i="3" a="1"/>
  <c r="Q25" i="3" a="1"/>
  <c r="I26" i="3" a="1"/>
  <c r="AU27" i="3" a="1"/>
  <c r="AM28" i="3" a="1"/>
  <c r="AB30" i="3" a="1"/>
  <c r="T31" i="3" a="1"/>
  <c r="I33" i="3" a="1"/>
  <c r="AX33" i="3" a="1"/>
  <c r="AM35" i="3" a="1"/>
  <c r="AE36" i="3" a="1"/>
  <c r="AW40" i="3" a="1"/>
  <c r="AJ39" i="3" a="1"/>
  <c r="AI40" i="3" a="1"/>
  <c r="AG33" i="3" a="1"/>
  <c r="AM38" i="3" a="1"/>
  <c r="M40" i="3" a="1"/>
  <c r="W35" i="3" a="1"/>
  <c r="Z24" i="3" a="1"/>
  <c r="R25" i="3" a="1"/>
  <c r="G27" i="3" a="1"/>
  <c r="AV27" i="3" a="1"/>
  <c r="AK29" i="3" a="1"/>
  <c r="AC30" i="3" a="1"/>
  <c r="R32" i="3" a="1"/>
  <c r="J33" i="3" a="1"/>
  <c r="AV34" i="3" a="1"/>
  <c r="AN35" i="3" a="1"/>
  <c r="AC37" i="3" a="1"/>
  <c r="AZ37" i="3" a="1"/>
  <c r="K38" i="3" a="1"/>
  <c r="S38" i="3" a="1"/>
  <c r="AA38" i="3" a="1"/>
  <c r="AI38" i="3" a="1"/>
  <c r="AQ38" i="3" a="1"/>
  <c r="AY38" i="3" a="1"/>
  <c r="J39" i="3" a="1"/>
  <c r="R39" i="3" a="1"/>
  <c r="Z39" i="3" a="1"/>
  <c r="AH39" i="3" a="1"/>
  <c r="AP39" i="3" a="1"/>
  <c r="AX39" i="3" a="1"/>
  <c r="I40" i="3" a="1"/>
  <c r="Q40" i="3" a="1"/>
  <c r="Y40" i="3" a="1"/>
  <c r="AG40" i="3" a="1"/>
  <c r="AO40" i="3" a="1"/>
  <c r="AL36" i="3" a="1"/>
  <c r="AZ39" i="3" a="1"/>
  <c r="AR31" i="3" a="1"/>
  <c r="AU38" i="3" a="1"/>
  <c r="U40" i="3" a="1"/>
  <c r="AX24" i="3" a="1"/>
  <c r="AA24" i="3" a="1"/>
  <c r="P26" i="3" a="1"/>
  <c r="H27" i="3" a="1"/>
  <c r="AT28" i="3" a="1"/>
  <c r="AL29" i="3" a="1"/>
  <c r="AA31" i="3" a="1"/>
  <c r="S32" i="3" a="1"/>
  <c r="H34" i="3" a="1"/>
  <c r="AW34" i="3" a="1"/>
  <c r="O38" i="3" a="1"/>
  <c r="Y25" i="3" a="1"/>
  <c r="Q26" i="3" a="1"/>
  <c r="F28" i="3" a="1"/>
  <c r="AU28" i="3" a="1"/>
  <c r="AJ30" i="3" a="1"/>
  <c r="AB31" i="3" a="1"/>
  <c r="Q33" i="3" a="1"/>
  <c r="I34" i="3" a="1"/>
  <c r="AU35" i="3" a="1"/>
  <c r="AM36" i="3" a="1"/>
  <c r="D38" i="3" a="1"/>
  <c r="L38" i="3" a="1"/>
  <c r="T38" i="3" a="1"/>
  <c r="AB38" i="3" a="1"/>
  <c r="AJ38" i="3" a="1"/>
  <c r="AR38" i="3" a="1"/>
  <c r="AZ38" i="3" a="1"/>
  <c r="K39" i="3" a="1"/>
  <c r="S39" i="3" a="1"/>
  <c r="AA39" i="3" a="1"/>
  <c r="AI39" i="3" a="1"/>
  <c r="AQ39" i="3" a="1"/>
  <c r="AY39" i="3" a="1"/>
  <c r="J40" i="3" a="1"/>
  <c r="R40" i="3" a="1"/>
  <c r="Z40" i="3" a="1"/>
  <c r="AH40" i="3" a="1"/>
  <c r="AP40" i="3" a="1"/>
  <c r="AX40" i="3" a="1"/>
  <c r="AK38" i="3" a="1"/>
  <c r="L39" i="3" a="1"/>
  <c r="K40" i="3" a="1"/>
  <c r="F37" i="3" a="1"/>
  <c r="AD39" i="3" a="1"/>
  <c r="L30" i="3" a="1"/>
  <c r="AH24" i="3" a="1"/>
  <c r="Z25" i="3" a="1"/>
  <c r="O27" i="3" a="1"/>
  <c r="G28" i="3" a="1"/>
  <c r="AS29" i="3" a="1"/>
  <c r="AK30" i="3" a="1"/>
  <c r="Z32" i="3" a="1"/>
  <c r="R33" i="3" a="1"/>
  <c r="G35" i="3" a="1"/>
  <c r="AV35" i="3" a="1"/>
  <c r="AK37" i="3" a="1"/>
  <c r="U38" i="3" a="1"/>
  <c r="AR39" i="3" a="1"/>
  <c r="AE38" i="3" a="1"/>
  <c r="V39" i="3" a="1"/>
  <c r="AK40" i="3" a="1"/>
  <c r="AI24" i="3" a="1"/>
  <c r="X26" i="3" a="1"/>
  <c r="P27" i="3" a="1"/>
  <c r="E29" i="3" a="1"/>
  <c r="AT29" i="3" a="1"/>
  <c r="AI31" i="3" a="1"/>
  <c r="AA32" i="3" a="1"/>
  <c r="P34" i="3" a="1"/>
  <c r="H35" i="3" a="1"/>
  <c r="AT36" i="3" a="1"/>
  <c r="AL37" i="3" a="1"/>
  <c r="E38" i="3" a="1"/>
  <c r="M38" i="3" a="1"/>
  <c r="AC38" i="3" a="1"/>
  <c r="AS38" i="3" a="1"/>
  <c r="D39" i="3" a="1"/>
  <c r="AA40" i="3" a="1"/>
  <c r="AG25" i="3" a="1"/>
  <c r="Y26" i="3" a="1"/>
  <c r="N28" i="3" a="1"/>
  <c r="F29" i="3" a="1"/>
  <c r="AR30" i="3" a="1"/>
  <c r="AJ31" i="3" a="1"/>
  <c r="Y33" i="3" a="1"/>
  <c r="Q34" i="3" a="1"/>
  <c r="F36" i="3" a="1"/>
  <c r="AU36" i="3" a="1"/>
  <c r="AB40" i="3" a="1"/>
  <c r="AR40" i="3" a="1"/>
  <c r="AO25" i="3" a="1"/>
  <c r="AC40" i="3" a="1"/>
  <c r="AP24" i="3" a="1"/>
  <c r="AH25" i="3" a="1"/>
  <c r="W27" i="3" a="1"/>
  <c r="O28" i="3" a="1"/>
  <c r="D30" i="3" a="1"/>
  <c r="AS30" i="3" a="1"/>
  <c r="AH32" i="3" a="1"/>
  <c r="Z33" i="3" a="1"/>
  <c r="O35" i="3" a="1"/>
  <c r="G36" i="3" a="1"/>
  <c r="AS37" i="3" a="1"/>
  <c r="F38" i="3" a="1"/>
  <c r="N38" i="3" a="1"/>
  <c r="V38" i="3" a="1"/>
  <c r="AD38" i="3" a="1"/>
  <c r="AL38" i="3" a="1"/>
  <c r="AT38" i="3" a="1"/>
  <c r="E39" i="3" a="1"/>
  <c r="M39" i="3" a="1"/>
  <c r="U39" i="3" a="1"/>
  <c r="AC39" i="3" a="1"/>
  <c r="AK39" i="3" a="1"/>
  <c r="AS39" i="3" a="1"/>
  <c r="D40" i="3" a="1"/>
  <c r="L40" i="3" a="1"/>
  <c r="T40" i="3" a="1"/>
  <c r="AJ40" i="3" a="1"/>
  <c r="AZ40" i="3" a="1"/>
  <c r="AG26" i="3" a="1"/>
  <c r="N39" i="3" a="1"/>
  <c r="AE27" i="3" a="1"/>
  <c r="AQ24" i="3" a="1"/>
  <c r="AF26" i="3" a="1"/>
  <c r="X27" i="3" a="1"/>
  <c r="M29" i="3" a="1"/>
  <c r="E30" i="3" a="1"/>
  <c r="AQ31" i="3" a="1"/>
  <c r="AI32" i="3" a="1"/>
  <c r="X34" i="3" a="1"/>
  <c r="P35" i="3" a="1"/>
  <c r="E37" i="3" a="1"/>
  <c r="AT37" i="3" a="1"/>
  <c r="V28" i="3" a="1"/>
  <c r="N29" i="3" a="1"/>
  <c r="AZ30" i="3" a="1"/>
  <c r="W38" i="3" a="1"/>
  <c r="F39" i="3" a="1"/>
  <c r="E40" i="3" a="1"/>
  <c r="AP25" i="3" a="1"/>
  <c r="O36" i="3" a="1"/>
  <c r="AY24" i="3" a="1"/>
  <c r="AN26" i="3" a="1"/>
  <c r="AF27" i="3" a="1"/>
  <c r="U29" i="3" a="1"/>
  <c r="M30" i="3" a="1"/>
  <c r="AY31" i="3" a="1"/>
  <c r="AQ32" i="3" a="1"/>
  <c r="AF34" i="3" a="1"/>
  <c r="X35" i="3" a="1"/>
  <c r="M37" i="3" a="1"/>
  <c r="H38" i="3" a="1"/>
  <c r="P38" i="3" a="1"/>
  <c r="X38" i="3" a="1"/>
  <c r="AF38" i="3" a="1"/>
  <c r="AN38" i="3" a="1"/>
  <c r="AV38" i="3" a="1"/>
  <c r="G39" i="3" a="1"/>
  <c r="O39" i="3" a="1"/>
  <c r="W39" i="3" a="1"/>
  <c r="AE39" i="3" a="1"/>
  <c r="AM39" i="3" a="1"/>
  <c r="AU39" i="3" a="1"/>
  <c r="F40" i="3" a="1"/>
  <c r="N40" i="3" a="1"/>
  <c r="V40" i="3" a="1"/>
  <c r="AD40" i="3" a="1"/>
  <c r="AL40" i="3" a="1"/>
  <c r="AT40" i="3" a="1"/>
  <c r="AH33" i="3" a="1"/>
  <c r="C40" i="3" a="1"/>
  <c r="C25" i="3" a="1"/>
  <c r="C33" i="3" a="1"/>
  <c r="C26" i="3" a="1"/>
  <c r="C34" i="3" a="1"/>
  <c r="C27" i="3" a="1"/>
  <c r="C35" i="3" a="1"/>
  <c r="C28" i="3" a="1"/>
  <c r="C29" i="3" a="1"/>
  <c r="C37" i="3" a="1"/>
  <c r="C39" i="3" a="1"/>
  <c r="C32" i="3" a="1"/>
  <c r="C30" i="3" a="1"/>
  <c r="C31" i="3" a="1"/>
  <c r="C36" i="3" a="1"/>
  <c r="C38" i="3" a="1"/>
  <c r="C24" i="3" a="1"/>
  <c r="D3" i="3" a="1"/>
  <c r="L3" i="3" a="1"/>
  <c r="T3" i="3" a="1"/>
  <c r="AB3" i="3" a="1"/>
  <c r="AJ3" i="3" a="1"/>
  <c r="AR3" i="3" a="1"/>
  <c r="AZ3" i="3" a="1"/>
  <c r="K4" i="3" a="1"/>
  <c r="S4" i="3" a="1"/>
  <c r="AA4" i="3" a="1"/>
  <c r="AI4" i="3" a="1"/>
  <c r="AQ4" i="3" a="1"/>
  <c r="AY4" i="3" a="1"/>
  <c r="J5" i="3" a="1"/>
  <c r="R5" i="3" a="1"/>
  <c r="Z5" i="3" a="1"/>
  <c r="AH5" i="3" a="1"/>
  <c r="AP5" i="3" a="1"/>
  <c r="AX5" i="3" a="1"/>
  <c r="I6" i="3" a="1"/>
  <c r="Q6" i="3" a="1"/>
  <c r="Y6" i="3" a="1"/>
  <c r="AG6" i="3" a="1"/>
  <c r="AO6" i="3" a="1"/>
  <c r="AW6" i="3" a="1"/>
  <c r="H7" i="3" a="1"/>
  <c r="P7" i="3" a="1"/>
  <c r="X7" i="3" a="1"/>
  <c r="AF7" i="3" a="1"/>
  <c r="AN7" i="3" a="1"/>
  <c r="AV7" i="3" a="1"/>
  <c r="G8" i="3" a="1"/>
  <c r="O8" i="3" a="1"/>
  <c r="W8" i="3" a="1"/>
  <c r="AE8" i="3" a="1"/>
  <c r="AM8" i="3" a="1"/>
  <c r="AU8" i="3" a="1"/>
  <c r="E3" i="3" a="1"/>
  <c r="M3" i="3" a="1"/>
  <c r="U3" i="3" a="1"/>
  <c r="AC3" i="3" a="1"/>
  <c r="AK3" i="3" a="1"/>
  <c r="AS3" i="3" a="1"/>
  <c r="D4" i="3" a="1"/>
  <c r="L4" i="3" a="1"/>
  <c r="T4" i="3" a="1"/>
  <c r="AB4" i="3" a="1"/>
  <c r="AJ4" i="3" a="1"/>
  <c r="AR4" i="3" a="1"/>
  <c r="AZ4" i="3" a="1"/>
  <c r="K5" i="3" a="1"/>
  <c r="S5" i="3" a="1"/>
  <c r="AA5" i="3" a="1"/>
  <c r="AI5" i="3" a="1"/>
  <c r="AQ5" i="3" a="1"/>
  <c r="AY5" i="3" a="1"/>
  <c r="J6" i="3" a="1"/>
  <c r="R6" i="3" a="1"/>
  <c r="F3" i="3" a="1"/>
  <c r="N3" i="3" a="1"/>
  <c r="V3" i="3" a="1"/>
  <c r="AD3" i="3" a="1"/>
  <c r="AL3" i="3" a="1"/>
  <c r="AT3" i="3" a="1"/>
  <c r="E4" i="3" a="1"/>
  <c r="M4" i="3" a="1"/>
  <c r="U4" i="3" a="1"/>
  <c r="AC4" i="3" a="1"/>
  <c r="AK4" i="3" a="1"/>
  <c r="AS4" i="3" a="1"/>
  <c r="D5" i="3" a="1"/>
  <c r="L5" i="3" a="1"/>
  <c r="T5" i="3" a="1"/>
  <c r="AB5" i="3" a="1"/>
  <c r="AJ5" i="3" a="1"/>
  <c r="AR5" i="3" a="1"/>
  <c r="AZ5" i="3" a="1"/>
  <c r="K6" i="3" a="1"/>
  <c r="S6" i="3" a="1"/>
  <c r="AA6" i="3" a="1"/>
  <c r="AI6" i="3" a="1"/>
  <c r="AQ6" i="3" a="1"/>
  <c r="AY6" i="3" a="1"/>
  <c r="J7" i="3" a="1"/>
  <c r="R7" i="3" a="1"/>
  <c r="Z7" i="3" a="1"/>
  <c r="AH7" i="3" a="1"/>
  <c r="AP7" i="3" a="1"/>
  <c r="AX7" i="3" a="1"/>
  <c r="I8" i="3" a="1"/>
  <c r="Q8" i="3" a="1"/>
  <c r="Y8" i="3" a="1"/>
  <c r="AG8" i="3" a="1"/>
  <c r="AO8" i="3" a="1"/>
  <c r="AW8" i="3" a="1"/>
  <c r="H9" i="3" a="1"/>
  <c r="P9" i="3" a="1"/>
  <c r="X9" i="3" a="1"/>
  <c r="AF9" i="3" a="1"/>
  <c r="AN9" i="3" a="1"/>
  <c r="AV9" i="3" a="1"/>
  <c r="G10" i="3" a="1"/>
  <c r="O10" i="3" a="1"/>
  <c r="W10" i="3" a="1"/>
  <c r="AE10" i="3" a="1"/>
  <c r="AM10" i="3" a="1"/>
  <c r="AU10" i="3" a="1"/>
  <c r="F11" i="3" a="1"/>
  <c r="N11" i="3" a="1"/>
  <c r="V11" i="3" a="1"/>
  <c r="AD11" i="3" a="1"/>
  <c r="AL11" i="3" a="1"/>
  <c r="AT11" i="3" a="1"/>
  <c r="E12" i="3" a="1"/>
  <c r="M12" i="3" a="1"/>
  <c r="U12" i="3" a="1"/>
  <c r="AC12" i="3" a="1"/>
  <c r="AK12" i="3" a="1"/>
  <c r="AS12" i="3" a="1"/>
  <c r="D13" i="3" a="1"/>
  <c r="L13" i="3" a="1"/>
  <c r="T13" i="3" a="1"/>
  <c r="AB13" i="3" a="1"/>
  <c r="AJ13" i="3" a="1"/>
  <c r="AR13" i="3" a="1"/>
  <c r="AZ13" i="3" a="1"/>
  <c r="K14" i="3" a="1"/>
  <c r="S14" i="3" a="1"/>
  <c r="AA14" i="3" a="1"/>
  <c r="AI14" i="3" a="1"/>
  <c r="AQ14" i="3" a="1"/>
  <c r="AY14" i="3" a="1"/>
  <c r="J15" i="3" a="1"/>
  <c r="R15" i="3" a="1"/>
  <c r="Z15" i="3" a="1"/>
  <c r="AH15" i="3" a="1"/>
  <c r="AP15" i="3" a="1"/>
  <c r="AX15" i="3" a="1"/>
  <c r="I16" i="3" a="1"/>
  <c r="Q16" i="3" a="1"/>
  <c r="Y16" i="3" a="1"/>
  <c r="AG16" i="3" a="1"/>
  <c r="AO16" i="3" a="1"/>
  <c r="AW16" i="3" a="1"/>
  <c r="H17" i="3" a="1"/>
  <c r="G3" i="3" a="1"/>
  <c r="O3" i="3" a="1"/>
  <c r="W3" i="3" a="1"/>
  <c r="AE3" i="3" a="1"/>
  <c r="AM3" i="3" a="1"/>
  <c r="AU3" i="3" a="1"/>
  <c r="F4" i="3" a="1"/>
  <c r="N4" i="3" a="1"/>
  <c r="V4" i="3" a="1"/>
  <c r="AD4" i="3" a="1"/>
  <c r="AL4" i="3" a="1"/>
  <c r="AT4" i="3" a="1"/>
  <c r="E5" i="3" a="1"/>
  <c r="M5" i="3" a="1"/>
  <c r="U5" i="3" a="1"/>
  <c r="AC5" i="3" a="1"/>
  <c r="AK5" i="3" a="1"/>
  <c r="AS5" i="3" a="1"/>
  <c r="D6" i="3" a="1"/>
  <c r="L6" i="3" a="1"/>
  <c r="T6" i="3" a="1"/>
  <c r="AB6" i="3" a="1"/>
  <c r="AJ6" i="3" a="1"/>
  <c r="AR6" i="3" a="1"/>
  <c r="AZ6" i="3" a="1"/>
  <c r="K7" i="3" a="1"/>
  <c r="S7" i="3" a="1"/>
  <c r="AA7" i="3" a="1"/>
  <c r="AI7" i="3" a="1"/>
  <c r="AQ7" i="3" a="1"/>
  <c r="AY7" i="3" a="1"/>
  <c r="J8" i="3" a="1"/>
  <c r="R8" i="3" a="1"/>
  <c r="Z8" i="3" a="1"/>
  <c r="AH8" i="3" a="1"/>
  <c r="AP8" i="3" a="1"/>
  <c r="AX8" i="3" a="1"/>
  <c r="I9" i="3" a="1"/>
  <c r="Q9" i="3" a="1"/>
  <c r="Y9" i="3" a="1"/>
  <c r="AG9" i="3" a="1"/>
  <c r="AO9" i="3" a="1"/>
  <c r="AW9" i="3" a="1"/>
  <c r="H10" i="3" a="1"/>
  <c r="P10" i="3" a="1"/>
  <c r="X10" i="3" a="1"/>
  <c r="AF10" i="3" a="1"/>
  <c r="AN10" i="3" a="1"/>
  <c r="AV10" i="3" a="1"/>
  <c r="G11" i="3" a="1"/>
  <c r="O11" i="3" a="1"/>
  <c r="W11" i="3" a="1"/>
  <c r="AE11" i="3" a="1"/>
  <c r="AM11" i="3" a="1"/>
  <c r="AU11" i="3" a="1"/>
  <c r="F12" i="3" a="1"/>
  <c r="N12" i="3" a="1"/>
  <c r="V12" i="3" a="1"/>
  <c r="AD12" i="3" a="1"/>
  <c r="AL12" i="3" a="1"/>
  <c r="AT12" i="3" a="1"/>
  <c r="E13" i="3" a="1"/>
  <c r="M13" i="3" a="1"/>
  <c r="U13" i="3" a="1"/>
  <c r="AC13" i="3" a="1"/>
  <c r="AK13" i="3" a="1"/>
  <c r="AS13" i="3" a="1"/>
  <c r="D14" i="3" a="1"/>
  <c r="L14" i="3" a="1"/>
  <c r="T14" i="3" a="1"/>
  <c r="AB14" i="3" a="1"/>
  <c r="AJ14" i="3" a="1"/>
  <c r="AR14" i="3" a="1"/>
  <c r="AZ14" i="3" a="1"/>
  <c r="K15" i="3" a="1"/>
  <c r="S15" i="3" a="1"/>
  <c r="AA15" i="3" a="1"/>
  <c r="AI15" i="3" a="1"/>
  <c r="AQ15" i="3" a="1"/>
  <c r="AY15" i="3" a="1"/>
  <c r="J16" i="3" a="1"/>
  <c r="R16" i="3" a="1"/>
  <c r="Z16" i="3" a="1"/>
  <c r="AH16" i="3" a="1"/>
  <c r="AP16" i="3" a="1"/>
  <c r="AX16" i="3" a="1"/>
  <c r="I17" i="3" a="1"/>
  <c r="H3" i="3" a="1"/>
  <c r="P3" i="3" a="1"/>
  <c r="X3" i="3" a="1"/>
  <c r="AF3" i="3" a="1"/>
  <c r="AN3" i="3" a="1"/>
  <c r="AV3" i="3" a="1"/>
  <c r="G4" i="3" a="1"/>
  <c r="O4" i="3" a="1"/>
  <c r="W4" i="3" a="1"/>
  <c r="AE4" i="3" a="1"/>
  <c r="AM4" i="3" a="1"/>
  <c r="AU4" i="3" a="1"/>
  <c r="F5" i="3" a="1"/>
  <c r="N5" i="3" a="1"/>
  <c r="V5" i="3" a="1"/>
  <c r="AD5" i="3" a="1"/>
  <c r="AL5" i="3" a="1"/>
  <c r="AT5" i="3" a="1"/>
  <c r="E6" i="3" a="1"/>
  <c r="M6" i="3" a="1"/>
  <c r="U6" i="3" a="1"/>
  <c r="AC6" i="3" a="1"/>
  <c r="AK6" i="3" a="1"/>
  <c r="AS6" i="3" a="1"/>
  <c r="D7" i="3" a="1"/>
  <c r="L7" i="3" a="1"/>
  <c r="T7" i="3" a="1"/>
  <c r="AB7" i="3" a="1"/>
  <c r="AJ7" i="3" a="1"/>
  <c r="AR7" i="3" a="1"/>
  <c r="AZ7" i="3" a="1"/>
  <c r="K8" i="3" a="1"/>
  <c r="S8" i="3" a="1"/>
  <c r="AA8" i="3" a="1"/>
  <c r="AI8" i="3" a="1"/>
  <c r="AQ8" i="3" a="1"/>
  <c r="AY8" i="3" a="1"/>
  <c r="J9" i="3" a="1"/>
  <c r="R9" i="3" a="1"/>
  <c r="Z9" i="3" a="1"/>
  <c r="AH9" i="3" a="1"/>
  <c r="AP9" i="3" a="1"/>
  <c r="AX9" i="3" a="1"/>
  <c r="I10" i="3" a="1"/>
  <c r="Q10" i="3" a="1"/>
  <c r="Y10" i="3" a="1"/>
  <c r="AG10" i="3" a="1"/>
  <c r="AO10" i="3" a="1"/>
  <c r="AW10" i="3" a="1"/>
  <c r="H11" i="3" a="1"/>
  <c r="P11" i="3" a="1"/>
  <c r="X11" i="3" a="1"/>
  <c r="AF11" i="3" a="1"/>
  <c r="AN11" i="3" a="1"/>
  <c r="I3" i="3" a="1"/>
  <c r="Q3" i="3" a="1"/>
  <c r="Y3" i="3" a="1"/>
  <c r="AG3" i="3" a="1"/>
  <c r="AO3" i="3" a="1"/>
  <c r="AW3" i="3" a="1"/>
  <c r="H4" i="3" a="1"/>
  <c r="P4" i="3" a="1"/>
  <c r="X4" i="3" a="1"/>
  <c r="AF4" i="3" a="1"/>
  <c r="AN4" i="3" a="1"/>
  <c r="AV4" i="3" a="1"/>
  <c r="G5" i="3" a="1"/>
  <c r="O5" i="3" a="1"/>
  <c r="W5" i="3" a="1"/>
  <c r="AE5" i="3" a="1"/>
  <c r="AM5" i="3" a="1"/>
  <c r="AU5" i="3" a="1"/>
  <c r="F6" i="3" a="1"/>
  <c r="N6" i="3" a="1"/>
  <c r="V6" i="3" a="1"/>
  <c r="AD6" i="3" a="1"/>
  <c r="AL6" i="3" a="1"/>
  <c r="AT6" i="3" a="1"/>
  <c r="E7" i="3" a="1"/>
  <c r="M7" i="3" a="1"/>
  <c r="U7" i="3" a="1"/>
  <c r="AC7" i="3" a="1"/>
  <c r="AK7" i="3" a="1"/>
  <c r="AS7" i="3" a="1"/>
  <c r="D8" i="3" a="1"/>
  <c r="L8" i="3" a="1"/>
  <c r="T8" i="3" a="1"/>
  <c r="AB8" i="3" a="1"/>
  <c r="AJ8" i="3" a="1"/>
  <c r="AR8" i="3" a="1"/>
  <c r="J3" i="3" a="1"/>
  <c r="R3" i="3" a="1"/>
  <c r="Z3" i="3" a="1"/>
  <c r="AH3" i="3" a="1"/>
  <c r="AP3" i="3" a="1"/>
  <c r="AX3" i="3" a="1"/>
  <c r="I4" i="3" a="1"/>
  <c r="Q4" i="3" a="1"/>
  <c r="Y4" i="3" a="1"/>
  <c r="AG4" i="3" a="1"/>
  <c r="AO4" i="3" a="1"/>
  <c r="AW4" i="3" a="1"/>
  <c r="H5" i="3" a="1"/>
  <c r="P5" i="3" a="1"/>
  <c r="X5" i="3" a="1"/>
  <c r="AF5" i="3" a="1"/>
  <c r="AN5" i="3" a="1"/>
  <c r="AV5" i="3" a="1"/>
  <c r="G6" i="3" a="1"/>
  <c r="O6" i="3" a="1"/>
  <c r="W6" i="3" a="1"/>
  <c r="AE6" i="3" a="1"/>
  <c r="AM6" i="3" a="1"/>
  <c r="AU6" i="3" a="1"/>
  <c r="F7" i="3" a="1"/>
  <c r="N7" i="3" a="1"/>
  <c r="V7" i="3" a="1"/>
  <c r="AD7" i="3" a="1"/>
  <c r="AL7" i="3" a="1"/>
  <c r="AT7" i="3" a="1"/>
  <c r="E8" i="3" a="1"/>
  <c r="M8" i="3" a="1"/>
  <c r="U8" i="3" a="1"/>
  <c r="AC8" i="3" a="1"/>
  <c r="AK8" i="3" a="1"/>
  <c r="K3" i="3" a="1"/>
  <c r="AO5" i="3" a="1"/>
  <c r="W7" i="3" a="1"/>
  <c r="AL8" i="3" a="1"/>
  <c r="T9" i="3" a="1"/>
  <c r="AS9" i="3" a="1"/>
  <c r="U10" i="3" a="1"/>
  <c r="AT10" i="3" a="1"/>
  <c r="Y11" i="3" a="1"/>
  <c r="AS11" i="3" a="1"/>
  <c r="J12" i="3" a="1"/>
  <c r="W12" i="3" a="1"/>
  <c r="AI12" i="3" a="1"/>
  <c r="AV12" i="3" a="1"/>
  <c r="K13" i="3" a="1"/>
  <c r="Y13" i="3" a="1"/>
  <c r="AL13" i="3" a="1"/>
  <c r="AX13" i="3" a="1"/>
  <c r="N14" i="3" a="1"/>
  <c r="Z14" i="3" a="1"/>
  <c r="AN14" i="3" a="1"/>
  <c r="D15" i="3" a="1"/>
  <c r="P15" i="3" a="1"/>
  <c r="AC15" i="3" a="1"/>
  <c r="AO15" i="3" a="1"/>
  <c r="F16" i="3" a="1"/>
  <c r="S16" i="3" a="1"/>
  <c r="AE16" i="3" a="1"/>
  <c r="AR16" i="3" a="1"/>
  <c r="E17" i="3" a="1"/>
  <c r="N17" i="3" a="1"/>
  <c r="V17" i="3" a="1"/>
  <c r="AD17" i="3" a="1"/>
  <c r="AL17" i="3" a="1"/>
  <c r="AT17" i="3" a="1"/>
  <c r="E18" i="3" a="1"/>
  <c r="M18" i="3" a="1"/>
  <c r="U18" i="3" a="1"/>
  <c r="AC18" i="3" a="1"/>
  <c r="AK18" i="3" a="1"/>
  <c r="AS18" i="3" a="1"/>
  <c r="D19" i="3" a="1"/>
  <c r="L19" i="3" a="1"/>
  <c r="T19" i="3" a="1"/>
  <c r="AB19" i="3" a="1"/>
  <c r="AJ19" i="3" a="1"/>
  <c r="AR19" i="3" a="1"/>
  <c r="AZ19" i="3" a="1"/>
  <c r="AM16" i="3" a="1"/>
  <c r="I19" i="3" a="1"/>
  <c r="N15" i="3" a="1"/>
  <c r="J13" i="3" a="1"/>
  <c r="AB18" i="3" a="1"/>
  <c r="S3" i="3" a="1"/>
  <c r="AW5" i="3" a="1"/>
  <c r="Y7" i="3" a="1"/>
  <c r="AN8" i="3" a="1"/>
  <c r="U9" i="3" a="1"/>
  <c r="AT9" i="3" a="1"/>
  <c r="V10" i="3" a="1"/>
  <c r="AX10" i="3" a="1"/>
  <c r="Z11" i="3" a="1"/>
  <c r="AW12" i="3" a="1"/>
  <c r="O14" i="3" a="1"/>
  <c r="AD15" i="3" a="1"/>
  <c r="AS16" i="3" a="1"/>
  <c r="U16" i="3" a="1"/>
  <c r="G18" i="3" a="1"/>
  <c r="AE18" i="3" a="1"/>
  <c r="AU18" i="3" a="1"/>
  <c r="V19" i="3" a="1"/>
  <c r="AT19" i="3" a="1"/>
  <c r="P19" i="3" a="1"/>
  <c r="AV19" i="3" a="1"/>
  <c r="AW15" i="3" a="1"/>
  <c r="AA17" i="3" a="1"/>
  <c r="J18" i="3" a="1"/>
  <c r="AP18" i="3" a="1"/>
  <c r="AO19" i="3" a="1"/>
  <c r="AI18" i="3" a="1"/>
  <c r="I7" i="3" a="1"/>
  <c r="O7" i="3" a="1"/>
  <c r="W13" i="3" a="1"/>
  <c r="O15" i="3" a="1"/>
  <c r="AQ16" i="3" a="1"/>
  <c r="AJ18" i="3" a="1"/>
  <c r="AY19" i="3" a="1"/>
  <c r="AA3" i="3" a="1"/>
  <c r="H6" i="3" a="1"/>
  <c r="AE7" i="3" a="1"/>
  <c r="AS8" i="3" a="1"/>
  <c r="V9" i="3" a="1"/>
  <c r="AU9" i="3" a="1"/>
  <c r="Z10" i="3" a="1"/>
  <c r="AY10" i="3" a="1"/>
  <c r="AA11" i="3" a="1"/>
  <c r="AV11" i="3" a="1"/>
  <c r="K12" i="3" a="1"/>
  <c r="X12" i="3" a="1"/>
  <c r="AJ12" i="3" a="1"/>
  <c r="AX12" i="3" a="1"/>
  <c r="N13" i="3" a="1"/>
  <c r="Z13" i="3" a="1"/>
  <c r="AM13" i="3" a="1"/>
  <c r="AY13" i="3" a="1"/>
  <c r="P14" i="3" a="1"/>
  <c r="AC14" i="3" a="1"/>
  <c r="AO14" i="3" a="1"/>
  <c r="E15" i="3" a="1"/>
  <c r="Q15" i="3" a="1"/>
  <c r="AE15" i="3" a="1"/>
  <c r="AR15" i="3" a="1"/>
  <c r="G16" i="3" a="1"/>
  <c r="T16" i="3" a="1"/>
  <c r="AF16" i="3" a="1"/>
  <c r="AT16" i="3" a="1"/>
  <c r="F17" i="3" a="1"/>
  <c r="O17" i="3" a="1"/>
  <c r="W17" i="3" a="1"/>
  <c r="AE17" i="3" a="1"/>
  <c r="AM17" i="3" a="1"/>
  <c r="AU17" i="3" a="1"/>
  <c r="F18" i="3" a="1"/>
  <c r="N18" i="3" a="1"/>
  <c r="V18" i="3" a="1"/>
  <c r="AD18" i="3" a="1"/>
  <c r="AL18" i="3" a="1"/>
  <c r="AT18" i="3" a="1"/>
  <c r="E19" i="3" a="1"/>
  <c r="M19" i="3" a="1"/>
  <c r="U19" i="3" a="1"/>
  <c r="AC19" i="3" a="1"/>
  <c r="AK19" i="3" a="1"/>
  <c r="AS19" i="3" a="1"/>
  <c r="O18" i="3" a="1"/>
  <c r="AM18" i="3" a="1"/>
  <c r="F19" i="3" a="1"/>
  <c r="AD19" i="3" a="1"/>
  <c r="AL19" i="3" a="1"/>
  <c r="X19" i="3" a="1"/>
  <c r="N16" i="3" a="1"/>
  <c r="AQ17" i="3" a="1"/>
  <c r="Z18" i="3" a="1"/>
  <c r="AG19" i="3" a="1"/>
  <c r="S18" i="3" a="1"/>
  <c r="AH19" i="3" a="1"/>
  <c r="N9" i="3" a="1"/>
  <c r="AD8" i="3" a="1"/>
  <c r="M14" i="3" a="1"/>
  <c r="P16" i="3" a="1"/>
  <c r="AS17" i="3" a="1"/>
  <c r="AI19" i="3" a="1"/>
  <c r="AI3" i="3" a="1"/>
  <c r="P6" i="3" a="1"/>
  <c r="AG7" i="3" a="1"/>
  <c r="AT8" i="3" a="1"/>
  <c r="W9" i="3" a="1"/>
  <c r="AY9" i="3" a="1"/>
  <c r="AA10" i="3" a="1"/>
  <c r="AZ10" i="3" a="1"/>
  <c r="AB11" i="3" a="1"/>
  <c r="Y12" i="3" a="1"/>
  <c r="AN13" i="3" a="1"/>
  <c r="F15" i="3" a="1"/>
  <c r="AP19" i="3" a="1"/>
  <c r="AH12" i="3" a="1"/>
  <c r="S19" i="3" a="1"/>
  <c r="AQ3" i="3" a="1"/>
  <c r="X6" i="3" a="1"/>
  <c r="AM7" i="3" a="1"/>
  <c r="AV8" i="3" a="1"/>
  <c r="AA9" i="3" a="1"/>
  <c r="AZ9" i="3" a="1"/>
  <c r="AB10" i="3" a="1"/>
  <c r="D11" i="3" a="1"/>
  <c r="AC11" i="3" a="1"/>
  <c r="AW11" i="3" a="1"/>
  <c r="L12" i="3" a="1"/>
  <c r="Z12" i="3" a="1"/>
  <c r="AM12" i="3" a="1"/>
  <c r="AY12" i="3" a="1"/>
  <c r="O13" i="3" a="1"/>
  <c r="AA13" i="3" a="1"/>
  <c r="AO13" i="3" a="1"/>
  <c r="E14" i="3" a="1"/>
  <c r="Q14" i="3" a="1"/>
  <c r="AD14" i="3" a="1"/>
  <c r="AP14" i="3" a="1"/>
  <c r="G15" i="3" a="1"/>
  <c r="T15" i="3" a="1"/>
  <c r="AF15" i="3" a="1"/>
  <c r="AS15" i="3" a="1"/>
  <c r="H16" i="3" a="1"/>
  <c r="V16" i="3" a="1"/>
  <c r="AI16" i="3" a="1"/>
  <c r="AU16" i="3" a="1"/>
  <c r="G17" i="3" a="1"/>
  <c r="P17" i="3" a="1"/>
  <c r="X17" i="3" a="1"/>
  <c r="AF17" i="3" a="1"/>
  <c r="AN17" i="3" a="1"/>
  <c r="AV17" i="3" a="1"/>
  <c r="W18" i="3" a="1"/>
  <c r="N19" i="3" a="1"/>
  <c r="AY16" i="3" a="1"/>
  <c r="AX18" i="3" a="1"/>
  <c r="AM9" i="3" a="1"/>
  <c r="H12" i="3" a="1"/>
  <c r="K19" i="3" a="1"/>
  <c r="AY3" i="3" a="1"/>
  <c r="Z6" i="3" a="1"/>
  <c r="AO7" i="3" a="1"/>
  <c r="AZ8" i="3" a="1"/>
  <c r="AB9" i="3" a="1"/>
  <c r="D10" i="3" a="1"/>
  <c r="AC10" i="3" a="1"/>
  <c r="E11" i="3" a="1"/>
  <c r="AG11" i="3" a="1"/>
  <c r="AX11" i="3" a="1"/>
  <c r="P13" i="3" a="1"/>
  <c r="AE14" i="3" a="1"/>
  <c r="AT15" i="3" a="1"/>
  <c r="R17" i="3" a="1"/>
  <c r="AX17" i="3" a="1"/>
  <c r="Q18" i="3" a="1"/>
  <c r="AG18" i="3" a="1"/>
  <c r="AW18" i="3" a="1"/>
  <c r="AN19" i="3" a="1"/>
  <c r="AK15" i="3" a="1"/>
  <c r="AI17" i="3" a="1"/>
  <c r="R18" i="3" a="1"/>
  <c r="Y19" i="3" a="1"/>
  <c r="AA18" i="3" a="1"/>
  <c r="Z19" i="3" a="1"/>
  <c r="S11" i="3" a="1"/>
  <c r="AV13" i="3" a="1"/>
  <c r="AC16" i="3" a="1"/>
  <c r="Y5" i="3" a="1"/>
  <c r="AU12" i="3" a="1"/>
  <c r="AX14" i="3" a="1"/>
  <c r="D17" i="3" a="1"/>
  <c r="AR18" i="3" a="1"/>
  <c r="J4" i="3" a="1"/>
  <c r="AF6" i="3" a="1"/>
  <c r="AU7" i="3" a="1"/>
  <c r="D9" i="3" a="1"/>
  <c r="AC9" i="3" a="1"/>
  <c r="E10" i="3" a="1"/>
  <c r="AD10" i="3" a="1"/>
  <c r="I11" i="3" a="1"/>
  <c r="AH11" i="3" a="1"/>
  <c r="AY11" i="3" a="1"/>
  <c r="O12" i="3" a="1"/>
  <c r="AA12" i="3" a="1"/>
  <c r="AN12" i="3" a="1"/>
  <c r="AZ12" i="3" a="1"/>
  <c r="Q13" i="3" a="1"/>
  <c r="AD13" i="3" a="1"/>
  <c r="AP13" i="3" a="1"/>
  <c r="F14" i="3" a="1"/>
  <c r="R14" i="3" a="1"/>
  <c r="AF14" i="3" a="1"/>
  <c r="AS14" i="3" a="1"/>
  <c r="H15" i="3" a="1"/>
  <c r="U15" i="3" a="1"/>
  <c r="AG15" i="3" a="1"/>
  <c r="AU15" i="3" a="1"/>
  <c r="K16" i="3" a="1"/>
  <c r="W16" i="3" a="1"/>
  <c r="AJ16" i="3" a="1"/>
  <c r="AV16" i="3" a="1"/>
  <c r="Q17" i="3" a="1"/>
  <c r="Y17" i="3" a="1"/>
  <c r="AG17" i="3" a="1"/>
  <c r="AO17" i="3" a="1"/>
  <c r="AW17" i="3" a="1"/>
  <c r="H18" i="3" a="1"/>
  <c r="P18" i="3" a="1"/>
  <c r="X18" i="3" a="1"/>
  <c r="AF18" i="3" a="1"/>
  <c r="AN18" i="3" a="1"/>
  <c r="AV18" i="3" a="1"/>
  <c r="G19" i="3" a="1"/>
  <c r="O19" i="3" a="1"/>
  <c r="W19" i="3" a="1"/>
  <c r="AE19" i="3" a="1"/>
  <c r="AM19" i="3" a="1"/>
  <c r="AU19" i="3" a="1"/>
  <c r="AK16" i="3" a="1"/>
  <c r="Z17" i="3" a="1"/>
  <c r="AP17" i="3" a="1"/>
  <c r="I18" i="3" a="1"/>
  <c r="AO18" i="3" a="1"/>
  <c r="H19" i="3" a="1"/>
  <c r="AF19" i="3" a="1"/>
  <c r="AA16" i="3" a="1"/>
  <c r="S17" i="3" a="1"/>
  <c r="AY17" i="3" a="1"/>
  <c r="AH18" i="3" a="1"/>
  <c r="Q19" i="3" a="1"/>
  <c r="AW19" i="3" a="1"/>
  <c r="R19" i="3" a="1"/>
  <c r="X8" i="3" a="1"/>
  <c r="O9" i="3" a="1"/>
  <c r="T12" i="3" a="1"/>
  <c r="AW13" i="3" a="1"/>
  <c r="AN15" i="3" a="1"/>
  <c r="M17" i="3" a="1"/>
  <c r="AZ18" i="3" a="1"/>
  <c r="AQ19" i="3" a="1"/>
  <c r="R4" i="3" a="1"/>
  <c r="AH6" i="3" a="1"/>
  <c r="AW7" i="3" a="1"/>
  <c r="E9" i="3" a="1"/>
  <c r="AD9" i="3" a="1"/>
  <c r="F10" i="3" a="1"/>
  <c r="AH10" i="3" a="1"/>
  <c r="J11" i="3" a="1"/>
  <c r="AI11" i="3" a="1"/>
  <c r="AO12" i="3" a="1"/>
  <c r="G14" i="3" a="1"/>
  <c r="V15" i="3" a="1"/>
  <c r="Q5" i="3" a="1"/>
  <c r="Z4" i="3" a="1"/>
  <c r="AN6" i="3" a="1"/>
  <c r="F8" i="3" a="1"/>
  <c r="F9" i="3" a="1"/>
  <c r="AE9" i="3" a="1"/>
  <c r="J10" i="3" a="1"/>
  <c r="AI10" i="3" a="1"/>
  <c r="K11" i="3" a="1"/>
  <c r="AJ11" i="3" a="1"/>
  <c r="AZ11" i="3" a="1"/>
  <c r="P12" i="3" a="1"/>
  <c r="AB12" i="3" a="1"/>
  <c r="AP12" i="3" a="1"/>
  <c r="F13" i="3" a="1"/>
  <c r="R13" i="3" a="1"/>
  <c r="AE13" i="3" a="1"/>
  <c r="AQ13" i="3" a="1"/>
  <c r="H14" i="3" a="1"/>
  <c r="U14" i="3" a="1"/>
  <c r="AG14" i="3" a="1"/>
  <c r="AT14" i="3" a="1"/>
  <c r="I15" i="3" a="1"/>
  <c r="W15" i="3" a="1"/>
  <c r="AJ15" i="3" a="1"/>
  <c r="AV15" i="3" a="1"/>
  <c r="L16" i="3" a="1"/>
  <c r="X16" i="3" a="1"/>
  <c r="AL16" i="3" a="1"/>
  <c r="J17" i="3" a="1"/>
  <c r="AH17" i="3" a="1"/>
  <c r="Y18" i="3" a="1"/>
  <c r="AQ18" i="3" a="1"/>
  <c r="AG12" i="3" a="1"/>
  <c r="AR10" i="3" a="1"/>
  <c r="Y14" i="3" a="1"/>
  <c r="D16" i="3" a="1"/>
  <c r="U17" i="3" a="1"/>
  <c r="L18" i="3" a="1"/>
  <c r="AA19" i="3" a="1"/>
  <c r="AH4" i="3" a="1"/>
  <c r="AP6" i="3" a="1"/>
  <c r="H8" i="3" a="1"/>
  <c r="G9" i="3" a="1"/>
  <c r="AI9" i="3" a="1"/>
  <c r="K10" i="3" a="1"/>
  <c r="AJ10" i="3" a="1"/>
  <c r="L11" i="3" a="1"/>
  <c r="AK11" i="3" a="1"/>
  <c r="Q12" i="3" a="1"/>
  <c r="AF13" i="3" a="1"/>
  <c r="AU14" i="3" a="1"/>
  <c r="M16" i="3" a="1"/>
  <c r="AY18" i="3" a="1"/>
  <c r="AR11" i="3" a="1"/>
  <c r="AB15" i="3" a="1"/>
  <c r="AK17" i="3" a="1"/>
  <c r="AP4" i="3" a="1"/>
  <c r="AV6" i="3" a="1"/>
  <c r="N8" i="3" a="1"/>
  <c r="K9" i="3" a="1"/>
  <c r="AJ9" i="3" a="1"/>
  <c r="L10" i="3" a="1"/>
  <c r="AK10" i="3" a="1"/>
  <c r="M11" i="3" a="1"/>
  <c r="AO11" i="3" a="1"/>
  <c r="D12" i="3" a="1"/>
  <c r="R12" i="3" a="1"/>
  <c r="AE12" i="3" a="1"/>
  <c r="AQ12" i="3" a="1"/>
  <c r="G13" i="3" a="1"/>
  <c r="S13" i="3" a="1"/>
  <c r="AG13" i="3" a="1"/>
  <c r="AT13" i="3" a="1"/>
  <c r="I14" i="3" a="1"/>
  <c r="V14" i="3" a="1"/>
  <c r="AH14" i="3" a="1"/>
  <c r="AV14" i="3" a="1"/>
  <c r="L15" i="3" a="1"/>
  <c r="X15" i="3" a="1"/>
  <c r="K17" i="3" a="1"/>
  <c r="AI13" i="3" a="1"/>
  <c r="AX4" i="3" a="1"/>
  <c r="AX6" i="3" a="1"/>
  <c r="P8" i="3" a="1"/>
  <c r="L9" i="3" a="1"/>
  <c r="AK9" i="3" a="1"/>
  <c r="M10" i="3" a="1"/>
  <c r="AL10" i="3" a="1"/>
  <c r="Q11" i="3" a="1"/>
  <c r="AP11" i="3" a="1"/>
  <c r="H13" i="3" a="1"/>
  <c r="W14" i="3" a="1"/>
  <c r="AL15" i="3" a="1"/>
  <c r="J14" i="3" a="1"/>
  <c r="M15" i="3" a="1"/>
  <c r="AM15" i="3" a="1"/>
  <c r="O16" i="3" a="1"/>
  <c r="AN16" i="3" a="1"/>
  <c r="L17" i="3" a="1"/>
  <c r="AB17" i="3" a="1"/>
  <c r="AR17" i="3" a="1"/>
  <c r="K18" i="3" a="1"/>
  <c r="AQ10" i="3" a="1"/>
  <c r="S10" i="3" a="1"/>
  <c r="AC17" i="3" a="1"/>
  <c r="I5" i="3" a="1"/>
  <c r="G7" i="3" a="1"/>
  <c r="V8" i="3" a="1"/>
  <c r="M9" i="3" a="1"/>
  <c r="AL9" i="3" a="1"/>
  <c r="N10" i="3" a="1"/>
  <c r="AP10" i="3" a="1"/>
  <c r="R11" i="3" a="1"/>
  <c r="AQ11" i="3" a="1"/>
  <c r="G12" i="3" a="1"/>
  <c r="S12" i="3" a="1"/>
  <c r="AF12" i="3" a="1"/>
  <c r="AR12" i="3" a="1"/>
  <c r="I13" i="3" a="1"/>
  <c r="V13" i="3" a="1"/>
  <c r="AH13" i="3" a="1"/>
  <c r="AU13" i="3" a="1"/>
  <c r="X14" i="3" a="1"/>
  <c r="AK14" i="3" a="1"/>
  <c r="AW14" i="3" a="1"/>
  <c r="Y15" i="3" a="1"/>
  <c r="AZ15" i="3" a="1"/>
  <c r="AB16" i="3" a="1"/>
  <c r="AZ16" i="3" a="1"/>
  <c r="T17" i="3" a="1"/>
  <c r="AJ17" i="3" a="1"/>
  <c r="AZ17" i="3" a="1"/>
  <c r="J19" i="3" a="1"/>
  <c r="AQ9" i="3" a="1"/>
  <c r="D18" i="3" a="1"/>
  <c r="AG5" i="3" a="1"/>
  <c r="Q7" i="3" a="1"/>
  <c r="AF8" i="3" a="1"/>
  <c r="S9" i="3" a="1"/>
  <c r="AR9" i="3" a="1"/>
  <c r="T10" i="3" a="1"/>
  <c r="AS10" i="3" a="1"/>
  <c r="U11" i="3" a="1"/>
  <c r="I12" i="3" a="1"/>
  <c r="X13" i="3" a="1"/>
  <c r="AM14" i="3" a="1"/>
  <c r="E16" i="3" a="1"/>
  <c r="AX19" i="3" a="1"/>
  <c r="R10" i="3" a="1"/>
  <c r="T11" i="3" a="1"/>
  <c r="AL14" i="3" a="1"/>
  <c r="AD16" i="3" a="1"/>
  <c r="T18" i="3" a="1"/>
  <c r="C4" i="3" a="1"/>
  <c r="C13" i="3" a="1"/>
  <c r="C5" i="3" a="1"/>
  <c r="C14" i="3" a="1"/>
  <c r="C17" i="3" a="1"/>
  <c r="C11" i="3" a="1"/>
  <c r="C6" i="3" a="1"/>
  <c r="C7" i="3" a="1"/>
  <c r="C9" i="3" a="1"/>
  <c r="C10" i="3" a="1"/>
  <c r="C12" i="3" a="1"/>
  <c r="C15" i="3" a="1"/>
  <c r="C18" i="3" a="1"/>
  <c r="C16" i="3" a="1"/>
  <c r="C8" i="3" a="1"/>
  <c r="C19" i="3" a="1"/>
  <c r="C3" i="3" a="1"/>
  <c r="D45" i="2" a="1"/>
  <c r="L45" i="2" a="1"/>
  <c r="T45" i="2" a="1"/>
  <c r="AB45" i="2" a="1"/>
  <c r="AJ45" i="2" a="1"/>
  <c r="AR45" i="2" a="1"/>
  <c r="AZ45" i="2" a="1"/>
  <c r="K46" i="2" a="1"/>
  <c r="S46" i="2" a="1"/>
  <c r="AA46" i="2" a="1"/>
  <c r="AI46" i="2" a="1"/>
  <c r="AQ46" i="2" a="1"/>
  <c r="AY46" i="2" a="1"/>
  <c r="J47" i="2" a="1"/>
  <c r="R47" i="2" a="1"/>
  <c r="Z47" i="2" a="1"/>
  <c r="AH47" i="2" a="1"/>
  <c r="AP47" i="2" a="1"/>
  <c r="AX47" i="2" a="1"/>
  <c r="I48" i="2" a="1"/>
  <c r="Q48" i="2" a="1"/>
  <c r="Y48" i="2" a="1"/>
  <c r="AG48" i="2" a="1"/>
  <c r="AO48" i="2" a="1"/>
  <c r="AW48" i="2" a="1"/>
  <c r="H49" i="2" a="1"/>
  <c r="P49" i="2" a="1"/>
  <c r="X49" i="2" a="1"/>
  <c r="AF49" i="2" a="1"/>
  <c r="AN49" i="2" a="1"/>
  <c r="AV49" i="2" a="1"/>
  <c r="G50" i="2" a="1"/>
  <c r="O50" i="2" a="1"/>
  <c r="W50" i="2" a="1"/>
  <c r="AE50" i="2" a="1"/>
  <c r="AM50" i="2" a="1"/>
  <c r="AU50" i="2" a="1"/>
  <c r="F51" i="2" a="1"/>
  <c r="N51" i="2" a="1"/>
  <c r="V51" i="2" a="1"/>
  <c r="AD51" i="2" a="1"/>
  <c r="AL51" i="2" a="1"/>
  <c r="AT51" i="2" a="1"/>
  <c r="E52" i="2" a="1"/>
  <c r="M52" i="2" a="1"/>
  <c r="U52" i="2" a="1"/>
  <c r="AC52" i="2" a="1"/>
  <c r="AK52" i="2" a="1"/>
  <c r="AS52" i="2" a="1"/>
  <c r="D53" i="2" a="1"/>
  <c r="L53" i="2" a="1"/>
  <c r="T53" i="2" a="1"/>
  <c r="AB53" i="2" a="1"/>
  <c r="AJ53" i="2" a="1"/>
  <c r="AR53" i="2" a="1"/>
  <c r="AZ53" i="2" a="1"/>
  <c r="K54" i="2" a="1"/>
  <c r="S54" i="2" a="1"/>
  <c r="AA54" i="2" a="1"/>
  <c r="AI54" i="2" a="1"/>
  <c r="E45" i="2" a="1"/>
  <c r="M45" i="2" a="1"/>
  <c r="U45" i="2" a="1"/>
  <c r="AC45" i="2" a="1"/>
  <c r="AK45" i="2" a="1"/>
  <c r="AS45" i="2" a="1"/>
  <c r="D46" i="2" a="1"/>
  <c r="L46" i="2" a="1"/>
  <c r="T46" i="2" a="1"/>
  <c r="AB46" i="2" a="1"/>
  <c r="AJ46" i="2" a="1"/>
  <c r="AR46" i="2" a="1"/>
  <c r="AZ46" i="2" a="1"/>
  <c r="K47" i="2" a="1"/>
  <c r="S47" i="2" a="1"/>
  <c r="AA47" i="2" a="1"/>
  <c r="AI47" i="2" a="1"/>
  <c r="AQ47" i="2" a="1"/>
  <c r="AY47" i="2" a="1"/>
  <c r="J48" i="2" a="1"/>
  <c r="R48" i="2" a="1"/>
  <c r="Z48" i="2" a="1"/>
  <c r="AH48" i="2" a="1"/>
  <c r="AP48" i="2" a="1"/>
  <c r="AX48" i="2" a="1"/>
  <c r="I49" i="2" a="1"/>
  <c r="Q49" i="2" a="1"/>
  <c r="Y49" i="2" a="1"/>
  <c r="AG49" i="2" a="1"/>
  <c r="AO49" i="2" a="1"/>
  <c r="AW49" i="2" a="1"/>
  <c r="H50" i="2" a="1"/>
  <c r="P50" i="2" a="1"/>
  <c r="X50" i="2" a="1"/>
  <c r="AF50" i="2" a="1"/>
  <c r="AN50" i="2" a="1"/>
  <c r="AV50" i="2" a="1"/>
  <c r="G51" i="2" a="1"/>
  <c r="O51" i="2" a="1"/>
  <c r="W51" i="2" a="1"/>
  <c r="AE51" i="2" a="1"/>
  <c r="AM51" i="2" a="1"/>
  <c r="AU51" i="2" a="1"/>
  <c r="F52" i="2" a="1"/>
  <c r="N52" i="2" a="1"/>
  <c r="V52" i="2" a="1"/>
  <c r="AD52" i="2" a="1"/>
  <c r="AL52" i="2" a="1"/>
  <c r="AT52" i="2" a="1"/>
  <c r="E53" i="2" a="1"/>
  <c r="M53" i="2" a="1"/>
  <c r="U53" i="2" a="1"/>
  <c r="AC53" i="2" a="1"/>
  <c r="AK53" i="2" a="1"/>
  <c r="AS53" i="2" a="1"/>
  <c r="D54" i="2" a="1"/>
  <c r="L54" i="2" a="1"/>
  <c r="T54" i="2" a="1"/>
  <c r="AB54" i="2" a="1"/>
  <c r="AJ54" i="2" a="1"/>
  <c r="AR54" i="2" a="1"/>
  <c r="AZ54" i="2" a="1"/>
  <c r="K55" i="2" a="1"/>
  <c r="S55" i="2" a="1"/>
  <c r="AA55" i="2" a="1"/>
  <c r="AI55" i="2" a="1"/>
  <c r="AQ55" i="2" a="1"/>
  <c r="AY55" i="2" a="1"/>
  <c r="J56" i="2" a="1"/>
  <c r="R56" i="2" a="1"/>
  <c r="Z56" i="2" a="1"/>
  <c r="AH56" i="2" a="1"/>
  <c r="AP56" i="2" a="1"/>
  <c r="AX56" i="2" a="1"/>
  <c r="F45" i="2" a="1"/>
  <c r="N45" i="2" a="1"/>
  <c r="V45" i="2" a="1"/>
  <c r="AD45" i="2" a="1"/>
  <c r="AL45" i="2" a="1"/>
  <c r="AT45" i="2" a="1"/>
  <c r="E46" i="2" a="1"/>
  <c r="M46" i="2" a="1"/>
  <c r="U46" i="2" a="1"/>
  <c r="AC46" i="2" a="1"/>
  <c r="AK46" i="2" a="1"/>
  <c r="AS46" i="2" a="1"/>
  <c r="D47" i="2" a="1"/>
  <c r="L47" i="2" a="1"/>
  <c r="T47" i="2" a="1"/>
  <c r="AB47" i="2" a="1"/>
  <c r="AJ47" i="2" a="1"/>
  <c r="AR47" i="2" a="1"/>
  <c r="AZ47" i="2" a="1"/>
  <c r="K48" i="2" a="1"/>
  <c r="S48" i="2" a="1"/>
  <c r="AA48" i="2" a="1"/>
  <c r="AI48" i="2" a="1"/>
  <c r="AQ48" i="2" a="1"/>
  <c r="AY48" i="2" a="1"/>
  <c r="J49" i="2" a="1"/>
  <c r="R49" i="2" a="1"/>
  <c r="Z49" i="2" a="1"/>
  <c r="AH49" i="2" a="1"/>
  <c r="AP49" i="2" a="1"/>
  <c r="AX49" i="2" a="1"/>
  <c r="I50" i="2" a="1"/>
  <c r="Q50" i="2" a="1"/>
  <c r="Y50" i="2" a="1"/>
  <c r="AG50" i="2" a="1"/>
  <c r="AO50" i="2" a="1"/>
  <c r="AW50" i="2" a="1"/>
  <c r="H51" i="2" a="1"/>
  <c r="P51" i="2" a="1"/>
  <c r="X51" i="2" a="1"/>
  <c r="AF51" i="2" a="1"/>
  <c r="AN51" i="2" a="1"/>
  <c r="AV51" i="2" a="1"/>
  <c r="G52" i="2" a="1"/>
  <c r="O52" i="2" a="1"/>
  <c r="W52" i="2" a="1"/>
  <c r="AE52" i="2" a="1"/>
  <c r="AM52" i="2" a="1"/>
  <c r="AU52" i="2" a="1"/>
  <c r="F53" i="2" a="1"/>
  <c r="N53" i="2" a="1"/>
  <c r="V53" i="2" a="1"/>
  <c r="AD53" i="2" a="1"/>
  <c r="AL53" i="2" a="1"/>
  <c r="AT53" i="2" a="1"/>
  <c r="E54" i="2" a="1"/>
  <c r="M54" i="2" a="1"/>
  <c r="U54" i="2" a="1"/>
  <c r="AC54" i="2" a="1"/>
  <c r="AK54" i="2" a="1"/>
  <c r="AS54" i="2" a="1"/>
  <c r="D55" i="2" a="1"/>
  <c r="L55" i="2" a="1"/>
  <c r="T55" i="2" a="1"/>
  <c r="AB55" i="2" a="1"/>
  <c r="AJ55" i="2" a="1"/>
  <c r="AR55" i="2" a="1"/>
  <c r="AZ55" i="2" a="1"/>
  <c r="K56" i="2" a="1"/>
  <c r="S56" i="2" a="1"/>
  <c r="AA56" i="2" a="1"/>
  <c r="AI56" i="2" a="1"/>
  <c r="AQ56" i="2" a="1"/>
  <c r="G45" i="2" a="1"/>
  <c r="O45" i="2" a="1"/>
  <c r="W45" i="2" a="1"/>
  <c r="AE45" i="2" a="1"/>
  <c r="AM45" i="2" a="1"/>
  <c r="AU45" i="2" a="1"/>
  <c r="F46" i="2" a="1"/>
  <c r="N46" i="2" a="1"/>
  <c r="V46" i="2" a="1"/>
  <c r="AD46" i="2" a="1"/>
  <c r="AL46" i="2" a="1"/>
  <c r="AT46" i="2" a="1"/>
  <c r="E47" i="2" a="1"/>
  <c r="M47" i="2" a="1"/>
  <c r="U47" i="2" a="1"/>
  <c r="AC47" i="2" a="1"/>
  <c r="AK47" i="2" a="1"/>
  <c r="AS47" i="2" a="1"/>
  <c r="D48" i="2" a="1"/>
  <c r="L48" i="2" a="1"/>
  <c r="T48" i="2" a="1"/>
  <c r="AB48" i="2" a="1"/>
  <c r="AJ48" i="2" a="1"/>
  <c r="AR48" i="2" a="1"/>
  <c r="AZ48" i="2" a="1"/>
  <c r="K49" i="2" a="1"/>
  <c r="S49" i="2" a="1"/>
  <c r="AA49" i="2" a="1"/>
  <c r="AI49" i="2" a="1"/>
  <c r="AQ49" i="2" a="1"/>
  <c r="AY49" i="2" a="1"/>
  <c r="J50" i="2" a="1"/>
  <c r="R50" i="2" a="1"/>
  <c r="Z50" i="2" a="1"/>
  <c r="AH50" i="2" a="1"/>
  <c r="AP50" i="2" a="1"/>
  <c r="AX50" i="2" a="1"/>
  <c r="I51" i="2" a="1"/>
  <c r="Q51" i="2" a="1"/>
  <c r="Y51" i="2" a="1"/>
  <c r="AG51" i="2" a="1"/>
  <c r="AO51" i="2" a="1"/>
  <c r="AW51" i="2" a="1"/>
  <c r="H52" i="2" a="1"/>
  <c r="P52" i="2" a="1"/>
  <c r="X52" i="2" a="1"/>
  <c r="AF52" i="2" a="1"/>
  <c r="AN52" i="2" a="1"/>
  <c r="AV52" i="2" a="1"/>
  <c r="G53" i="2" a="1"/>
  <c r="O53" i="2" a="1"/>
  <c r="W53" i="2" a="1"/>
  <c r="AE53" i="2" a="1"/>
  <c r="AM53" i="2" a="1"/>
  <c r="AU53" i="2" a="1"/>
  <c r="F54" i="2" a="1"/>
  <c r="N54" i="2" a="1"/>
  <c r="V54" i="2" a="1"/>
  <c r="AD54" i="2" a="1"/>
  <c r="AL54" i="2" a="1"/>
  <c r="AT54" i="2" a="1"/>
  <c r="E55" i="2" a="1"/>
  <c r="M55" i="2" a="1"/>
  <c r="U55" i="2" a="1"/>
  <c r="AC55" i="2" a="1"/>
  <c r="AK55" i="2" a="1"/>
  <c r="AS55" i="2" a="1"/>
  <c r="D56" i="2" a="1"/>
  <c r="L56" i="2" a="1"/>
  <c r="T56" i="2" a="1"/>
  <c r="AB56" i="2" a="1"/>
  <c r="AJ56" i="2" a="1"/>
  <c r="AR56" i="2" a="1"/>
  <c r="AZ56" i="2" a="1"/>
  <c r="K57" i="2" a="1"/>
  <c r="S57" i="2" a="1"/>
  <c r="AA57" i="2" a="1"/>
  <c r="AI57" i="2" a="1"/>
  <c r="AQ57" i="2" a="1"/>
  <c r="AY57" i="2" a="1"/>
  <c r="J58" i="2" a="1"/>
  <c r="R58" i="2" a="1"/>
  <c r="Z58" i="2" a="1"/>
  <c r="AH58" i="2" a="1"/>
  <c r="AP58" i="2" a="1"/>
  <c r="H45" i="2" a="1"/>
  <c r="P45" i="2" a="1"/>
  <c r="X45" i="2" a="1"/>
  <c r="AF45" i="2" a="1"/>
  <c r="AN45" i="2" a="1"/>
  <c r="AV45" i="2" a="1"/>
  <c r="G46" i="2" a="1"/>
  <c r="O46" i="2" a="1"/>
  <c r="W46" i="2" a="1"/>
  <c r="AE46" i="2" a="1"/>
  <c r="AM46" i="2" a="1"/>
  <c r="AU46" i="2" a="1"/>
  <c r="F47" i="2" a="1"/>
  <c r="N47" i="2" a="1"/>
  <c r="V47" i="2" a="1"/>
  <c r="AD47" i="2" a="1"/>
  <c r="AL47" i="2" a="1"/>
  <c r="AT47" i="2" a="1"/>
  <c r="E48" i="2" a="1"/>
  <c r="M48" i="2" a="1"/>
  <c r="U48" i="2" a="1"/>
  <c r="AC48" i="2" a="1"/>
  <c r="AK48" i="2" a="1"/>
  <c r="AS48" i="2" a="1"/>
  <c r="D49" i="2" a="1"/>
  <c r="L49" i="2" a="1"/>
  <c r="T49" i="2" a="1"/>
  <c r="AB49" i="2" a="1"/>
  <c r="AJ49" i="2" a="1"/>
  <c r="AR49" i="2" a="1"/>
  <c r="AZ49" i="2" a="1"/>
  <c r="K50" i="2" a="1"/>
  <c r="S50" i="2" a="1"/>
  <c r="AA50" i="2" a="1"/>
  <c r="AI50" i="2" a="1"/>
  <c r="AQ50" i="2" a="1"/>
  <c r="AY50" i="2" a="1"/>
  <c r="J51" i="2" a="1"/>
  <c r="R51" i="2" a="1"/>
  <c r="Z51" i="2" a="1"/>
  <c r="AH51" i="2" a="1"/>
  <c r="AP51" i="2" a="1"/>
  <c r="AX51" i="2" a="1"/>
  <c r="I52" i="2" a="1"/>
  <c r="Q52" i="2" a="1"/>
  <c r="Y52" i="2" a="1"/>
  <c r="AG52" i="2" a="1"/>
  <c r="AO52" i="2" a="1"/>
  <c r="AW52" i="2" a="1"/>
  <c r="H53" i="2" a="1"/>
  <c r="P53" i="2" a="1"/>
  <c r="X53" i="2" a="1"/>
  <c r="AF53" i="2" a="1"/>
  <c r="AN53" i="2" a="1"/>
  <c r="AV53" i="2" a="1"/>
  <c r="G54" i="2" a="1"/>
  <c r="O54" i="2" a="1"/>
  <c r="W54" i="2" a="1"/>
  <c r="AE54" i="2" a="1"/>
  <c r="AM54" i="2" a="1"/>
  <c r="AU54" i="2" a="1"/>
  <c r="F55" i="2" a="1"/>
  <c r="N55" i="2" a="1"/>
  <c r="V55" i="2" a="1"/>
  <c r="AD55" i="2" a="1"/>
  <c r="AL55" i="2" a="1"/>
  <c r="AT55" i="2" a="1"/>
  <c r="E56" i="2" a="1"/>
  <c r="M56" i="2" a="1"/>
  <c r="U56" i="2" a="1"/>
  <c r="AC56" i="2" a="1"/>
  <c r="AK56" i="2" a="1"/>
  <c r="AS56" i="2" a="1"/>
  <c r="D57" i="2" a="1"/>
  <c r="L57" i="2" a="1"/>
  <c r="T57" i="2" a="1"/>
  <c r="AB57" i="2" a="1"/>
  <c r="AJ57" i="2" a="1"/>
  <c r="AR57" i="2" a="1"/>
  <c r="AZ57" i="2" a="1"/>
  <c r="K58" i="2" a="1"/>
  <c r="S58" i="2" a="1"/>
  <c r="AA58" i="2" a="1"/>
  <c r="AI58" i="2" a="1"/>
  <c r="AQ58" i="2" a="1"/>
  <c r="I45" i="2" a="1"/>
  <c r="Q45" i="2" a="1"/>
  <c r="Y45" i="2" a="1"/>
  <c r="AG45" i="2" a="1"/>
  <c r="AO45" i="2" a="1"/>
  <c r="AW45" i="2" a="1"/>
  <c r="H46" i="2" a="1"/>
  <c r="P46" i="2" a="1"/>
  <c r="X46" i="2" a="1"/>
  <c r="AF46" i="2" a="1"/>
  <c r="AN46" i="2" a="1"/>
  <c r="AV46" i="2" a="1"/>
  <c r="G47" i="2" a="1"/>
  <c r="O47" i="2" a="1"/>
  <c r="W47" i="2" a="1"/>
  <c r="AE47" i="2" a="1"/>
  <c r="AM47" i="2" a="1"/>
  <c r="AU47" i="2" a="1"/>
  <c r="F48" i="2" a="1"/>
  <c r="N48" i="2" a="1"/>
  <c r="V48" i="2" a="1"/>
  <c r="AD48" i="2" a="1"/>
  <c r="AL48" i="2" a="1"/>
  <c r="AT48" i="2" a="1"/>
  <c r="E49" i="2" a="1"/>
  <c r="M49" i="2" a="1"/>
  <c r="U49" i="2" a="1"/>
  <c r="AC49" i="2" a="1"/>
  <c r="AK49" i="2" a="1"/>
  <c r="AS49" i="2" a="1"/>
  <c r="D50" i="2" a="1"/>
  <c r="L50" i="2" a="1"/>
  <c r="T50" i="2" a="1"/>
  <c r="AB50" i="2" a="1"/>
  <c r="AJ50" i="2" a="1"/>
  <c r="AR50" i="2" a="1"/>
  <c r="AZ50" i="2" a="1"/>
  <c r="K51" i="2" a="1"/>
  <c r="S51" i="2" a="1"/>
  <c r="AA51" i="2" a="1"/>
  <c r="AI51" i="2" a="1"/>
  <c r="AQ51" i="2" a="1"/>
  <c r="AY51" i="2" a="1"/>
  <c r="J52" i="2" a="1"/>
  <c r="R52" i="2" a="1"/>
  <c r="Z52" i="2" a="1"/>
  <c r="AH52" i="2" a="1"/>
  <c r="AP52" i="2" a="1"/>
  <c r="AX52" i="2" a="1"/>
  <c r="I53" i="2" a="1"/>
  <c r="Q53" i="2" a="1"/>
  <c r="Y53" i="2" a="1"/>
  <c r="AG53" i="2" a="1"/>
  <c r="J45" i="2" a="1"/>
  <c r="R45" i="2" a="1"/>
  <c r="Z45" i="2" a="1"/>
  <c r="AH45" i="2" a="1"/>
  <c r="AP45" i="2" a="1"/>
  <c r="AX45" i="2" a="1"/>
  <c r="I46" i="2" a="1"/>
  <c r="Q46" i="2" a="1"/>
  <c r="Y46" i="2" a="1"/>
  <c r="AG46" i="2" a="1"/>
  <c r="AO46" i="2" a="1"/>
  <c r="AW46" i="2" a="1"/>
  <c r="H47" i="2" a="1"/>
  <c r="P47" i="2" a="1"/>
  <c r="X47" i="2" a="1"/>
  <c r="AF47" i="2" a="1"/>
  <c r="AN47" i="2" a="1"/>
  <c r="AV47" i="2" a="1"/>
  <c r="G48" i="2" a="1"/>
  <c r="O48" i="2" a="1"/>
  <c r="W48" i="2" a="1"/>
  <c r="AE48" i="2" a="1"/>
  <c r="AM48" i="2" a="1"/>
  <c r="AU48" i="2" a="1"/>
  <c r="F49" i="2" a="1"/>
  <c r="N49" i="2" a="1"/>
  <c r="V49" i="2" a="1"/>
  <c r="AD49" i="2" a="1"/>
  <c r="AL49" i="2" a="1"/>
  <c r="AT49" i="2" a="1"/>
  <c r="E50" i="2" a="1"/>
  <c r="M50" i="2" a="1"/>
  <c r="U50" i="2" a="1"/>
  <c r="AC50" i="2" a="1"/>
  <c r="AK50" i="2" a="1"/>
  <c r="AS50" i="2" a="1"/>
  <c r="D51" i="2" a="1"/>
  <c r="L51" i="2" a="1"/>
  <c r="T51" i="2" a="1"/>
  <c r="AB51" i="2" a="1"/>
  <c r="AJ51" i="2" a="1"/>
  <c r="AR51" i="2" a="1"/>
  <c r="AZ51" i="2" a="1"/>
  <c r="K52" i="2" a="1"/>
  <c r="S52" i="2" a="1"/>
  <c r="AA52" i="2" a="1"/>
  <c r="AI52" i="2" a="1"/>
  <c r="AQ52" i="2" a="1"/>
  <c r="AY52" i="2" a="1"/>
  <c r="J53" i="2" a="1"/>
  <c r="R53" i="2" a="1"/>
  <c r="Z53" i="2" a="1"/>
  <c r="AH53" i="2" a="1"/>
  <c r="AP53" i="2" a="1"/>
  <c r="AX53" i="2" a="1"/>
  <c r="I54" i="2" a="1"/>
  <c r="Q54" i="2" a="1"/>
  <c r="Y54" i="2" a="1"/>
  <c r="AG54" i="2" a="1"/>
  <c r="AO54" i="2" a="1"/>
  <c r="AW54" i="2" a="1"/>
  <c r="H55" i="2" a="1"/>
  <c r="P55" i="2" a="1"/>
  <c r="X55" i="2" a="1"/>
  <c r="AF55" i="2" a="1"/>
  <c r="AN55" i="2" a="1"/>
  <c r="AV55" i="2" a="1"/>
  <c r="G56" i="2" a="1"/>
  <c r="O56" i="2" a="1"/>
  <c r="W56" i="2" a="1"/>
  <c r="AE56" i="2" a="1"/>
  <c r="K45" i="2" a="1"/>
  <c r="AO47" i="2" a="1"/>
  <c r="V50" i="2" a="1"/>
  <c r="AZ52" i="2" a="1"/>
  <c r="AH54" i="2" a="1"/>
  <c r="AE55" i="2" a="1"/>
  <c r="X56" i="2" a="1"/>
  <c r="G57" i="2" a="1"/>
  <c r="AC57" i="2" a="1"/>
  <c r="AU57" i="2" a="1"/>
  <c r="O58" i="2" a="1"/>
  <c r="AG58" i="2" a="1"/>
  <c r="AW58" i="2" a="1"/>
  <c r="H59" i="2" a="1"/>
  <c r="P59" i="2" a="1"/>
  <c r="X59" i="2" a="1"/>
  <c r="AF59" i="2" a="1"/>
  <c r="AN59" i="2" a="1"/>
  <c r="AV59" i="2" a="1"/>
  <c r="G60" i="2" a="1"/>
  <c r="O60" i="2" a="1"/>
  <c r="W60" i="2" a="1"/>
  <c r="AE60" i="2" a="1"/>
  <c r="AM60" i="2" a="1"/>
  <c r="AU60" i="2" a="1"/>
  <c r="F61" i="2" a="1"/>
  <c r="N61" i="2" a="1"/>
  <c r="V61" i="2" a="1"/>
  <c r="AD61" i="2" a="1"/>
  <c r="AL61" i="2" a="1"/>
  <c r="AT61" i="2" a="1"/>
  <c r="AG55" i="2" a="1"/>
  <c r="H57" i="2" a="1"/>
  <c r="AD57" i="2" a="1"/>
  <c r="P58" i="2" a="1"/>
  <c r="AJ58" i="2" a="1"/>
  <c r="AY61" i="2" a="1"/>
  <c r="R54" i="2" a="1"/>
  <c r="AL59" i="2" a="1"/>
  <c r="L61" i="2" a="1"/>
  <c r="AM59" i="2" a="1"/>
  <c r="M61" i="2" a="1"/>
  <c r="S45" i="2" a="1"/>
  <c r="AW47" i="2" a="1"/>
  <c r="AD50" i="2" a="1"/>
  <c r="K53" i="2" a="1"/>
  <c r="AN54" i="2" a="1"/>
  <c r="Y56" i="2" a="1"/>
  <c r="AT59" i="2" a="1"/>
  <c r="AK61" i="2" a="1"/>
  <c r="AA45" i="2" a="1"/>
  <c r="H48" i="2" a="1"/>
  <c r="AL50" i="2" a="1"/>
  <c r="S53" i="2" a="1"/>
  <c r="AP54" i="2" a="1"/>
  <c r="AH55" i="2" a="1"/>
  <c r="AD56" i="2" a="1"/>
  <c r="I57" i="2" a="1"/>
  <c r="AE57" i="2" a="1"/>
  <c r="AV57" i="2" a="1"/>
  <c r="Q58" i="2" a="1"/>
  <c r="AK58" i="2" a="1"/>
  <c r="AX58" i="2" a="1"/>
  <c r="I59" i="2" a="1"/>
  <c r="Q59" i="2" a="1"/>
  <c r="Y59" i="2" a="1"/>
  <c r="AG59" i="2" a="1"/>
  <c r="AO59" i="2" a="1"/>
  <c r="AW59" i="2" a="1"/>
  <c r="H60" i="2" a="1"/>
  <c r="P60" i="2" a="1"/>
  <c r="X60" i="2" a="1"/>
  <c r="AF60" i="2" a="1"/>
  <c r="AN60" i="2" a="1"/>
  <c r="AV60" i="2" a="1"/>
  <c r="G61" i="2" a="1"/>
  <c r="O61" i="2" a="1"/>
  <c r="W61" i="2" a="1"/>
  <c r="AE61" i="2" a="1"/>
  <c r="AM61" i="2" a="1"/>
  <c r="AU61" i="2" a="1"/>
  <c r="K61" i="2" a="1"/>
  <c r="AO57" i="2" a="1"/>
  <c r="AZ61" i="2" a="1"/>
  <c r="AI45" i="2" a="1"/>
  <c r="P48" i="2" a="1"/>
  <c r="AT50" i="2" a="1"/>
  <c r="AA53" i="2" a="1"/>
  <c r="AQ54" i="2" a="1"/>
  <c r="AM55" i="2" a="1"/>
  <c r="AF56" i="2" a="1"/>
  <c r="J57" i="2" a="1"/>
  <c r="AW57" i="2" a="1"/>
  <c r="T58" i="2" a="1"/>
  <c r="AL58" i="2" a="1"/>
  <c r="AZ60" i="2" a="1"/>
  <c r="N59" i="2" a="1"/>
  <c r="AQ45" i="2" a="1"/>
  <c r="X48" i="2" a="1"/>
  <c r="E51" i="2" a="1"/>
  <c r="AI53" i="2" a="1"/>
  <c r="AV54" i="2" a="1"/>
  <c r="AO55" i="2" a="1"/>
  <c r="AG56" i="2" a="1"/>
  <c r="M57" i="2" a="1"/>
  <c r="AF57" i="2" a="1"/>
  <c r="AX57" i="2" a="1"/>
  <c r="U58" i="2" a="1"/>
  <c r="AY58" i="2" a="1"/>
  <c r="J59" i="2" a="1"/>
  <c r="R59" i="2" a="1"/>
  <c r="Z59" i="2" a="1"/>
  <c r="AH59" i="2" a="1"/>
  <c r="AP59" i="2" a="1"/>
  <c r="AX59" i="2" a="1"/>
  <c r="I60" i="2" a="1"/>
  <c r="Q60" i="2" a="1"/>
  <c r="Y60" i="2" a="1"/>
  <c r="AG60" i="2" a="1"/>
  <c r="AO60" i="2" a="1"/>
  <c r="AW60" i="2" a="1"/>
  <c r="H61" i="2" a="1"/>
  <c r="P61" i="2" a="1"/>
  <c r="X61" i="2" a="1"/>
  <c r="AF61" i="2" a="1"/>
  <c r="AN61" i="2" a="1"/>
  <c r="AV61" i="2" a="1"/>
  <c r="AR58" i="2" a="1"/>
  <c r="T59" i="2" a="1"/>
  <c r="AR59" i="2" a="1"/>
  <c r="K60" i="2" a="1"/>
  <c r="AQ60" i="2" a="1"/>
  <c r="R61" i="2" a="1"/>
  <c r="AP61" i="2" a="1"/>
  <c r="L60" i="2" a="1"/>
  <c r="AA61" i="2" a="1"/>
  <c r="W57" i="2" a="1"/>
  <c r="E60" i="2" a="1"/>
  <c r="T61" i="2" a="1"/>
  <c r="AE59" i="2" a="1"/>
  <c r="E61" i="2" a="1"/>
  <c r="AY45" i="2" a="1"/>
  <c r="AF48" i="2" a="1"/>
  <c r="M51" i="2" a="1"/>
  <c r="AO53" i="2" a="1"/>
  <c r="AX54" i="2" a="1"/>
  <c r="AP55" i="2" a="1"/>
  <c r="AL56" i="2" a="1"/>
  <c r="N57" i="2" a="1"/>
  <c r="AG57" i="2" a="1"/>
  <c r="D58" i="2" a="1"/>
  <c r="V58" i="2" a="1"/>
  <c r="AM58" i="2" a="1"/>
  <c r="AL57" i="2" a="1"/>
  <c r="D59" i="2" a="1"/>
  <c r="AB59" i="2" a="1"/>
  <c r="AZ59" i="2" a="1"/>
  <c r="AI60" i="2" a="1"/>
  <c r="J61" i="2" a="1"/>
  <c r="AH61" i="2" a="1"/>
  <c r="D60" i="2" a="1"/>
  <c r="S61" i="2" a="1"/>
  <c r="N56" i="2" a="1"/>
  <c r="AD59" i="2" a="1"/>
  <c r="AC60" i="2" a="1"/>
  <c r="AJ61" i="2" a="1"/>
  <c r="AU59" i="2" a="1"/>
  <c r="AC61" i="2" a="1"/>
  <c r="J46" i="2" a="1"/>
  <c r="AN48" i="2" a="1"/>
  <c r="U51" i="2" a="1"/>
  <c r="AQ53" i="2" a="1"/>
  <c r="AY54" i="2" a="1"/>
  <c r="AU55" i="2" a="1"/>
  <c r="AM56" i="2" a="1"/>
  <c r="O57" i="2" a="1"/>
  <c r="AH57" i="2" a="1"/>
  <c r="E58" i="2" a="1"/>
  <c r="AN58" i="2" a="1"/>
  <c r="AZ58" i="2" a="1"/>
  <c r="K59" i="2" a="1"/>
  <c r="S59" i="2" a="1"/>
  <c r="AA59" i="2" a="1"/>
  <c r="AI59" i="2" a="1"/>
  <c r="AQ59" i="2" a="1"/>
  <c r="AY59" i="2" a="1"/>
  <c r="J60" i="2" a="1"/>
  <c r="R60" i="2" a="1"/>
  <c r="Z60" i="2" a="1"/>
  <c r="AH60" i="2" a="1"/>
  <c r="AP60" i="2" a="1"/>
  <c r="AX60" i="2" a="1"/>
  <c r="I61" i="2" a="1"/>
  <c r="Q61" i="2" a="1"/>
  <c r="Y61" i="2" a="1"/>
  <c r="AG61" i="2" a="1"/>
  <c r="AO61" i="2" a="1"/>
  <c r="AW61" i="2" a="1"/>
  <c r="Q57" i="2" a="1"/>
  <c r="L59" i="2" a="1"/>
  <c r="AJ59" i="2" a="1"/>
  <c r="S60" i="2" a="1"/>
  <c r="AY60" i="2" a="1"/>
  <c r="Z61" i="2" a="1"/>
  <c r="AX61" i="2" a="1"/>
  <c r="T60" i="2" a="1"/>
  <c r="AI61" i="2" a="1"/>
  <c r="L58" i="2" a="1"/>
  <c r="M60" i="2" a="1"/>
  <c r="AB61" i="2" a="1"/>
  <c r="W59" i="2" a="1"/>
  <c r="U61" i="2" a="1"/>
  <c r="R46" i="2" a="1"/>
  <c r="AV48" i="2" a="1"/>
  <c r="AC51" i="2" a="1"/>
  <c r="AW53" i="2" a="1"/>
  <c r="G55" i="2" a="1"/>
  <c r="AW55" i="2" a="1"/>
  <c r="AN56" i="2" a="1"/>
  <c r="P57" i="2" a="1"/>
  <c r="AK57" i="2" a="1"/>
  <c r="F58" i="2" a="1"/>
  <c r="W58" i="2" a="1"/>
  <c r="AO58" i="2" a="1"/>
  <c r="AR60" i="2" a="1"/>
  <c r="V59" i="2" a="1"/>
  <c r="AS61" i="2" a="1"/>
  <c r="Z46" i="2" a="1"/>
  <c r="G49" i="2" a="1"/>
  <c r="AK51" i="2" a="1"/>
  <c r="AY53" i="2" a="1"/>
  <c r="I55" i="2" a="1"/>
  <c r="AX55" i="2" a="1"/>
  <c r="AO56" i="2" a="1"/>
  <c r="X58" i="2" a="1"/>
  <c r="AA60" i="2" a="1"/>
  <c r="AR61" i="2" a="1"/>
  <c r="N60" i="2" a="1"/>
  <c r="AH46" i="2" a="1"/>
  <c r="O49" i="2" a="1"/>
  <c r="AS51" i="2" a="1"/>
  <c r="H54" i="2" a="1"/>
  <c r="J55" i="2" a="1"/>
  <c r="F56" i="2" a="1"/>
  <c r="AT56" i="2" a="1"/>
  <c r="R57" i="2" a="1"/>
  <c r="AM57" i="2" a="1"/>
  <c r="G58" i="2" a="1"/>
  <c r="Y58" i="2" a="1"/>
  <c r="AS58" i="2" a="1"/>
  <c r="AJ60" i="2" a="1"/>
  <c r="F59" i="2" a="1"/>
  <c r="AK60" i="2" a="1"/>
  <c r="V60" i="2" a="1"/>
  <c r="AP46" i="2" a="1"/>
  <c r="W49" i="2" a="1"/>
  <c r="D52" i="2" a="1"/>
  <c r="J54" i="2" a="1"/>
  <c r="O55" i="2" a="1"/>
  <c r="H56" i="2" a="1"/>
  <c r="AU56" i="2" a="1"/>
  <c r="U57" i="2" a="1"/>
  <c r="H58" i="2" a="1"/>
  <c r="AB58" i="2" a="1"/>
  <c r="AT58" i="2" a="1"/>
  <c r="E59" i="2" a="1"/>
  <c r="M59" i="2" a="1"/>
  <c r="U59" i="2" a="1"/>
  <c r="AC59" i="2" a="1"/>
  <c r="AK59" i="2" a="1"/>
  <c r="AS59" i="2" a="1"/>
  <c r="AB60" i="2" a="1"/>
  <c r="AQ61" i="2" a="1"/>
  <c r="AD58" i="2" a="1"/>
  <c r="D61" i="2" a="1"/>
  <c r="AL60" i="2" a="1"/>
  <c r="AX46" i="2" a="1"/>
  <c r="AE49" i="2" a="1"/>
  <c r="L52" i="2" a="1"/>
  <c r="P54" i="2" a="1"/>
  <c r="Q55" i="2" a="1"/>
  <c r="I56" i="2" a="1"/>
  <c r="AV56" i="2" a="1"/>
  <c r="V57" i="2" a="1"/>
  <c r="AN57" i="2" a="1"/>
  <c r="I58" i="2" a="1"/>
  <c r="AC58" i="2" a="1"/>
  <c r="AW56" i="2" a="1"/>
  <c r="U60" i="2" a="1"/>
  <c r="AT60" i="2" a="1"/>
  <c r="I47" i="2" a="1"/>
  <c r="AM49" i="2" a="1"/>
  <c r="T52" i="2" a="1"/>
  <c r="R55" i="2" a="1"/>
  <c r="AU58" i="2" a="1"/>
  <c r="AS60" i="2" a="1"/>
  <c r="F60" i="2" a="1"/>
  <c r="Q47" i="2" a="1"/>
  <c r="AU49" i="2" a="1"/>
  <c r="AB52" i="2" a="1"/>
  <c r="X54" i="2" a="1"/>
  <c r="W55" i="2" a="1"/>
  <c r="P56" i="2" a="1"/>
  <c r="AY56" i="2" a="1"/>
  <c r="X57" i="2" a="1"/>
  <c r="AP57" i="2" a="1"/>
  <c r="M58" i="2" a="1"/>
  <c r="Y47" i="2" a="1"/>
  <c r="F50" i="2" a="1"/>
  <c r="AJ52" i="2" a="1"/>
  <c r="Z54" i="2" a="1"/>
  <c r="Y55" i="2" a="1"/>
  <c r="Q56" i="2" a="1"/>
  <c r="E57" i="2" a="1"/>
  <c r="Y57" i="2" a="1"/>
  <c r="AS57" i="2" a="1"/>
  <c r="N58" i="2" a="1"/>
  <c r="AE58" i="2" a="1"/>
  <c r="AV58" i="2" a="1"/>
  <c r="G59" i="2" a="1"/>
  <c r="O59" i="2" a="1"/>
  <c r="AD60" i="2" a="1"/>
  <c r="AG47" i="2" a="1"/>
  <c r="N50" i="2" a="1"/>
  <c r="AR52" i="2" a="1"/>
  <c r="AF54" i="2" a="1"/>
  <c r="Z55" i="2" a="1"/>
  <c r="V56" i="2" a="1"/>
  <c r="F57" i="2" a="1"/>
  <c r="Z57" i="2" a="1"/>
  <c r="AT57" i="2" a="1"/>
  <c r="AF58" i="2" a="1"/>
  <c r="C46" i="2" a="1"/>
  <c r="C54" i="2" a="1"/>
  <c r="C55" i="2" a="1"/>
  <c r="C47" i="2" a="1"/>
  <c r="C48" i="2" a="1"/>
  <c r="C61" i="2" a="1"/>
  <c r="C56" i="2" a="1"/>
  <c r="C49" i="2" a="1"/>
  <c r="C53" i="2" a="1"/>
  <c r="C57" i="2" a="1"/>
  <c r="C58" i="2" a="1"/>
  <c r="C50" i="2" a="1"/>
  <c r="C59" i="2" a="1"/>
  <c r="C51" i="2" a="1"/>
  <c r="C60" i="2" a="1"/>
  <c r="C52" i="2" a="1"/>
  <c r="C45" i="2" a="1"/>
  <c r="C25" i="2" a="1"/>
  <c r="K25" i="2" a="1"/>
  <c r="S25" i="2" a="1"/>
  <c r="AA25" i="2" a="1"/>
  <c r="AI25" i="2" a="1"/>
  <c r="AQ25" i="2" a="1"/>
  <c r="AY25" i="2" a="1"/>
  <c r="I26" i="2" a="1"/>
  <c r="Q26" i="2" a="1"/>
  <c r="Y26" i="2" a="1"/>
  <c r="AG26" i="2" a="1"/>
  <c r="AO26" i="2" a="1"/>
  <c r="AW26" i="2" a="1"/>
  <c r="G27" i="2" a="1"/>
  <c r="O27" i="2" a="1"/>
  <c r="W27" i="2" a="1"/>
  <c r="AE27" i="2" a="1"/>
  <c r="AM27" i="2" a="1"/>
  <c r="AU27" i="2" a="1"/>
  <c r="E28" i="2" a="1"/>
  <c r="M28" i="2" a="1"/>
  <c r="U28" i="2" a="1"/>
  <c r="AC28" i="2" a="1"/>
  <c r="AK28" i="2" a="1"/>
  <c r="AS28" i="2" a="1"/>
  <c r="C29" i="2" a="1"/>
  <c r="K29" i="2" a="1"/>
  <c r="S29" i="2" a="1"/>
  <c r="AA29" i="2" a="1"/>
  <c r="AI29" i="2" a="1"/>
  <c r="AQ29" i="2" a="1"/>
  <c r="AY29" i="2" a="1"/>
  <c r="I30" i="2" a="1"/>
  <c r="Q30" i="2" a="1"/>
  <c r="Y30" i="2" a="1"/>
  <c r="AG30" i="2" a="1"/>
  <c r="AO30" i="2" a="1"/>
  <c r="AW30" i="2" a="1"/>
  <c r="G31" i="2" a="1"/>
  <c r="O31" i="2" a="1"/>
  <c r="W31" i="2" a="1"/>
  <c r="AE31" i="2" a="1"/>
  <c r="AM31" i="2" a="1"/>
  <c r="AU31" i="2" a="1"/>
  <c r="E32" i="2" a="1"/>
  <c r="M32" i="2" a="1"/>
  <c r="U32" i="2" a="1"/>
  <c r="AC32" i="2" a="1"/>
  <c r="AK32" i="2" a="1"/>
  <c r="AS32" i="2" a="1"/>
  <c r="C33" i="2" a="1"/>
  <c r="K33" i="2" a="1"/>
  <c r="S33" i="2" a="1"/>
  <c r="AA33" i="2" a="1"/>
  <c r="AI33" i="2" a="1"/>
  <c r="AQ33" i="2" a="1"/>
  <c r="AY33" i="2" a="1"/>
  <c r="I34" i="2" a="1"/>
  <c r="Q34" i="2" a="1"/>
  <c r="Y34" i="2" a="1"/>
  <c r="AG34" i="2" a="1"/>
  <c r="AO34" i="2" a="1"/>
  <c r="AW34" i="2" a="1"/>
  <c r="G35" i="2" a="1"/>
  <c r="O35" i="2" a="1"/>
  <c r="W35" i="2" a="1"/>
  <c r="AE35" i="2" a="1"/>
  <c r="AM35" i="2" a="1"/>
  <c r="AU35" i="2" a="1"/>
  <c r="E36" i="2" a="1"/>
  <c r="M36" i="2" a="1"/>
  <c r="U36" i="2" a="1"/>
  <c r="AC36" i="2" a="1"/>
  <c r="AK36" i="2" a="1"/>
  <c r="AS36" i="2" a="1"/>
  <c r="C37" i="2" a="1"/>
  <c r="D25" i="2" a="1"/>
  <c r="L25" i="2" a="1"/>
  <c r="T25" i="2" a="1"/>
  <c r="AB25" i="2" a="1"/>
  <c r="AJ25" i="2" a="1"/>
  <c r="AR25" i="2" a="1"/>
  <c r="AZ25" i="2" a="1"/>
  <c r="J26" i="2" a="1"/>
  <c r="R26" i="2" a="1"/>
  <c r="Z26" i="2" a="1"/>
  <c r="AH26" i="2" a="1"/>
  <c r="AP26" i="2" a="1"/>
  <c r="AX26" i="2" a="1"/>
  <c r="H27" i="2" a="1"/>
  <c r="P27" i="2" a="1"/>
  <c r="X27" i="2" a="1"/>
  <c r="AF27" i="2" a="1"/>
  <c r="AN27" i="2" a="1"/>
  <c r="AV27" i="2" a="1"/>
  <c r="F28" i="2" a="1"/>
  <c r="N28" i="2" a="1"/>
  <c r="V28" i="2" a="1"/>
  <c r="AD28" i="2" a="1"/>
  <c r="AL28" i="2" a="1"/>
  <c r="AT28" i="2" a="1"/>
  <c r="D29" i="2" a="1"/>
  <c r="L29" i="2" a="1"/>
  <c r="T29" i="2" a="1"/>
  <c r="AB29" i="2" a="1"/>
  <c r="AJ29" i="2" a="1"/>
  <c r="AR29" i="2" a="1"/>
  <c r="AZ29" i="2" a="1"/>
  <c r="J30" i="2" a="1"/>
  <c r="R30" i="2" a="1"/>
  <c r="Z30" i="2" a="1"/>
  <c r="AH30" i="2" a="1"/>
  <c r="AP30" i="2" a="1"/>
  <c r="AX30" i="2" a="1"/>
  <c r="H31" i="2" a="1"/>
  <c r="P31" i="2" a="1"/>
  <c r="X31" i="2" a="1"/>
  <c r="AF31" i="2" a="1"/>
  <c r="AN31" i="2" a="1"/>
  <c r="AV31" i="2" a="1"/>
  <c r="F32" i="2" a="1"/>
  <c r="N32" i="2" a="1"/>
  <c r="V32" i="2" a="1"/>
  <c r="AD32" i="2" a="1"/>
  <c r="AL32" i="2" a="1"/>
  <c r="AT32" i="2" a="1"/>
  <c r="D33" i="2" a="1"/>
  <c r="L33" i="2" a="1"/>
  <c r="T33" i="2" a="1"/>
  <c r="AB33" i="2" a="1"/>
  <c r="AJ33" i="2" a="1"/>
  <c r="AR33" i="2" a="1"/>
  <c r="AZ33" i="2" a="1"/>
  <c r="J34" i="2" a="1"/>
  <c r="E25" i="2" a="1"/>
  <c r="M25" i="2" a="1"/>
  <c r="U25" i="2" a="1"/>
  <c r="AC25" i="2" a="1"/>
  <c r="AK25" i="2" a="1"/>
  <c r="AS25" i="2" a="1"/>
  <c r="C26" i="2" a="1"/>
  <c r="K26" i="2" a="1"/>
  <c r="S26" i="2" a="1"/>
  <c r="AA26" i="2" a="1"/>
  <c r="AI26" i="2" a="1"/>
  <c r="AQ26" i="2" a="1"/>
  <c r="AY26" i="2" a="1"/>
  <c r="I27" i="2" a="1"/>
  <c r="Q27" i="2" a="1"/>
  <c r="Y27" i="2" a="1"/>
  <c r="AG27" i="2" a="1"/>
  <c r="AO27" i="2" a="1"/>
  <c r="AW27" i="2" a="1"/>
  <c r="G28" i="2" a="1"/>
  <c r="O28" i="2" a="1"/>
  <c r="W28" i="2" a="1"/>
  <c r="AE28" i="2" a="1"/>
  <c r="AM28" i="2" a="1"/>
  <c r="AU28" i="2" a="1"/>
  <c r="E29" i="2" a="1"/>
  <c r="M29" i="2" a="1"/>
  <c r="U29" i="2" a="1"/>
  <c r="AC29" i="2" a="1"/>
  <c r="AK29" i="2" a="1"/>
  <c r="AS29" i="2" a="1"/>
  <c r="C30" i="2" a="1"/>
  <c r="K30" i="2" a="1"/>
  <c r="S30" i="2" a="1"/>
  <c r="AA30" i="2" a="1"/>
  <c r="AI30" i="2" a="1"/>
  <c r="AQ30" i="2" a="1"/>
  <c r="AY30" i="2" a="1"/>
  <c r="I31" i="2" a="1"/>
  <c r="Q31" i="2" a="1"/>
  <c r="Y31" i="2" a="1"/>
  <c r="AG31" i="2" a="1"/>
  <c r="AO31" i="2" a="1"/>
  <c r="AW31" i="2" a="1"/>
  <c r="G32" i="2" a="1"/>
  <c r="O32" i="2" a="1"/>
  <c r="W32" i="2" a="1"/>
  <c r="AE32" i="2" a="1"/>
  <c r="AM32" i="2" a="1"/>
  <c r="AU32" i="2" a="1"/>
  <c r="E33" i="2" a="1"/>
  <c r="M33" i="2" a="1"/>
  <c r="U33" i="2" a="1"/>
  <c r="AC33" i="2" a="1"/>
  <c r="AK33" i="2" a="1"/>
  <c r="AS33" i="2" a="1"/>
  <c r="C34" i="2" a="1"/>
  <c r="K34" i="2" a="1"/>
  <c r="S34" i="2" a="1"/>
  <c r="AA34" i="2" a="1"/>
  <c r="AI34" i="2" a="1"/>
  <c r="AQ34" i="2" a="1"/>
  <c r="AY34" i="2" a="1"/>
  <c r="I35" i="2" a="1"/>
  <c r="Q35" i="2" a="1"/>
  <c r="Y35" i="2" a="1"/>
  <c r="AG35" i="2" a="1"/>
  <c r="AO35" i="2" a="1"/>
  <c r="AW35" i="2" a="1"/>
  <c r="G36" i="2" a="1"/>
  <c r="O36" i="2" a="1"/>
  <c r="W36" i="2" a="1"/>
  <c r="AE36" i="2" a="1"/>
  <c r="AM36" i="2" a="1"/>
  <c r="AU36" i="2" a="1"/>
  <c r="E37" i="2" a="1"/>
  <c r="M37" i="2" a="1"/>
  <c r="U37" i="2" a="1"/>
  <c r="AC37" i="2" a="1"/>
  <c r="AK37" i="2" a="1"/>
  <c r="AS37" i="2" a="1"/>
  <c r="C38" i="2" a="1"/>
  <c r="K38" i="2" a="1"/>
  <c r="S38" i="2" a="1"/>
  <c r="AA38" i="2" a="1"/>
  <c r="AI38" i="2" a="1"/>
  <c r="F25" i="2" a="1"/>
  <c r="N25" i="2" a="1"/>
  <c r="V25" i="2" a="1"/>
  <c r="AD25" i="2" a="1"/>
  <c r="AL25" i="2" a="1"/>
  <c r="AT25" i="2" a="1"/>
  <c r="D26" i="2" a="1"/>
  <c r="L26" i="2" a="1"/>
  <c r="T26" i="2" a="1"/>
  <c r="AB26" i="2" a="1"/>
  <c r="AJ26" i="2" a="1"/>
  <c r="AR26" i="2" a="1"/>
  <c r="AZ26" i="2" a="1"/>
  <c r="J27" i="2" a="1"/>
  <c r="R27" i="2" a="1"/>
  <c r="Z27" i="2" a="1"/>
  <c r="AH27" i="2" a="1"/>
  <c r="AP27" i="2" a="1"/>
  <c r="AX27" i="2" a="1"/>
  <c r="H28" i="2" a="1"/>
  <c r="P28" i="2" a="1"/>
  <c r="X28" i="2" a="1"/>
  <c r="AF28" i="2" a="1"/>
  <c r="AN28" i="2" a="1"/>
  <c r="AV28" i="2" a="1"/>
  <c r="F29" i="2" a="1"/>
  <c r="N29" i="2" a="1"/>
  <c r="V29" i="2" a="1"/>
  <c r="AD29" i="2" a="1"/>
  <c r="AL29" i="2" a="1"/>
  <c r="AT29" i="2" a="1"/>
  <c r="D30" i="2" a="1"/>
  <c r="L30" i="2" a="1"/>
  <c r="T30" i="2" a="1"/>
  <c r="AB30" i="2" a="1"/>
  <c r="AJ30" i="2" a="1"/>
  <c r="AR30" i="2" a="1"/>
  <c r="AZ30" i="2" a="1"/>
  <c r="J31" i="2" a="1"/>
  <c r="R31" i="2" a="1"/>
  <c r="Z31" i="2" a="1"/>
  <c r="AH31" i="2" a="1"/>
  <c r="AP31" i="2" a="1"/>
  <c r="AX31" i="2" a="1"/>
  <c r="H32" i="2" a="1"/>
  <c r="P32" i="2" a="1"/>
  <c r="X32" i="2" a="1"/>
  <c r="AF32" i="2" a="1"/>
  <c r="AN32" i="2" a="1"/>
  <c r="AV32" i="2" a="1"/>
  <c r="F33" i="2" a="1"/>
  <c r="N33" i="2" a="1"/>
  <c r="V33" i="2" a="1"/>
  <c r="AD33" i="2" a="1"/>
  <c r="AL33" i="2" a="1"/>
  <c r="AT33" i="2" a="1"/>
  <c r="D34" i="2" a="1"/>
  <c r="L34" i="2" a="1"/>
  <c r="T34" i="2" a="1"/>
  <c r="AB34" i="2" a="1"/>
  <c r="AJ34" i="2" a="1"/>
  <c r="AR34" i="2" a="1"/>
  <c r="AZ34" i="2" a="1"/>
  <c r="J35" i="2" a="1"/>
  <c r="R35" i="2" a="1"/>
  <c r="Z35" i="2" a="1"/>
  <c r="AH35" i="2" a="1"/>
  <c r="AP35" i="2" a="1"/>
  <c r="AX35" i="2" a="1"/>
  <c r="H36" i="2" a="1"/>
  <c r="P36" i="2" a="1"/>
  <c r="X36" i="2" a="1"/>
  <c r="AF36" i="2" a="1"/>
  <c r="AN36" i="2" a="1"/>
  <c r="AV36" i="2" a="1"/>
  <c r="F37" i="2" a="1"/>
  <c r="N37" i="2" a="1"/>
  <c r="V37" i="2" a="1"/>
  <c r="AD37" i="2" a="1"/>
  <c r="AL37" i="2" a="1"/>
  <c r="AT37" i="2" a="1"/>
  <c r="D38" i="2" a="1"/>
  <c r="L38" i="2" a="1"/>
  <c r="T38" i="2" a="1"/>
  <c r="AB38" i="2" a="1"/>
  <c r="G25" i="2" a="1"/>
  <c r="O25" i="2" a="1"/>
  <c r="W25" i="2" a="1"/>
  <c r="AE25" i="2" a="1"/>
  <c r="AM25" i="2" a="1"/>
  <c r="AU25" i="2" a="1"/>
  <c r="E26" i="2" a="1"/>
  <c r="M26" i="2" a="1"/>
  <c r="U26" i="2" a="1"/>
  <c r="AC26" i="2" a="1"/>
  <c r="AK26" i="2" a="1"/>
  <c r="AS26" i="2" a="1"/>
  <c r="C27" i="2" a="1"/>
  <c r="K27" i="2" a="1"/>
  <c r="S27" i="2" a="1"/>
  <c r="AA27" i="2" a="1"/>
  <c r="AI27" i="2" a="1"/>
  <c r="AQ27" i="2" a="1"/>
  <c r="AY27" i="2" a="1"/>
  <c r="I28" i="2" a="1"/>
  <c r="Q28" i="2" a="1"/>
  <c r="Y28" i="2" a="1"/>
  <c r="AG28" i="2" a="1"/>
  <c r="AO28" i="2" a="1"/>
  <c r="AW28" i="2" a="1"/>
  <c r="G29" i="2" a="1"/>
  <c r="O29" i="2" a="1"/>
  <c r="W29" i="2" a="1"/>
  <c r="AE29" i="2" a="1"/>
  <c r="AM29" i="2" a="1"/>
  <c r="AU29" i="2" a="1"/>
  <c r="E30" i="2" a="1"/>
  <c r="M30" i="2" a="1"/>
  <c r="U30" i="2" a="1"/>
  <c r="AC30" i="2" a="1"/>
  <c r="AK30" i="2" a="1"/>
  <c r="AS30" i="2" a="1"/>
  <c r="C31" i="2" a="1"/>
  <c r="K31" i="2" a="1"/>
  <c r="S31" i="2" a="1"/>
  <c r="AA31" i="2" a="1"/>
  <c r="AI31" i="2" a="1"/>
  <c r="AQ31" i="2" a="1"/>
  <c r="AY31" i="2" a="1"/>
  <c r="I32" i="2" a="1"/>
  <c r="Q32" i="2" a="1"/>
  <c r="Y32" i="2" a="1"/>
  <c r="AG32" i="2" a="1"/>
  <c r="AO32" i="2" a="1"/>
  <c r="AW32" i="2" a="1"/>
  <c r="G33" i="2" a="1"/>
  <c r="O33" i="2" a="1"/>
  <c r="W33" i="2" a="1"/>
  <c r="AE33" i="2" a="1"/>
  <c r="AM33" i="2" a="1"/>
  <c r="AU33" i="2" a="1"/>
  <c r="E34" i="2" a="1"/>
  <c r="M34" i="2" a="1"/>
  <c r="U34" i="2" a="1"/>
  <c r="AC34" i="2" a="1"/>
  <c r="AK34" i="2" a="1"/>
  <c r="AS34" i="2" a="1"/>
  <c r="C35" i="2" a="1"/>
  <c r="K35" i="2" a="1"/>
  <c r="S35" i="2" a="1"/>
  <c r="AA35" i="2" a="1"/>
  <c r="AI35" i="2" a="1"/>
  <c r="AQ35" i="2" a="1"/>
  <c r="AY35" i="2" a="1"/>
  <c r="I36" i="2" a="1"/>
  <c r="Q36" i="2" a="1"/>
  <c r="Y36" i="2" a="1"/>
  <c r="AG36" i="2" a="1"/>
  <c r="AO36" i="2" a="1"/>
  <c r="AW36" i="2" a="1"/>
  <c r="G37" i="2" a="1"/>
  <c r="O37" i="2" a="1"/>
  <c r="W37" i="2" a="1"/>
  <c r="AE37" i="2" a="1"/>
  <c r="AM37" i="2" a="1"/>
  <c r="AU37" i="2" a="1"/>
  <c r="E38" i="2" a="1"/>
  <c r="M38" i="2" a="1"/>
  <c r="U38" i="2" a="1"/>
  <c r="AC38" i="2" a="1"/>
  <c r="H25" i="2" a="1"/>
  <c r="P25" i="2" a="1"/>
  <c r="X25" i="2" a="1"/>
  <c r="AF25" i="2" a="1"/>
  <c r="AN25" i="2" a="1"/>
  <c r="AV25" i="2" a="1"/>
  <c r="F26" i="2" a="1"/>
  <c r="N26" i="2" a="1"/>
  <c r="V26" i="2" a="1"/>
  <c r="AD26" i="2" a="1"/>
  <c r="AL26" i="2" a="1"/>
  <c r="AT26" i="2" a="1"/>
  <c r="D27" i="2" a="1"/>
  <c r="L27" i="2" a="1"/>
  <c r="T27" i="2" a="1"/>
  <c r="AB27" i="2" a="1"/>
  <c r="AJ27" i="2" a="1"/>
  <c r="AR27" i="2" a="1"/>
  <c r="AZ27" i="2" a="1"/>
  <c r="J28" i="2" a="1"/>
  <c r="R28" i="2" a="1"/>
  <c r="Z28" i="2" a="1"/>
  <c r="AH28" i="2" a="1"/>
  <c r="AP28" i="2" a="1"/>
  <c r="AX28" i="2" a="1"/>
  <c r="H29" i="2" a="1"/>
  <c r="P29" i="2" a="1"/>
  <c r="X29" i="2" a="1"/>
  <c r="AF29" i="2" a="1"/>
  <c r="AN29" i="2" a="1"/>
  <c r="AV29" i="2" a="1"/>
  <c r="F30" i="2" a="1"/>
  <c r="N30" i="2" a="1"/>
  <c r="V30" i="2" a="1"/>
  <c r="AD30" i="2" a="1"/>
  <c r="AL30" i="2" a="1"/>
  <c r="AT30" i="2" a="1"/>
  <c r="D31" i="2" a="1"/>
  <c r="L31" i="2" a="1"/>
  <c r="T31" i="2" a="1"/>
  <c r="AB31" i="2" a="1"/>
  <c r="AJ31" i="2" a="1"/>
  <c r="AR31" i="2" a="1"/>
  <c r="AZ31" i="2" a="1"/>
  <c r="J32" i="2" a="1"/>
  <c r="R32" i="2" a="1"/>
  <c r="Z32" i="2" a="1"/>
  <c r="AH32" i="2" a="1"/>
  <c r="AP32" i="2" a="1"/>
  <c r="AX32" i="2" a="1"/>
  <c r="H33" i="2" a="1"/>
  <c r="P33" i="2" a="1"/>
  <c r="X33" i="2" a="1"/>
  <c r="AF33" i="2" a="1"/>
  <c r="I25" i="2" a="1"/>
  <c r="Q25" i="2" a="1"/>
  <c r="Y25" i="2" a="1"/>
  <c r="AG25" i="2" a="1"/>
  <c r="AO25" i="2" a="1"/>
  <c r="AW25" i="2" a="1"/>
  <c r="G26" i="2" a="1"/>
  <c r="O26" i="2" a="1"/>
  <c r="W26" i="2" a="1"/>
  <c r="AE26" i="2" a="1"/>
  <c r="AM26" i="2" a="1"/>
  <c r="AU26" i="2" a="1"/>
  <c r="E27" i="2" a="1"/>
  <c r="M27" i="2" a="1"/>
  <c r="U27" i="2" a="1"/>
  <c r="AC27" i="2" a="1"/>
  <c r="AK27" i="2" a="1"/>
  <c r="AS27" i="2" a="1"/>
  <c r="C28" i="2" a="1"/>
  <c r="K28" i="2" a="1"/>
  <c r="S28" i="2" a="1"/>
  <c r="AA28" i="2" a="1"/>
  <c r="AI28" i="2" a="1"/>
  <c r="AQ28" i="2" a="1"/>
  <c r="AY28" i="2" a="1"/>
  <c r="I29" i="2" a="1"/>
  <c r="Q29" i="2" a="1"/>
  <c r="Y29" i="2" a="1"/>
  <c r="AG29" i="2" a="1"/>
  <c r="AO29" i="2" a="1"/>
  <c r="AW29" i="2" a="1"/>
  <c r="G30" i="2" a="1"/>
  <c r="O30" i="2" a="1"/>
  <c r="W30" i="2" a="1"/>
  <c r="AE30" i="2" a="1"/>
  <c r="AM30" i="2" a="1"/>
  <c r="AU30" i="2" a="1"/>
  <c r="E31" i="2" a="1"/>
  <c r="M31" i="2" a="1"/>
  <c r="U31" i="2" a="1"/>
  <c r="AC31" i="2" a="1"/>
  <c r="AK31" i="2" a="1"/>
  <c r="AS31" i="2" a="1"/>
  <c r="C32" i="2" a="1"/>
  <c r="K32" i="2" a="1"/>
  <c r="S32" i="2" a="1"/>
  <c r="AA32" i="2" a="1"/>
  <c r="AI32" i="2" a="1"/>
  <c r="AQ32" i="2" a="1"/>
  <c r="AY32" i="2" a="1"/>
  <c r="I33" i="2" a="1"/>
  <c r="Q33" i="2" a="1"/>
  <c r="Y33" i="2" a="1"/>
  <c r="AG33" i="2" a="1"/>
  <c r="AO33" i="2" a="1"/>
  <c r="AW33" i="2" a="1"/>
  <c r="G34" i="2" a="1"/>
  <c r="O34" i="2" a="1"/>
  <c r="W34" i="2" a="1"/>
  <c r="AE34" i="2" a="1"/>
  <c r="AM34" i="2" a="1"/>
  <c r="AU34" i="2" a="1"/>
  <c r="E35" i="2" a="1"/>
  <c r="M35" i="2" a="1"/>
  <c r="U35" i="2" a="1"/>
  <c r="AC35" i="2" a="1"/>
  <c r="AK35" i="2" a="1"/>
  <c r="AS35" i="2" a="1"/>
  <c r="C36" i="2" a="1"/>
  <c r="K36" i="2" a="1"/>
  <c r="S36" i="2" a="1"/>
  <c r="AA36" i="2" a="1"/>
  <c r="AI36" i="2" a="1"/>
  <c r="AQ36" i="2" a="1"/>
  <c r="AY36" i="2" a="1"/>
  <c r="I37" i="2" a="1"/>
  <c r="Q37" i="2" a="1"/>
  <c r="Y37" i="2" a="1"/>
  <c r="AG37" i="2" a="1"/>
  <c r="AO37" i="2" a="1"/>
  <c r="AW37" i="2" a="1"/>
  <c r="G38" i="2" a="1"/>
  <c r="O38" i="2" a="1"/>
  <c r="W38" i="2" a="1"/>
  <c r="AE38" i="2" a="1"/>
  <c r="AM38" i="2" a="1"/>
  <c r="J25" i="2" a="1"/>
  <c r="AL27" i="2" a="1"/>
  <c r="P30" i="2" a="1"/>
  <c r="AR32" i="2" a="1"/>
  <c r="X34" i="2" a="1"/>
  <c r="P35" i="2" a="1"/>
  <c r="J36" i="2" a="1"/>
  <c r="AZ36" i="2" a="1"/>
  <c r="AI37" i="2" a="1"/>
  <c r="N38" i="2" a="1"/>
  <c r="J39" i="2" a="1"/>
  <c r="Z39" i="2" a="1"/>
  <c r="AH39" i="2" a="1"/>
  <c r="AX39" i="2" a="1"/>
  <c r="H40" i="2" a="1"/>
  <c r="P40" i="2" a="1"/>
  <c r="X40" i="2" a="1"/>
  <c r="AN40" i="2" a="1"/>
  <c r="AV40" i="2" a="1"/>
  <c r="P38" i="2" a="1"/>
  <c r="AU39" i="2" a="1"/>
  <c r="AS40" i="2" a="1"/>
  <c r="AF39" i="2" a="1"/>
  <c r="R34" i="2" a="1"/>
  <c r="AJ32" i="2" a="1"/>
  <c r="Q39" i="2" a="1"/>
  <c r="R25" i="2" a="1"/>
  <c r="AT27" i="2" a="1"/>
  <c r="X30" i="2" a="1"/>
  <c r="AZ32" i="2" a="1"/>
  <c r="Z34" i="2" a="1"/>
  <c r="T35" i="2" a="1"/>
  <c r="L36" i="2" a="1"/>
  <c r="D37" i="2" a="1"/>
  <c r="AJ37" i="2" a="1"/>
  <c r="AR38" i="2" a="1"/>
  <c r="AZ38" i="2" a="1"/>
  <c r="R39" i="2" a="1"/>
  <c r="AP39" i="2" a="1"/>
  <c r="AF40" i="2" a="1"/>
  <c r="AK40" i="2" a="1"/>
  <c r="H39" i="2" a="1"/>
  <c r="V34" i="2" a="1"/>
  <c r="Z25" i="2" a="1"/>
  <c r="D28" i="2" a="1"/>
  <c r="AF30" i="2" a="1"/>
  <c r="J33" i="2" a="1"/>
  <c r="AD34" i="2" a="1"/>
  <c r="V35" i="2" a="1"/>
  <c r="N36" i="2" a="1"/>
  <c r="H37" i="2" a="1"/>
  <c r="AN37" i="2" a="1"/>
  <c r="AJ38" i="2" a="1"/>
  <c r="U40" i="2" a="1"/>
  <c r="AT40" i="2" a="1"/>
  <c r="AF37" i="2" a="1"/>
  <c r="J38" i="2" a="1"/>
  <c r="AM40" i="2" a="1"/>
  <c r="AH25" i="2" a="1"/>
  <c r="L28" i="2" a="1"/>
  <c r="AN30" i="2" a="1"/>
  <c r="R33" i="2" a="1"/>
  <c r="AF34" i="2" a="1"/>
  <c r="X35" i="2" a="1"/>
  <c r="R36" i="2" a="1"/>
  <c r="J37" i="2" a="1"/>
  <c r="AP37" i="2" a="1"/>
  <c r="Q38" i="2" a="1"/>
  <c r="AS38" i="2" a="1"/>
  <c r="C39" i="2" a="1"/>
  <c r="K39" i="2" a="1"/>
  <c r="S39" i="2" a="1"/>
  <c r="AA39" i="2" a="1"/>
  <c r="AI39" i="2" a="1"/>
  <c r="AQ39" i="2" a="1"/>
  <c r="AY39" i="2" a="1"/>
  <c r="I40" i="2" a="1"/>
  <c r="Q40" i="2" a="1"/>
  <c r="Y40" i="2" a="1"/>
  <c r="AG40" i="2" a="1"/>
  <c r="AO40" i="2" a="1"/>
  <c r="AW40" i="2" a="1"/>
  <c r="R37" i="2" a="1"/>
  <c r="E39" i="2" a="1"/>
  <c r="U39" i="2" a="1"/>
  <c r="AS39" i="2" a="1"/>
  <c r="S40" i="2" a="1"/>
  <c r="AY40" i="2" a="1"/>
  <c r="Z37" i="2" a="1"/>
  <c r="E40" i="2" a="1"/>
  <c r="AV39" i="2" a="1"/>
  <c r="AB32" i="2" a="1"/>
  <c r="AQ38" i="2" a="1"/>
  <c r="AW39" i="2" a="1"/>
  <c r="W40" i="2" a="1"/>
  <c r="AP25" i="2" a="1"/>
  <c r="T28" i="2" a="1"/>
  <c r="AV30" i="2" a="1"/>
  <c r="Z33" i="2" a="1"/>
  <c r="AH34" i="2" a="1"/>
  <c r="AB35" i="2" a="1"/>
  <c r="T36" i="2" a="1"/>
  <c r="K37" i="2" a="1"/>
  <c r="AQ37" i="2" a="1"/>
  <c r="R38" i="2" a="1"/>
  <c r="AK38" i="2" a="1"/>
  <c r="C40" i="2" a="1"/>
  <c r="AW38" i="2" a="1"/>
  <c r="F40" i="2" a="1"/>
  <c r="I38" i="2" a="1"/>
  <c r="AX36" i="2" a="1"/>
  <c r="AX25" i="2" a="1"/>
  <c r="AB28" i="2" a="1"/>
  <c r="F31" i="2" a="1"/>
  <c r="AH33" i="2" a="1"/>
  <c r="AL34" i="2" a="1"/>
  <c r="AD35" i="2" a="1"/>
  <c r="V36" i="2" a="1"/>
  <c r="L37" i="2" a="1"/>
  <c r="AR37" i="2" a="1"/>
  <c r="V38" i="2" a="1"/>
  <c r="AT38" i="2" a="1"/>
  <c r="D39" i="2" a="1"/>
  <c r="L39" i="2" a="1"/>
  <c r="T39" i="2" a="1"/>
  <c r="AB39" i="2" a="1"/>
  <c r="AJ39" i="2" a="1"/>
  <c r="AR39" i="2" a="1"/>
  <c r="AZ39" i="2" a="1"/>
  <c r="J40" i="2" a="1"/>
  <c r="R40" i="2" a="1"/>
  <c r="Z40" i="2" a="1"/>
  <c r="AH40" i="2" a="1"/>
  <c r="AP40" i="2" a="1"/>
  <c r="AX40" i="2" a="1"/>
  <c r="AJ35" i="2" a="1"/>
  <c r="X38" i="2" a="1"/>
  <c r="M39" i="2" a="1"/>
  <c r="AK39" i="2" a="1"/>
  <c r="AQ40" i="2" a="1"/>
  <c r="AO38" i="2" a="1"/>
  <c r="AM39" i="2" a="1"/>
  <c r="X39" i="2" a="1"/>
  <c r="L35" i="2" a="1"/>
  <c r="AD27" i="2" a="1"/>
  <c r="AH38" i="2" a="1"/>
  <c r="O40" i="2" a="1"/>
  <c r="H26" i="2" a="1"/>
  <c r="AJ28" i="2" a="1"/>
  <c r="N31" i="2" a="1"/>
  <c r="AN33" i="2" a="1"/>
  <c r="AN34" i="2" a="1"/>
  <c r="AF35" i="2" a="1"/>
  <c r="Z36" i="2" a="1"/>
  <c r="P37" i="2" a="1"/>
  <c r="AV37" i="2" a="1"/>
  <c r="AL38" i="2" a="1"/>
  <c r="AP34" i="2" a="1"/>
  <c r="AC39" i="2" a="1"/>
  <c r="K40" i="2" a="1"/>
  <c r="AA40" i="2" a="1"/>
  <c r="F38" i="2" a="1"/>
  <c r="AE39" i="2" a="1"/>
  <c r="AD40" i="2" a="1"/>
  <c r="V27" i="2" a="1"/>
  <c r="AG39" i="2" a="1"/>
  <c r="G40" i="2" a="1"/>
  <c r="P26" i="2" a="1"/>
  <c r="AR28" i="2" a="1"/>
  <c r="V31" i="2" a="1"/>
  <c r="AP33" i="2" a="1"/>
  <c r="AB36" i="2" a="1"/>
  <c r="AU38" i="2" a="1"/>
  <c r="AI40" i="2" a="1"/>
  <c r="W39" i="2" a="1"/>
  <c r="P39" i="2" a="1"/>
  <c r="F36" i="2" a="1"/>
  <c r="X26" i="2" a="1"/>
  <c r="AZ28" i="2" a="1"/>
  <c r="AD31" i="2" a="1"/>
  <c r="AV33" i="2" a="1"/>
  <c r="AT34" i="2" a="1"/>
  <c r="AL35" i="2" a="1"/>
  <c r="AD36" i="2" a="1"/>
  <c r="S37" i="2" a="1"/>
  <c r="AX37" i="2" a="1"/>
  <c r="Y38" i="2" a="1"/>
  <c r="AV38" i="2" a="1"/>
  <c r="V39" i="2" a="1"/>
  <c r="AL39" i="2" a="1"/>
  <c r="D40" i="2" a="1"/>
  <c r="L40" i="2" a="1"/>
  <c r="AB40" i="2" a="1"/>
  <c r="AR40" i="2" a="1"/>
  <c r="AZ37" i="2" a="1"/>
  <c r="G39" i="2" a="1"/>
  <c r="M40" i="2" a="1"/>
  <c r="V40" i="2" a="1"/>
  <c r="AX29" i="2" a="1"/>
  <c r="AY38" i="2" a="1"/>
  <c r="AO39" i="2" a="1"/>
  <c r="AE40" i="2" a="1"/>
  <c r="AF26" i="2" a="1"/>
  <c r="J29" i="2" a="1"/>
  <c r="AL31" i="2" a="1"/>
  <c r="AX33" i="2" a="1"/>
  <c r="AV34" i="2" a="1"/>
  <c r="AN35" i="2" a="1"/>
  <c r="AH36" i="2" a="1"/>
  <c r="T37" i="2" a="1"/>
  <c r="AY37" i="2" a="1"/>
  <c r="Z38" i="2" a="1"/>
  <c r="AN38" i="2" a="1"/>
  <c r="F39" i="2" a="1"/>
  <c r="N39" i="2" a="1"/>
  <c r="AD39" i="2" a="1"/>
  <c r="AT39" i="2" a="1"/>
  <c r="T40" i="2" a="1"/>
  <c r="AJ40" i="2" a="1"/>
  <c r="AZ40" i="2" a="1"/>
  <c r="O39" i="2" a="1"/>
  <c r="AL40" i="2" a="1"/>
  <c r="AT36" i="2" a="1"/>
  <c r="I39" i="2" a="1"/>
  <c r="AN26" i="2" a="1"/>
  <c r="R29" i="2" a="1"/>
  <c r="AT31" i="2" a="1"/>
  <c r="F34" i="2" a="1"/>
  <c r="AX34" i="2" a="1"/>
  <c r="AR35" i="2" a="1"/>
  <c r="AJ36" i="2" a="1"/>
  <c r="X37" i="2" a="1"/>
  <c r="AD38" i="2" a="1"/>
  <c r="AN39" i="2" a="1"/>
  <c r="H30" i="2" a="1"/>
  <c r="AV26" i="2" a="1"/>
  <c r="Z29" i="2" a="1"/>
  <c r="D32" i="2" a="1"/>
  <c r="H34" i="2" a="1"/>
  <c r="D35" i="2" a="1"/>
  <c r="AT35" i="2" a="1"/>
  <c r="AL36" i="2" a="1"/>
  <c r="AC40" i="2" a="1"/>
  <c r="N35" i="2" a="1"/>
  <c r="F27" i="2" a="1"/>
  <c r="AH29" i="2" a="1"/>
  <c r="L32" i="2" a="1"/>
  <c r="N34" i="2" a="1"/>
  <c r="F35" i="2" a="1"/>
  <c r="AV35" i="2" a="1"/>
  <c r="AP36" i="2" a="1"/>
  <c r="AA37" i="2" a="1"/>
  <c r="AF38" i="2" a="1"/>
  <c r="D36" i="2" a="1"/>
  <c r="Y39" i="2" a="1"/>
  <c r="N27" i="2" a="1"/>
  <c r="AP29" i="2" a="1"/>
  <c r="T32" i="2" a="1"/>
  <c r="P34" i="2" a="1"/>
  <c r="H35" i="2" a="1"/>
  <c r="AZ35" i="2" a="1"/>
  <c r="AR36" i="2" a="1"/>
  <c r="AB37" i="2" a="1"/>
  <c r="H38" i="2" a="1"/>
  <c r="AG38" i="2" a="1"/>
  <c r="AP38" i="2" a="1"/>
  <c r="AX38" i="2" a="1"/>
  <c r="N40" i="2" a="1"/>
  <c r="AH37" i="2" a="1"/>
  <c r="AU40" i="2" a="1"/>
  <c r="D24" i="2" a="1"/>
  <c r="L24" i="2" a="1"/>
  <c r="T24" i="2" a="1"/>
  <c r="AB24" i="2" a="1"/>
  <c r="AJ24" i="2" a="1"/>
  <c r="AZ24" i="2" a="1"/>
  <c r="AC24" i="2" a="1"/>
  <c r="V24" i="2" a="1"/>
  <c r="E24" i="2" a="1"/>
  <c r="M24" i="2" a="1"/>
  <c r="U24" i="2" a="1"/>
  <c r="AS24" i="2" a="1"/>
  <c r="AT24" i="2" a="1"/>
  <c r="F24" i="2" a="1"/>
  <c r="O24" i="2" a="1"/>
  <c r="G24" i="2" a="1"/>
  <c r="P24" i="2" a="1"/>
  <c r="Z24" i="2" a="1"/>
  <c r="AI24" i="2" a="1"/>
  <c r="W24" i="2" a="1"/>
  <c r="H24" i="2" a="1"/>
  <c r="X24" i="2" a="1"/>
  <c r="AF24" i="2" a="1"/>
  <c r="AN24" i="2" a="1"/>
  <c r="AV24" i="2" a="1"/>
  <c r="R24" i="2" a="1"/>
  <c r="AX24" i="2" a="1"/>
  <c r="AA24" i="2" a="1"/>
  <c r="AY24" i="2" a="1"/>
  <c r="AE24" i="2" a="1"/>
  <c r="AU24" i="2" a="1"/>
  <c r="Q24" i="2" a="1"/>
  <c r="AG24" i="2" a="1"/>
  <c r="AW24" i="2" a="1"/>
  <c r="AH24" i="2" a="1"/>
  <c r="S24" i="2" a="1"/>
  <c r="AD24" i="2" a="1"/>
  <c r="I24" i="2" a="1"/>
  <c r="Y24" i="2" a="1"/>
  <c r="AO24" i="2" a="1"/>
  <c r="AP24" i="2" a="1"/>
  <c r="AQ24" i="2" a="1"/>
  <c r="AM24" i="2" a="1"/>
  <c r="J24" i="2" a="1"/>
  <c r="K24" i="2" a="1"/>
  <c r="AR24" i="2" a="1"/>
  <c r="AK24" i="2" a="1"/>
  <c r="N24" i="2" a="1"/>
  <c r="AL24" i="2" a="1"/>
  <c r="C24" i="2" a="1"/>
  <c r="D3" i="2" a="1"/>
  <c r="L3" i="2" a="1"/>
  <c r="T3" i="2" a="1"/>
  <c r="AB3" i="2" a="1"/>
  <c r="AJ3" i="2" a="1"/>
  <c r="AR3" i="2" a="1"/>
  <c r="AZ3" i="2" a="1"/>
  <c r="K4" i="2" a="1"/>
  <c r="S4" i="2" a="1"/>
  <c r="AA4" i="2" a="1"/>
  <c r="AI4" i="2" a="1"/>
  <c r="AQ4" i="2" a="1"/>
  <c r="AY4" i="2" a="1"/>
  <c r="J5" i="2" a="1"/>
  <c r="R5" i="2" a="1"/>
  <c r="Z5" i="2" a="1"/>
  <c r="AH5" i="2" a="1"/>
  <c r="AP5" i="2" a="1"/>
  <c r="AX5" i="2" a="1"/>
  <c r="I6" i="2" a="1"/>
  <c r="Q6" i="2" a="1"/>
  <c r="Y6" i="2" a="1"/>
  <c r="AG6" i="2" a="1"/>
  <c r="AO6" i="2" a="1"/>
  <c r="AW6" i="2" a="1"/>
  <c r="H7" i="2" a="1"/>
  <c r="P7" i="2" a="1"/>
  <c r="X7" i="2" a="1"/>
  <c r="AF7" i="2" a="1"/>
  <c r="AN7" i="2" a="1"/>
  <c r="AV7" i="2" a="1"/>
  <c r="G8" i="2" a="1"/>
  <c r="O8" i="2" a="1"/>
  <c r="W8" i="2" a="1"/>
  <c r="AE8" i="2" a="1"/>
  <c r="AM8" i="2" a="1"/>
  <c r="AU8" i="2" a="1"/>
  <c r="F9" i="2" a="1"/>
  <c r="N9" i="2" a="1"/>
  <c r="V9" i="2" a="1"/>
  <c r="E3" i="2" a="1"/>
  <c r="M3" i="2" a="1"/>
  <c r="U3" i="2" a="1"/>
  <c r="AC3" i="2" a="1"/>
  <c r="AK3" i="2" a="1"/>
  <c r="AS3" i="2" a="1"/>
  <c r="D4" i="2" a="1"/>
  <c r="L4" i="2" a="1"/>
  <c r="T4" i="2" a="1"/>
  <c r="AB4" i="2" a="1"/>
  <c r="AJ4" i="2" a="1"/>
  <c r="AR4" i="2" a="1"/>
  <c r="AZ4" i="2" a="1"/>
  <c r="K5" i="2" a="1"/>
  <c r="S5" i="2" a="1"/>
  <c r="AA5" i="2" a="1"/>
  <c r="AI5" i="2" a="1"/>
  <c r="AQ5" i="2" a="1"/>
  <c r="AY5" i="2" a="1"/>
  <c r="J6" i="2" a="1"/>
  <c r="R6" i="2" a="1"/>
  <c r="Z6" i="2" a="1"/>
  <c r="AH6" i="2" a="1"/>
  <c r="AP6" i="2" a="1"/>
  <c r="AX6" i="2" a="1"/>
  <c r="I7" i="2" a="1"/>
  <c r="Q7" i="2" a="1"/>
  <c r="Y7" i="2" a="1"/>
  <c r="AG7" i="2" a="1"/>
  <c r="AO7" i="2" a="1"/>
  <c r="AW7" i="2" a="1"/>
  <c r="H8" i="2" a="1"/>
  <c r="P8" i="2" a="1"/>
  <c r="X8" i="2" a="1"/>
  <c r="AF8" i="2" a="1"/>
  <c r="AN8" i="2" a="1"/>
  <c r="AV8" i="2" a="1"/>
  <c r="G9" i="2" a="1"/>
  <c r="O9" i="2" a="1"/>
  <c r="W9" i="2" a="1"/>
  <c r="AE9" i="2" a="1"/>
  <c r="AM9" i="2" a="1"/>
  <c r="AU9" i="2" a="1"/>
  <c r="F10" i="2" a="1"/>
  <c r="N10" i="2" a="1"/>
  <c r="V10" i="2" a="1"/>
  <c r="AD10" i="2" a="1"/>
  <c r="AL10" i="2" a="1"/>
  <c r="AT10" i="2" a="1"/>
  <c r="E11" i="2" a="1"/>
  <c r="M11" i="2" a="1"/>
  <c r="F3" i="2" a="1"/>
  <c r="N3" i="2" a="1"/>
  <c r="V3" i="2" a="1"/>
  <c r="AD3" i="2" a="1"/>
  <c r="AL3" i="2" a="1"/>
  <c r="AT3" i="2" a="1"/>
  <c r="E4" i="2" a="1"/>
  <c r="M4" i="2" a="1"/>
  <c r="U4" i="2" a="1"/>
  <c r="AC4" i="2" a="1"/>
  <c r="AK4" i="2" a="1"/>
  <c r="AS4" i="2" a="1"/>
  <c r="D5" i="2" a="1"/>
  <c r="L5" i="2" a="1"/>
  <c r="T5" i="2" a="1"/>
  <c r="AB5" i="2" a="1"/>
  <c r="AJ5" i="2" a="1"/>
  <c r="AR5" i="2" a="1"/>
  <c r="AZ5" i="2" a="1"/>
  <c r="K6" i="2" a="1"/>
  <c r="S6" i="2" a="1"/>
  <c r="AA6" i="2" a="1"/>
  <c r="AI6" i="2" a="1"/>
  <c r="AQ6" i="2" a="1"/>
  <c r="AY6" i="2" a="1"/>
  <c r="J7" i="2" a="1"/>
  <c r="R7" i="2" a="1"/>
  <c r="Z7" i="2" a="1"/>
  <c r="AH7" i="2" a="1"/>
  <c r="AP7" i="2" a="1"/>
  <c r="AX7" i="2" a="1"/>
  <c r="I8" i="2" a="1"/>
  <c r="Q8" i="2" a="1"/>
  <c r="Y8" i="2" a="1"/>
  <c r="AG8" i="2" a="1"/>
  <c r="AO8" i="2" a="1"/>
  <c r="AW8" i="2" a="1"/>
  <c r="H9" i="2" a="1"/>
  <c r="P9" i="2" a="1"/>
  <c r="X9" i="2" a="1"/>
  <c r="AF9" i="2" a="1"/>
  <c r="AN9" i="2" a="1"/>
  <c r="AV9" i="2" a="1"/>
  <c r="G10" i="2" a="1"/>
  <c r="O10" i="2" a="1"/>
  <c r="W10" i="2" a="1"/>
  <c r="AE10" i="2" a="1"/>
  <c r="AM10" i="2" a="1"/>
  <c r="AU10" i="2" a="1"/>
  <c r="G3" i="2" a="1"/>
  <c r="O3" i="2" a="1"/>
  <c r="W3" i="2" a="1"/>
  <c r="AE3" i="2" a="1"/>
  <c r="AM3" i="2" a="1"/>
  <c r="AU3" i="2" a="1"/>
  <c r="F4" i="2" a="1"/>
  <c r="N4" i="2" a="1"/>
  <c r="V4" i="2" a="1"/>
  <c r="AD4" i="2" a="1"/>
  <c r="AL4" i="2" a="1"/>
  <c r="AT4" i="2" a="1"/>
  <c r="E5" i="2" a="1"/>
  <c r="M5" i="2" a="1"/>
  <c r="U5" i="2" a="1"/>
  <c r="AC5" i="2" a="1"/>
  <c r="AK5" i="2" a="1"/>
  <c r="AS5" i="2" a="1"/>
  <c r="D6" i="2" a="1"/>
  <c r="L6" i="2" a="1"/>
  <c r="T6" i="2" a="1"/>
  <c r="AB6" i="2" a="1"/>
  <c r="AJ6" i="2" a="1"/>
  <c r="AR6" i="2" a="1"/>
  <c r="AZ6" i="2" a="1"/>
  <c r="K7" i="2" a="1"/>
  <c r="S7" i="2" a="1"/>
  <c r="AA7" i="2" a="1"/>
  <c r="AI7" i="2" a="1"/>
  <c r="AQ7" i="2" a="1"/>
  <c r="AY7" i="2" a="1"/>
  <c r="J8" i="2" a="1"/>
  <c r="R8" i="2" a="1"/>
  <c r="Z8" i="2" a="1"/>
  <c r="AH8" i="2" a="1"/>
  <c r="AP8" i="2" a="1"/>
  <c r="AX8" i="2" a="1"/>
  <c r="I9" i="2" a="1"/>
  <c r="Q9" i="2" a="1"/>
  <c r="Y9" i="2" a="1"/>
  <c r="AG9" i="2" a="1"/>
  <c r="AO9" i="2" a="1"/>
  <c r="AW9" i="2" a="1"/>
  <c r="H10" i="2" a="1"/>
  <c r="P10" i="2" a="1"/>
  <c r="X10" i="2" a="1"/>
  <c r="AF10" i="2" a="1"/>
  <c r="AN10" i="2" a="1"/>
  <c r="AV10" i="2" a="1"/>
  <c r="G11" i="2" a="1"/>
  <c r="O11" i="2" a="1"/>
  <c r="W11" i="2" a="1"/>
  <c r="AE11" i="2" a="1"/>
  <c r="AM11" i="2" a="1"/>
  <c r="AU11" i="2" a="1"/>
  <c r="F12" i="2" a="1"/>
  <c r="N12" i="2" a="1"/>
  <c r="V12" i="2" a="1"/>
  <c r="AD12" i="2" a="1"/>
  <c r="AL12" i="2" a="1"/>
  <c r="AT12" i="2" a="1"/>
  <c r="E13" i="2" a="1"/>
  <c r="M13" i="2" a="1"/>
  <c r="U13" i="2" a="1"/>
  <c r="AC13" i="2" a="1"/>
  <c r="AK13" i="2" a="1"/>
  <c r="AS13" i="2" a="1"/>
  <c r="D14" i="2" a="1"/>
  <c r="L14" i="2" a="1"/>
  <c r="T14" i="2" a="1"/>
  <c r="AB14" i="2" a="1"/>
  <c r="AJ14" i="2" a="1"/>
  <c r="AR14" i="2" a="1"/>
  <c r="AZ14" i="2" a="1"/>
  <c r="K15" i="2" a="1"/>
  <c r="S15" i="2" a="1"/>
  <c r="AA15" i="2" a="1"/>
  <c r="AI15" i="2" a="1"/>
  <c r="AQ15" i="2" a="1"/>
  <c r="AY15" i="2" a="1"/>
  <c r="J16" i="2" a="1"/>
  <c r="R16" i="2" a="1"/>
  <c r="Z16" i="2" a="1"/>
  <c r="AH16" i="2" a="1"/>
  <c r="AP16" i="2" a="1"/>
  <c r="AX16" i="2" a="1"/>
  <c r="H3" i="2" a="1"/>
  <c r="P3" i="2" a="1"/>
  <c r="X3" i="2" a="1"/>
  <c r="AF3" i="2" a="1"/>
  <c r="AN3" i="2" a="1"/>
  <c r="AV3" i="2" a="1"/>
  <c r="G4" i="2" a="1"/>
  <c r="O4" i="2" a="1"/>
  <c r="W4" i="2" a="1"/>
  <c r="AE4" i="2" a="1"/>
  <c r="AM4" i="2" a="1"/>
  <c r="AU4" i="2" a="1"/>
  <c r="F5" i="2" a="1"/>
  <c r="N5" i="2" a="1"/>
  <c r="V5" i="2" a="1"/>
  <c r="AD5" i="2" a="1"/>
  <c r="AL5" i="2" a="1"/>
  <c r="AT5" i="2" a="1"/>
  <c r="E6" i="2" a="1"/>
  <c r="M6" i="2" a="1"/>
  <c r="U6" i="2" a="1"/>
  <c r="AC6" i="2" a="1"/>
  <c r="AK6" i="2" a="1"/>
  <c r="AS6" i="2" a="1"/>
  <c r="D7" i="2" a="1"/>
  <c r="L7" i="2" a="1"/>
  <c r="T7" i="2" a="1"/>
  <c r="AB7" i="2" a="1"/>
  <c r="AJ7" i="2" a="1"/>
  <c r="AR7" i="2" a="1"/>
  <c r="AZ7" i="2" a="1"/>
  <c r="K8" i="2" a="1"/>
  <c r="S8" i="2" a="1"/>
  <c r="AA8" i="2" a="1"/>
  <c r="AI8" i="2" a="1"/>
  <c r="AQ8" i="2" a="1"/>
  <c r="AY8" i="2" a="1"/>
  <c r="J9" i="2" a="1"/>
  <c r="R9" i="2" a="1"/>
  <c r="Z9" i="2" a="1"/>
  <c r="AH9" i="2" a="1"/>
  <c r="AP9" i="2" a="1"/>
  <c r="AX9" i="2" a="1"/>
  <c r="I10" i="2" a="1"/>
  <c r="Q10" i="2" a="1"/>
  <c r="Y10" i="2" a="1"/>
  <c r="AG10" i="2" a="1"/>
  <c r="AO10" i="2" a="1"/>
  <c r="AW10" i="2" a="1"/>
  <c r="H11" i="2" a="1"/>
  <c r="P11" i="2" a="1"/>
  <c r="X11" i="2" a="1"/>
  <c r="AF11" i="2" a="1"/>
  <c r="AN11" i="2" a="1"/>
  <c r="AV11" i="2" a="1"/>
  <c r="G12" i="2" a="1"/>
  <c r="O12" i="2" a="1"/>
  <c r="W12" i="2" a="1"/>
  <c r="AE12" i="2" a="1"/>
  <c r="AM12" i="2" a="1"/>
  <c r="AU12" i="2" a="1"/>
  <c r="F13" i="2" a="1"/>
  <c r="N13" i="2" a="1"/>
  <c r="V13" i="2" a="1"/>
  <c r="AD13" i="2" a="1"/>
  <c r="AL13" i="2" a="1"/>
  <c r="AT13" i="2" a="1"/>
  <c r="E14" i="2" a="1"/>
  <c r="M14" i="2" a="1"/>
  <c r="U14" i="2" a="1"/>
  <c r="AC14" i="2" a="1"/>
  <c r="AK14" i="2" a="1"/>
  <c r="AS14" i="2" a="1"/>
  <c r="D15" i="2" a="1"/>
  <c r="I3" i="2" a="1"/>
  <c r="Q3" i="2" a="1"/>
  <c r="Y3" i="2" a="1"/>
  <c r="AG3" i="2" a="1"/>
  <c r="AO3" i="2" a="1"/>
  <c r="AW3" i="2" a="1"/>
  <c r="H4" i="2" a="1"/>
  <c r="P4" i="2" a="1"/>
  <c r="X4" i="2" a="1"/>
  <c r="AF4" i="2" a="1"/>
  <c r="AN4" i="2" a="1"/>
  <c r="AV4" i="2" a="1"/>
  <c r="G5" i="2" a="1"/>
  <c r="O5" i="2" a="1"/>
  <c r="W5" i="2" a="1"/>
  <c r="AE5" i="2" a="1"/>
  <c r="AM5" i="2" a="1"/>
  <c r="AU5" i="2" a="1"/>
  <c r="F6" i="2" a="1"/>
  <c r="N6" i="2" a="1"/>
  <c r="V6" i="2" a="1"/>
  <c r="AD6" i="2" a="1"/>
  <c r="AL6" i="2" a="1"/>
  <c r="AT6" i="2" a="1"/>
  <c r="E7" i="2" a="1"/>
  <c r="M7" i="2" a="1"/>
  <c r="U7" i="2" a="1"/>
  <c r="AC7" i="2" a="1"/>
  <c r="AK7" i="2" a="1"/>
  <c r="AS7" i="2" a="1"/>
  <c r="D8" i="2" a="1"/>
  <c r="L8" i="2" a="1"/>
  <c r="T8" i="2" a="1"/>
  <c r="AB8" i="2" a="1"/>
  <c r="AJ8" i="2" a="1"/>
  <c r="AR8" i="2" a="1"/>
  <c r="AZ8" i="2" a="1"/>
  <c r="K9" i="2" a="1"/>
  <c r="S9" i="2" a="1"/>
  <c r="J3" i="2" a="1"/>
  <c r="R3" i="2" a="1"/>
  <c r="Z3" i="2" a="1"/>
  <c r="AH3" i="2" a="1"/>
  <c r="AP3" i="2" a="1"/>
  <c r="AX3" i="2" a="1"/>
  <c r="I4" i="2" a="1"/>
  <c r="Q4" i="2" a="1"/>
  <c r="Y4" i="2" a="1"/>
  <c r="AG4" i="2" a="1"/>
  <c r="AO4" i="2" a="1"/>
  <c r="AW4" i="2" a="1"/>
  <c r="H5" i="2" a="1"/>
  <c r="P5" i="2" a="1"/>
  <c r="X5" i="2" a="1"/>
  <c r="AF5" i="2" a="1"/>
  <c r="AN5" i="2" a="1"/>
  <c r="AV5" i="2" a="1"/>
  <c r="G6" i="2" a="1"/>
  <c r="O6" i="2" a="1"/>
  <c r="W6" i="2" a="1"/>
  <c r="AE6" i="2" a="1"/>
  <c r="AM6" i="2" a="1"/>
  <c r="AU6" i="2" a="1"/>
  <c r="F7" i="2" a="1"/>
  <c r="N7" i="2" a="1"/>
  <c r="V7" i="2" a="1"/>
  <c r="AD7" i="2" a="1"/>
  <c r="AL7" i="2" a="1"/>
  <c r="AT7" i="2" a="1"/>
  <c r="E8" i="2" a="1"/>
  <c r="M8" i="2" a="1"/>
  <c r="U8" i="2" a="1"/>
  <c r="AC8" i="2" a="1"/>
  <c r="AK8" i="2" a="1"/>
  <c r="AS8" i="2" a="1"/>
  <c r="D9" i="2" a="1"/>
  <c r="L9" i="2" a="1"/>
  <c r="T9" i="2" a="1"/>
  <c r="AB9" i="2" a="1"/>
  <c r="AJ9" i="2" a="1"/>
  <c r="AR9" i="2" a="1"/>
  <c r="AZ9" i="2" a="1"/>
  <c r="K10" i="2" a="1"/>
  <c r="S10" i="2" a="1"/>
  <c r="AA10" i="2" a="1"/>
  <c r="AI10" i="2" a="1"/>
  <c r="AQ10" i="2" a="1"/>
  <c r="K3" i="2" a="1"/>
  <c r="AO5" i="2" a="1"/>
  <c r="V8" i="2" a="1"/>
  <c r="AY9" i="2" a="1"/>
  <c r="AR10" i="2" a="1"/>
  <c r="U11" i="2" a="1"/>
  <c r="AQ11" i="2" a="1"/>
  <c r="P12" i="2" a="1"/>
  <c r="AJ12" i="2" a="1"/>
  <c r="I13" i="2" a="1"/>
  <c r="AE13" i="2" a="1"/>
  <c r="AY13" i="2" a="1"/>
  <c r="X14" i="2" a="1"/>
  <c r="AT14" i="2" a="1"/>
  <c r="P15" i="2" a="1"/>
  <c r="G16" i="2" a="1"/>
  <c r="S16" i="2" a="1"/>
  <c r="AZ16" i="2" a="1"/>
  <c r="K17" i="2" a="1"/>
  <c r="S17" i="2" a="1"/>
  <c r="AA17" i="2" a="1"/>
  <c r="AI17" i="2" a="1"/>
  <c r="AQ17" i="2" a="1"/>
  <c r="AY17" i="2" a="1"/>
  <c r="J18" i="2" a="1"/>
  <c r="R18" i="2" a="1"/>
  <c r="Z18" i="2" a="1"/>
  <c r="AH18" i="2" a="1"/>
  <c r="AP18" i="2" a="1"/>
  <c r="AX18" i="2" a="1"/>
  <c r="I19" i="2" a="1"/>
  <c r="Q19" i="2" a="1"/>
  <c r="Y19" i="2" a="1"/>
  <c r="AG19" i="2" a="1"/>
  <c r="AO19" i="2" a="1"/>
  <c r="AW19" i="2" a="1"/>
  <c r="AW5" i="2" a="1"/>
  <c r="AD8" i="2" a="1"/>
  <c r="D10" i="2" a="1"/>
  <c r="V11" i="2" a="1"/>
  <c r="AR11" i="2" a="1"/>
  <c r="AK12" i="2" a="1"/>
  <c r="AF13" i="2" a="1"/>
  <c r="AU14" i="2" a="1"/>
  <c r="AS15" i="2" a="1"/>
  <c r="AE16" i="2" a="1"/>
  <c r="L17" i="2" a="1"/>
  <c r="T17" i="2" a="1"/>
  <c r="AB17" i="2" a="1"/>
  <c r="AZ17" i="2" a="1"/>
  <c r="K18" i="2" a="1"/>
  <c r="AA18" i="2" a="1"/>
  <c r="AY18" i="2" a="1"/>
  <c r="J19" i="2" a="1"/>
  <c r="Z19" i="2" a="1"/>
  <c r="AX19" i="2" a="1"/>
  <c r="J10" i="2" a="1"/>
  <c r="S12" i="2" a="1"/>
  <c r="AH13" i="2" a="1"/>
  <c r="AA14" i="2" a="1"/>
  <c r="T15" i="2" a="1"/>
  <c r="AU15" i="2" a="1"/>
  <c r="AR16" i="2" a="1"/>
  <c r="T11" i="2" a="1"/>
  <c r="O15" i="2" a="1"/>
  <c r="S3" i="2" a="1"/>
  <c r="AS10" i="2" a="1"/>
  <c r="Q12" i="2" a="1"/>
  <c r="J13" i="2" a="1"/>
  <c r="AZ13" i="2" a="1"/>
  <c r="Y14" i="2" a="1"/>
  <c r="Q15" i="2" a="1"/>
  <c r="AG15" i="2" a="1"/>
  <c r="AQ16" i="2" a="1"/>
  <c r="T16" i="2" a="1"/>
  <c r="AR17" i="2" a="1"/>
  <c r="S18" i="2" a="1"/>
  <c r="AQ18" i="2" a="1"/>
  <c r="R19" i="2" a="1"/>
  <c r="AH19" i="2" a="1"/>
  <c r="AT8" i="2" a="1"/>
  <c r="AT11" i="2" a="1"/>
  <c r="AO12" i="2" a="1"/>
  <c r="G14" i="2" a="1"/>
  <c r="AW14" i="2" a="1"/>
  <c r="I16" i="2" a="1"/>
  <c r="AP10" i="2" a="1"/>
  <c r="AF15" i="2" a="1"/>
  <c r="AA3" i="2" a="1"/>
  <c r="H6" i="2" a="1"/>
  <c r="AL8" i="2" a="1"/>
  <c r="E10" i="2" a="1"/>
  <c r="AX10" i="2" a="1"/>
  <c r="Y11" i="2" a="1"/>
  <c r="AS11" i="2" a="1"/>
  <c r="R12" i="2" a="1"/>
  <c r="AN12" i="2" a="1"/>
  <c r="K13" i="2" a="1"/>
  <c r="AG13" i="2" a="1"/>
  <c r="F14" i="2" a="1"/>
  <c r="Z14" i="2" a="1"/>
  <c r="AV14" i="2" a="1"/>
  <c r="R15" i="2" a="1"/>
  <c r="AH15" i="2" a="1"/>
  <c r="AT15" i="2" a="1"/>
  <c r="H16" i="2" a="1"/>
  <c r="D17" i="2" a="1"/>
  <c r="AJ17" i="2" a="1"/>
  <c r="AI18" i="2" a="1"/>
  <c r="AP19" i="2" a="1"/>
  <c r="Z11" i="2" a="1"/>
  <c r="U16" i="2" a="1"/>
  <c r="AI3" i="2" a="1"/>
  <c r="P6" i="2" a="1"/>
  <c r="AY10" i="2" a="1"/>
  <c r="L13" i="2" a="1"/>
  <c r="AF16" i="2" a="1"/>
  <c r="AQ3" i="2" a="1"/>
  <c r="X6" i="2" a="1"/>
  <c r="E9" i="2" a="1"/>
  <c r="L10" i="2" a="1"/>
  <c r="AZ10" i="2" a="1"/>
  <c r="AA11" i="2" a="1"/>
  <c r="AW11" i="2" a="1"/>
  <c r="T12" i="2" a="1"/>
  <c r="AP12" i="2" a="1"/>
  <c r="O13" i="2" a="1"/>
  <c r="AI13" i="2" a="1"/>
  <c r="H14" i="2" a="1"/>
  <c r="AD14" i="2" a="1"/>
  <c r="AX14" i="2" a="1"/>
  <c r="U15" i="2" a="1"/>
  <c r="AJ15" i="2" a="1"/>
  <c r="V16" i="2" a="1"/>
  <c r="AG16" i="2" a="1"/>
  <c r="AS16" i="2" a="1"/>
  <c r="E17" i="2" a="1"/>
  <c r="M17" i="2" a="1"/>
  <c r="U17" i="2" a="1"/>
  <c r="AC17" i="2" a="1"/>
  <c r="AK17" i="2" a="1"/>
  <c r="AS17" i="2" a="1"/>
  <c r="D18" i="2" a="1"/>
  <c r="L18" i="2" a="1"/>
  <c r="T18" i="2" a="1"/>
  <c r="AB18" i="2" a="1"/>
  <c r="AJ18" i="2" a="1"/>
  <c r="AR18" i="2" a="1"/>
  <c r="AZ18" i="2" a="1"/>
  <c r="K19" i="2" a="1"/>
  <c r="S19" i="2" a="1"/>
  <c r="AA19" i="2" a="1"/>
  <c r="AI19" i="2" a="1"/>
  <c r="AQ19" i="2" a="1"/>
  <c r="AY19" i="2" a="1"/>
  <c r="D13" i="2" a="1"/>
  <c r="AO11" i="2" a="1"/>
  <c r="AY16" i="2" a="1"/>
  <c r="P19" i="2" a="1"/>
  <c r="H13" i="2" a="1"/>
  <c r="AY3" i="2" a="1"/>
  <c r="AF6" i="2" a="1"/>
  <c r="M9" i="2" a="1"/>
  <c r="M10" i="2" a="1"/>
  <c r="D11" i="2" a="1"/>
  <c r="AB11" i="2" a="1"/>
  <c r="AX11" i="2" a="1"/>
  <c r="U12" i="2" a="1"/>
  <c r="AQ12" i="2" a="1"/>
  <c r="P13" i="2" a="1"/>
  <c r="AJ13" i="2" a="1"/>
  <c r="I14" i="2" a="1"/>
  <c r="AE14" i="2" a="1"/>
  <c r="AY14" i="2" a="1"/>
  <c r="V15" i="2" a="1"/>
  <c r="AV15" i="2" a="1"/>
  <c r="K16" i="2" a="1"/>
  <c r="AT16" i="2" a="1"/>
  <c r="J14" i="2" a="1"/>
  <c r="W15" i="2" a="1"/>
  <c r="W16" i="2" a="1"/>
  <c r="F17" i="2" a="1"/>
  <c r="V17" i="2" a="1"/>
  <c r="AD17" i="2" a="1"/>
  <c r="AL17" i="2" a="1"/>
  <c r="E18" i="2" a="1"/>
  <c r="M18" i="2" a="1"/>
  <c r="AC18" i="2" a="1"/>
  <c r="AK18" i="2" a="1"/>
  <c r="AS18" i="2" a="1"/>
  <c r="L19" i="2" a="1"/>
  <c r="T19" i="2" a="1"/>
  <c r="AB19" i="2" a="1"/>
  <c r="AR19" i="2" a="1"/>
  <c r="AZ19" i="2" a="1"/>
  <c r="AU16" i="2" a="1"/>
  <c r="O19" i="2" a="1"/>
  <c r="AQ9" i="2" a="1"/>
  <c r="AV13" i="2" a="1"/>
  <c r="AB16" i="2" a="1"/>
  <c r="AK10" i="2" a="1"/>
  <c r="N15" i="2" a="1"/>
  <c r="R17" i="2" a="1"/>
  <c r="Y18" i="2" a="1"/>
  <c r="H19" i="2" a="1"/>
  <c r="AT9" i="2" a="1"/>
  <c r="J4" i="2" a="1"/>
  <c r="AN6" i="2" a="1"/>
  <c r="U9" i="2" a="1"/>
  <c r="R10" i="2" a="1"/>
  <c r="F11" i="2" a="1"/>
  <c r="AC11" i="2" a="1"/>
  <c r="AY11" i="2" a="1"/>
  <c r="X12" i="2" a="1"/>
  <c r="AR12" i="2" a="1"/>
  <c r="Q13" i="2" a="1"/>
  <c r="AM13" i="2" a="1"/>
  <c r="AF14" i="2" a="1"/>
  <c r="E15" i="2" a="1"/>
  <c r="AK15" i="2" a="1"/>
  <c r="AI16" i="2" a="1"/>
  <c r="N17" i="2" a="1"/>
  <c r="AT17" i="2" a="1"/>
  <c r="U18" i="2" a="1"/>
  <c r="D19" i="2" a="1"/>
  <c r="AJ19" i="2" a="1"/>
  <c r="K12" i="2" a="1"/>
  <c r="E16" i="2" a="1"/>
  <c r="AH12" i="2" a="1"/>
  <c r="Z17" i="2" a="1"/>
  <c r="AV19" i="2" a="1"/>
  <c r="AX13" i="2" a="1"/>
  <c r="R4" i="2" a="1"/>
  <c r="AV6" i="2" a="1"/>
  <c r="AA9" i="2" a="1"/>
  <c r="T10" i="2" a="1"/>
  <c r="I11" i="2" a="1"/>
  <c r="AD11" i="2" a="1"/>
  <c r="AZ11" i="2" a="1"/>
  <c r="Y12" i="2" a="1"/>
  <c r="AS12" i="2" a="1"/>
  <c r="R13" i="2" a="1"/>
  <c r="AN13" i="2" a="1"/>
  <c r="K14" i="2" a="1"/>
  <c r="AG14" i="2" a="1"/>
  <c r="F15" i="2" a="1"/>
  <c r="X15" i="2" a="1"/>
  <c r="AL15" i="2" a="1"/>
  <c r="AW15" i="2" a="1"/>
  <c r="L16" i="2" a="1"/>
  <c r="AU7" i="2" a="1"/>
  <c r="P16" i="2" a="1"/>
  <c r="AP14" i="2" a="1"/>
  <c r="Q18" i="2" a="1"/>
  <c r="AQ14" i="2" a="1"/>
  <c r="Z4" i="2" a="1"/>
  <c r="G7" i="2" a="1"/>
  <c r="AC9" i="2" a="1"/>
  <c r="U10" i="2" a="1"/>
  <c r="J11" i="2" a="1"/>
  <c r="AG11" i="2" a="1"/>
  <c r="D12" i="2" a="1"/>
  <c r="Z12" i="2" a="1"/>
  <c r="AV12" i="2" a="1"/>
  <c r="S13" i="2" a="1"/>
  <c r="AO13" i="2" a="1"/>
  <c r="N14" i="2" a="1"/>
  <c r="AH14" i="2" a="1"/>
  <c r="G15" i="2" a="1"/>
  <c r="Y15" i="2" a="1"/>
  <c r="AM15" i="2" a="1"/>
  <c r="AX15" i="2" a="1"/>
  <c r="M16" i="2" a="1"/>
  <c r="X16" i="2" a="1"/>
  <c r="AJ16" i="2" a="1"/>
  <c r="G17" i="2" a="1"/>
  <c r="O17" i="2" a="1"/>
  <c r="W17" i="2" a="1"/>
  <c r="AE17" i="2" a="1"/>
  <c r="AM17" i="2" a="1"/>
  <c r="AU17" i="2" a="1"/>
  <c r="F18" i="2" a="1"/>
  <c r="N18" i="2" a="1"/>
  <c r="V18" i="2" a="1"/>
  <c r="AD18" i="2" a="1"/>
  <c r="AL18" i="2" a="1"/>
  <c r="AT18" i="2" a="1"/>
  <c r="E19" i="2" a="1"/>
  <c r="M19" i="2" a="1"/>
  <c r="U19" i="2" a="1"/>
  <c r="AC19" i="2" a="1"/>
  <c r="AK19" i="2" a="1"/>
  <c r="AS19" i="2" a="1"/>
  <c r="AU18" i="2" a="1"/>
  <c r="V19" i="2" a="1"/>
  <c r="AT19" i="2" a="1"/>
  <c r="AZ12" i="2" a="1"/>
  <c r="L15" i="2" a="1"/>
  <c r="Q17" i="2" a="1"/>
  <c r="AW17" i="2" a="1"/>
  <c r="X18" i="2" a="1"/>
  <c r="G19" i="2" a="1"/>
  <c r="AU19" i="2" a="1"/>
  <c r="AL11" i="2" a="1"/>
  <c r="M15" i="2" a="1"/>
  <c r="F8" i="2" a="1"/>
  <c r="AA13" i="2" a="1"/>
  <c r="AN16" i="2" a="1"/>
  <c r="I18" i="2" a="1"/>
  <c r="X19" i="2" a="1"/>
  <c r="M12" i="2" a="1"/>
  <c r="AO16" i="2" a="1"/>
  <c r="AH4" i="2" a="1"/>
  <c r="O7" i="2" a="1"/>
  <c r="AD9" i="2" a="1"/>
  <c r="Z10" i="2" a="1"/>
  <c r="K11" i="2" a="1"/>
  <c r="AH11" i="2" a="1"/>
  <c r="E12" i="2" a="1"/>
  <c r="AA12" i="2" a="1"/>
  <c r="AW12" i="2" a="1"/>
  <c r="T13" i="2" a="1"/>
  <c r="AP13" i="2" a="1"/>
  <c r="O14" i="2" a="1"/>
  <c r="AI14" i="2" a="1"/>
  <c r="H15" i="2" a="1"/>
  <c r="Z15" i="2" a="1"/>
  <c r="N16" i="2" a="1"/>
  <c r="Y16" i="2" a="1"/>
  <c r="AK16" i="2" a="1"/>
  <c r="AV16" i="2" a="1"/>
  <c r="N19" i="2" a="1"/>
  <c r="AL19" i="2" a="1"/>
  <c r="AU13" i="2" a="1"/>
  <c r="AO15" i="2" a="1"/>
  <c r="I17" i="2" a="1"/>
  <c r="AG17" i="2" a="1"/>
  <c r="H18" i="2" a="1"/>
  <c r="AF18" i="2" a="1"/>
  <c r="W19" i="2" a="1"/>
  <c r="AJ10" i="2" a="1"/>
  <c r="S14" i="2" a="1"/>
  <c r="AS9" i="2" a="1"/>
  <c r="AW13" i="2" a="1"/>
  <c r="Q16" i="2" a="1"/>
  <c r="AP17" i="2" a="1"/>
  <c r="AO18" i="2" a="1"/>
  <c r="AN19" i="2" a="1"/>
  <c r="AI12" i="2" a="1"/>
  <c r="AD16" i="2" a="1"/>
  <c r="AP4" i="2" a="1"/>
  <c r="W7" i="2" a="1"/>
  <c r="AI9" i="2" a="1"/>
  <c r="AB10" i="2" a="1"/>
  <c r="L11" i="2" a="1"/>
  <c r="AI11" i="2" a="1"/>
  <c r="H12" i="2" a="1"/>
  <c r="AB12" i="2" a="1"/>
  <c r="AX12" i="2" a="1"/>
  <c r="W13" i="2" a="1"/>
  <c r="AQ13" i="2" a="1"/>
  <c r="P14" i="2" a="1"/>
  <c r="AL14" i="2" a="1"/>
  <c r="I15" i="2" a="1"/>
  <c r="AB15" i="2" a="1"/>
  <c r="AN15" i="2" a="1"/>
  <c r="AZ15" i="2" a="1"/>
  <c r="AL16" i="2" a="1"/>
  <c r="H17" i="2" a="1"/>
  <c r="P17" i="2" a="1"/>
  <c r="X17" i="2" a="1"/>
  <c r="AF17" i="2" a="1"/>
  <c r="AN17" i="2" a="1"/>
  <c r="AV17" i="2" a="1"/>
  <c r="G18" i="2" a="1"/>
  <c r="O18" i="2" a="1"/>
  <c r="W18" i="2" a="1"/>
  <c r="AE18" i="2" a="1"/>
  <c r="AM18" i="2" a="1"/>
  <c r="F19" i="2" a="1"/>
  <c r="AD19" i="2" a="1"/>
  <c r="Y13" i="2" a="1"/>
  <c r="AN14" i="2" a="1"/>
  <c r="AD15" i="2" a="1"/>
  <c r="Y17" i="2" a="1"/>
  <c r="AO17" i="2" a="1"/>
  <c r="P18" i="2" a="1"/>
  <c r="AV18" i="2" a="1"/>
  <c r="AM19" i="2" a="1"/>
  <c r="R11" i="2" a="1"/>
  <c r="Z13" i="2" a="1"/>
  <c r="AE15" i="2" a="1"/>
  <c r="Y5" i="2" a="1"/>
  <c r="L12" i="2" a="1"/>
  <c r="V14" i="2" a="1"/>
  <c r="AC16" i="2" a="1"/>
  <c r="AX17" i="2" a="1"/>
  <c r="AW18" i="2" a="1"/>
  <c r="N8" i="2" a="1"/>
  <c r="AB13" i="2" a="1"/>
  <c r="AX4" i="2" a="1"/>
  <c r="AE7" i="2" a="1"/>
  <c r="AK9" i="2" a="1"/>
  <c r="AC10" i="2" a="1"/>
  <c r="N11" i="2" a="1"/>
  <c r="AJ11" i="2" a="1"/>
  <c r="I12" i="2" a="1"/>
  <c r="AC12" i="2" a="1"/>
  <c r="AY12" i="2" a="1"/>
  <c r="X13" i="2" a="1"/>
  <c r="AR13" i="2" a="1"/>
  <c r="Q14" i="2" a="1"/>
  <c r="AM14" i="2" a="1"/>
  <c r="J15" i="2" a="1"/>
  <c r="AC15" i="2" a="1"/>
  <c r="O16" i="2" a="1"/>
  <c r="AA16" i="2" a="1"/>
  <c r="AW16" i="2" a="1"/>
  <c r="D16" i="2" a="1"/>
  <c r="AE19" i="2" a="1"/>
  <c r="AG12" i="2" a="1"/>
  <c r="AO14" i="2" a="1"/>
  <c r="S11" i="2" a="1"/>
  <c r="G13" i="2" a="1"/>
  <c r="F16" i="2" a="1"/>
  <c r="AH17" i="2" a="1"/>
  <c r="AG18" i="2" a="1"/>
  <c r="AF19" i="2" a="1"/>
  <c r="AP11" i="2" a="1"/>
  <c r="AR15" i="2" a="1"/>
  <c r="I5" i="2" a="1"/>
  <c r="AM7" i="2" a="1"/>
  <c r="AL9" i="2" a="1"/>
  <c r="AH10" i="2" a="1"/>
  <c r="Q11" i="2" a="1"/>
  <c r="AK11" i="2" a="1"/>
  <c r="J12" i="2" a="1"/>
  <c r="AF12" i="2" a="1"/>
  <c r="R14" i="2" a="1"/>
  <c r="AM16" i="2" a="1"/>
  <c r="AN18" i="2" a="1"/>
  <c r="AP15" i="2" a="1"/>
  <c r="J17" i="2" a="1"/>
  <c r="W14" i="2" a="1"/>
  <c r="Q5" i="2" a="1"/>
  <c r="AG5" i="2" a="1"/>
  <c r="C4" i="2" a="1"/>
  <c r="C12" i="2" a="1"/>
  <c r="C15" i="2" a="1"/>
  <c r="C5" i="2" a="1"/>
  <c r="C6" i="2" a="1"/>
  <c r="C7" i="2" a="1"/>
  <c r="C16" i="2" a="1"/>
  <c r="C8" i="2" a="1"/>
  <c r="C11" i="2" a="1"/>
  <c r="C19" i="2" a="1"/>
  <c r="C13" i="2" a="1"/>
  <c r="C14" i="2" a="1"/>
  <c r="C17" i="2" a="1"/>
  <c r="C9" i="2" a="1"/>
  <c r="C10" i="2" a="1"/>
  <c r="C18" i="2" a="1"/>
  <c r="C3" i="2" a="1"/>
  <c r="AC40" i="4" l="1"/>
  <c r="AU37" i="4"/>
  <c r="V37" i="4"/>
  <c r="H37" i="4"/>
  <c r="AF36" i="4"/>
  <c r="G36" i="4"/>
  <c r="AP35" i="4"/>
  <c r="Q35" i="4"/>
  <c r="AO34" i="4"/>
  <c r="AA34" i="4"/>
  <c r="AY33" i="4"/>
  <c r="AI33" i="4"/>
  <c r="R33" i="4"/>
  <c r="AS32" i="4"/>
  <c r="X32" i="4"/>
  <c r="AW31" i="4"/>
  <c r="V31" i="4"/>
  <c r="AT30" i="4"/>
  <c r="U30" i="4"/>
  <c r="V29" i="4"/>
  <c r="G28" i="4"/>
  <c r="AO26" i="4"/>
  <c r="Z25" i="4"/>
  <c r="L40" i="4"/>
  <c r="AL38" i="4"/>
  <c r="T37" i="4"/>
  <c r="AR36" i="4"/>
  <c r="R36" i="4"/>
  <c r="E36" i="4"/>
  <c r="AC35" i="4"/>
  <c r="AZ34" i="4"/>
  <c r="AM34" i="4"/>
  <c r="N34" i="4"/>
  <c r="P33" i="4"/>
  <c r="AR32" i="4"/>
  <c r="V32" i="4"/>
  <c r="AT31" i="4"/>
  <c r="U31" i="4"/>
  <c r="O30" i="4"/>
  <c r="AT37" i="4"/>
  <c r="AF37" i="4"/>
  <c r="G37" i="4"/>
  <c r="AE36" i="4"/>
  <c r="Q36" i="4"/>
  <c r="AO35" i="4"/>
  <c r="P35" i="4"/>
  <c r="AY34" i="4"/>
  <c r="Z34" i="4"/>
  <c r="AX33" i="4"/>
  <c r="AH33" i="4"/>
  <c r="O33" i="4"/>
  <c r="U32" i="4"/>
  <c r="AS31" i="4"/>
  <c r="AS30" i="4"/>
  <c r="N29" i="4"/>
  <c r="AV27" i="4"/>
  <c r="AG26" i="4"/>
  <c r="R25" i="4"/>
  <c r="T40" i="4"/>
  <c r="AA40" i="4"/>
  <c r="U38" i="4"/>
  <c r="AP36" i="4"/>
  <c r="AC36" i="4"/>
  <c r="D36" i="4"/>
  <c r="AA35" i="4"/>
  <c r="N35" i="4"/>
  <c r="AL34" i="4"/>
  <c r="L34" i="4"/>
  <c r="AV33" i="4"/>
  <c r="AF33" i="4"/>
  <c r="M33" i="4"/>
  <c r="AQ32" i="4"/>
  <c r="T32" i="4"/>
  <c r="T31" i="4"/>
  <c r="AP30" i="4"/>
  <c r="M30" i="4"/>
  <c r="AJ40" i="4"/>
  <c r="N38" i="4"/>
  <c r="AZ39" i="4"/>
  <c r="AS38" i="4"/>
  <c r="AE37" i="4"/>
  <c r="AO36" i="4"/>
  <c r="P36" i="4"/>
  <c r="AN35" i="4"/>
  <c r="Z35" i="4"/>
  <c r="AX34" i="4"/>
  <c r="Y34" i="4"/>
  <c r="K34" i="4"/>
  <c r="AU33" i="4"/>
  <c r="AE33" i="4"/>
  <c r="L33" i="4"/>
  <c r="AN32" i="4"/>
  <c r="AR31" i="4"/>
  <c r="Q31" i="4"/>
  <c r="AM30" i="4"/>
  <c r="G30" i="4"/>
  <c r="F29" i="4"/>
  <c r="AN27" i="4"/>
  <c r="Y26" i="4"/>
  <c r="J25" i="4"/>
  <c r="AT38" i="4"/>
  <c r="AB39" i="4"/>
  <c r="AX40" i="4"/>
  <c r="AZ38" i="4"/>
  <c r="Q37" i="4"/>
  <c r="AL35" i="4"/>
  <c r="M35" i="4"/>
  <c r="W34" i="4"/>
  <c r="AS33" i="4"/>
  <c r="AC33" i="4"/>
  <c r="K33" i="4"/>
  <c r="AL32" i="4"/>
  <c r="S32" i="4"/>
  <c r="AO31" i="4"/>
  <c r="N31" i="4"/>
  <c r="AL30" i="4"/>
  <c r="AR40" i="4"/>
  <c r="U39" i="4"/>
  <c r="AY40" i="4"/>
  <c r="AI40" i="4"/>
  <c r="AJ39" i="4"/>
  <c r="L39" i="4"/>
  <c r="AK38" i="4"/>
  <c r="M38" i="4"/>
  <c r="S37" i="4"/>
  <c r="AH40" i="4"/>
  <c r="J40" i="4"/>
  <c r="AQ39" i="4"/>
  <c r="S39" i="4"/>
  <c r="AJ38" i="4"/>
  <c r="T38" i="4"/>
  <c r="AQ37" i="4"/>
  <c r="D37" i="4"/>
  <c r="AY35" i="4"/>
  <c r="AJ34" i="4"/>
  <c r="AD37" i="4"/>
  <c r="P37" i="4"/>
  <c r="AN36" i="4"/>
  <c r="O36" i="4"/>
  <c r="AX35" i="4"/>
  <c r="Y35" i="4"/>
  <c r="AW34" i="4"/>
  <c r="AI34" i="4"/>
  <c r="J34" i="4"/>
  <c r="AR33" i="4"/>
  <c r="AB33" i="4"/>
  <c r="AK32" i="4"/>
  <c r="P32" i="4"/>
  <c r="AL31" i="4"/>
  <c r="M31" i="4"/>
  <c r="E30" i="4"/>
  <c r="AU28" i="4"/>
  <c r="AF27" i="4"/>
  <c r="Q26" i="4"/>
  <c r="AY24" i="4"/>
  <c r="U40" i="4"/>
  <c r="AB40" i="4"/>
  <c r="M39" i="4"/>
  <c r="AQ40" i="4"/>
  <c r="S40" i="4"/>
  <c r="AR39" i="4"/>
  <c r="T39" i="4"/>
  <c r="D39" i="4"/>
  <c r="AC38" i="4"/>
  <c r="E38" i="4"/>
  <c r="AP40" i="4"/>
  <c r="R40" i="4"/>
  <c r="AY39" i="4"/>
  <c r="AI39" i="4"/>
  <c r="K39" i="4"/>
  <c r="AR38" i="4"/>
  <c r="AB38" i="4"/>
  <c r="L38" i="4"/>
  <c r="D38" i="4"/>
  <c r="AB36" i="4"/>
  <c r="AW40" i="4"/>
  <c r="AO40" i="4"/>
  <c r="AG40" i="4"/>
  <c r="Y40" i="4"/>
  <c r="Q40" i="4"/>
  <c r="I40" i="4"/>
  <c r="AX39" i="4"/>
  <c r="AP39" i="4"/>
  <c r="AH39" i="4"/>
  <c r="Z39" i="4"/>
  <c r="R39" i="4"/>
  <c r="J39" i="4"/>
  <c r="AY38" i="4"/>
  <c r="AQ38" i="4"/>
  <c r="AI38" i="4"/>
  <c r="AA38" i="4"/>
  <c r="S38" i="4"/>
  <c r="K38" i="4"/>
  <c r="AZ37" i="4"/>
  <c r="AO37" i="4"/>
  <c r="AB37" i="4"/>
  <c r="AZ36" i="4"/>
  <c r="Z36" i="4"/>
  <c r="M36" i="4"/>
  <c r="AK35" i="4"/>
  <c r="K35" i="4"/>
  <c r="AU34" i="4"/>
  <c r="V34" i="4"/>
  <c r="AA33" i="4"/>
  <c r="J33" i="4"/>
  <c r="AJ32" i="4"/>
  <c r="M32" i="4"/>
  <c r="AK31" i="4"/>
  <c r="AK30" i="4"/>
  <c r="AV29" i="4"/>
  <c r="AZ40" i="4"/>
  <c r="AC39" i="4"/>
  <c r="K40" i="4"/>
  <c r="AR37" i="4"/>
  <c r="Z40" i="4"/>
  <c r="AA39" i="4"/>
  <c r="AN37" i="4"/>
  <c r="O37" i="4"/>
  <c r="AM36" i="4"/>
  <c r="Y36" i="4"/>
  <c r="AW35" i="4"/>
  <c r="X35" i="4"/>
  <c r="J35" i="4"/>
  <c r="AH34" i="4"/>
  <c r="I34" i="4"/>
  <c r="AQ33" i="4"/>
  <c r="G33" i="4"/>
  <c r="L32" i="4"/>
  <c r="L31" i="4"/>
  <c r="AH30" i="4"/>
  <c r="AM28" i="4"/>
  <c r="X27" i="4"/>
  <c r="I26" i="4"/>
  <c r="AQ24" i="4"/>
  <c r="D40" i="4"/>
  <c r="P40" i="4"/>
  <c r="Q39" i="4"/>
  <c r="I39" i="4"/>
  <c r="AX38" i="4"/>
  <c r="AP38" i="4"/>
  <c r="AH38" i="4"/>
  <c r="Z38" i="4"/>
  <c r="R38" i="4"/>
  <c r="J38" i="4"/>
  <c r="AY37" i="4"/>
  <c r="AA37" i="4"/>
  <c r="AX36" i="4"/>
  <c r="AK36" i="4"/>
  <c r="L36" i="4"/>
  <c r="AI35" i="4"/>
  <c r="V35" i="4"/>
  <c r="AT34" i="4"/>
  <c r="T34" i="4"/>
  <c r="G34" i="4"/>
  <c r="Z33" i="4"/>
  <c r="E33" i="4"/>
  <c r="AI32" i="4"/>
  <c r="AJ31" i="4"/>
  <c r="I31" i="4"/>
  <c r="AE30" i="4"/>
  <c r="AT29" i="4"/>
  <c r="E39" i="4"/>
  <c r="AM37" i="4"/>
  <c r="X36" i="4"/>
  <c r="AV35" i="4"/>
  <c r="AH35" i="4"/>
  <c r="I35" i="4"/>
  <c r="AG34" i="4"/>
  <c r="S34" i="4"/>
  <c r="AP33" i="4"/>
  <c r="X33" i="4"/>
  <c r="D33" i="4"/>
  <c r="AF32" i="4"/>
  <c r="K32" i="4"/>
  <c r="AG31" i="4"/>
  <c r="F31" i="4"/>
  <c r="AD30" i="4"/>
  <c r="AN29" i="4"/>
  <c r="AE28" i="4"/>
  <c r="P27" i="4"/>
  <c r="AX25" i="4"/>
  <c r="AI24" i="4"/>
  <c r="AD38" i="4"/>
  <c r="AN40" i="4"/>
  <c r="AO39" i="4"/>
  <c r="AU40" i="4"/>
  <c r="AN39" i="4"/>
  <c r="AW38" i="4"/>
  <c r="Y38" i="4"/>
  <c r="Q38" i="4"/>
  <c r="I38" i="4"/>
  <c r="Y37" i="4"/>
  <c r="L37" i="4"/>
  <c r="AJ36" i="4"/>
  <c r="J36" i="4"/>
  <c r="AT35" i="4"/>
  <c r="U35" i="4"/>
  <c r="AR34" i="4"/>
  <c r="AE34" i="4"/>
  <c r="F34" i="4"/>
  <c r="AN33" i="4"/>
  <c r="W33" i="4"/>
  <c r="AZ32" i="4"/>
  <c r="AD32" i="4"/>
  <c r="H32" i="4"/>
  <c r="AD31" i="4"/>
  <c r="E31" i="4"/>
  <c r="V38" i="4"/>
  <c r="N37" i="4"/>
  <c r="O40" i="4"/>
  <c r="AL37" i="4"/>
  <c r="W36" i="4"/>
  <c r="I36" i="4"/>
  <c r="AG35" i="4"/>
  <c r="H35" i="4"/>
  <c r="AQ34" i="4"/>
  <c r="R34" i="4"/>
  <c r="AM33" i="4"/>
  <c r="U33" i="4"/>
  <c r="AC32" i="4"/>
  <c r="E32" i="4"/>
  <c r="AC31" i="4"/>
  <c r="AC30" i="4"/>
  <c r="AL29" i="4"/>
  <c r="W28" i="4"/>
  <c r="H27" i="4"/>
  <c r="AP25" i="4"/>
  <c r="AA24" i="4"/>
  <c r="AK40" i="4"/>
  <c r="AK39" i="4"/>
  <c r="F38" i="4"/>
  <c r="AV40" i="4"/>
  <c r="X40" i="4"/>
  <c r="AW39" i="4"/>
  <c r="Y39" i="4"/>
  <c r="AE40" i="4"/>
  <c r="G40" i="4"/>
  <c r="AF39" i="4"/>
  <c r="P39" i="4"/>
  <c r="AO38" i="4"/>
  <c r="AW37" i="4"/>
  <c r="X37" i="4"/>
  <c r="AT40" i="4"/>
  <c r="AL40" i="4"/>
  <c r="AD40" i="4"/>
  <c r="V40" i="4"/>
  <c r="N40" i="4"/>
  <c r="F40" i="4"/>
  <c r="AU39" i="4"/>
  <c r="AM39" i="4"/>
  <c r="AE39" i="4"/>
  <c r="W39" i="4"/>
  <c r="O39" i="4"/>
  <c r="G39" i="4"/>
  <c r="AV38" i="4"/>
  <c r="AN38" i="4"/>
  <c r="AF38" i="4"/>
  <c r="X38" i="4"/>
  <c r="P38" i="4"/>
  <c r="H38" i="4"/>
  <c r="AJ37" i="4"/>
  <c r="K37" i="4"/>
  <c r="AH36" i="4"/>
  <c r="U36" i="4"/>
  <c r="AS35" i="4"/>
  <c r="S35" i="4"/>
  <c r="F35" i="4"/>
  <c r="AD34" i="4"/>
  <c r="D34" i="4"/>
  <c r="AK33" i="4"/>
  <c r="T33" i="4"/>
  <c r="AY32" i="4"/>
  <c r="AB32" i="4"/>
  <c r="D32" i="4"/>
  <c r="D31" i="4"/>
  <c r="W30" i="4"/>
  <c r="AS40" i="4"/>
  <c r="AS39" i="4"/>
  <c r="AG37" i="4"/>
  <c r="AF40" i="4"/>
  <c r="H40" i="4"/>
  <c r="AG39" i="4"/>
  <c r="AW36" i="4"/>
  <c r="AM40" i="4"/>
  <c r="W40" i="4"/>
  <c r="AV39" i="4"/>
  <c r="X39" i="4"/>
  <c r="H39" i="4"/>
  <c r="AG38" i="4"/>
  <c r="AV36" i="4"/>
  <c r="AV37" i="4"/>
  <c r="W37" i="4"/>
  <c r="AU36" i="4"/>
  <c r="AG36" i="4"/>
  <c r="H36" i="4"/>
  <c r="AF35" i="4"/>
  <c r="R35" i="4"/>
  <c r="AP34" i="4"/>
  <c r="Q34" i="4"/>
  <c r="AZ33" i="4"/>
  <c r="AJ33" i="4"/>
  <c r="S33" i="4"/>
  <c r="AV32" i="4"/>
  <c r="AB31" i="4"/>
  <c r="AX30" i="4"/>
  <c r="V30" i="4"/>
  <c r="AD29" i="4"/>
  <c r="O28" i="4"/>
  <c r="AW26" i="4"/>
  <c r="AH25" i="4"/>
  <c r="S24" i="4"/>
  <c r="M40" i="4"/>
  <c r="E40" i="4"/>
  <c r="AT39" i="4"/>
  <c r="AL39" i="4"/>
  <c r="AD39" i="4"/>
  <c r="V39" i="4"/>
  <c r="N39" i="4"/>
  <c r="F39" i="4"/>
  <c r="AU38" i="4"/>
  <c r="AM38" i="4"/>
  <c r="AE38" i="4"/>
  <c r="W38" i="4"/>
  <c r="O38" i="4"/>
  <c r="G38" i="4"/>
  <c r="AI37" i="4"/>
  <c r="I37" i="4"/>
  <c r="AS36" i="4"/>
  <c r="T36" i="4"/>
  <c r="AQ35" i="4"/>
  <c r="AD35" i="4"/>
  <c r="E35" i="4"/>
  <c r="AB34" i="4"/>
  <c r="O34" i="4"/>
  <c r="AT32" i="4"/>
  <c r="AA32" i="4"/>
  <c r="AZ31" i="4"/>
  <c r="Y31" i="4"/>
  <c r="AU30" i="4"/>
  <c r="K24" i="4"/>
  <c r="AS37" i="4"/>
  <c r="AK37" i="4"/>
  <c r="AC37" i="4"/>
  <c r="U37" i="4"/>
  <c r="M37" i="4"/>
  <c r="E37" i="4"/>
  <c r="AT36" i="4"/>
  <c r="AL36" i="4"/>
  <c r="AD36" i="4"/>
  <c r="V36" i="4"/>
  <c r="N36" i="4"/>
  <c r="F36" i="4"/>
  <c r="AU35" i="4"/>
  <c r="AM35" i="4"/>
  <c r="AE35" i="4"/>
  <c r="W35" i="4"/>
  <c r="O35" i="4"/>
  <c r="G35" i="4"/>
  <c r="AV34" i="4"/>
  <c r="AN34" i="4"/>
  <c r="AF34" i="4"/>
  <c r="X34" i="4"/>
  <c r="P34" i="4"/>
  <c r="H34" i="4"/>
  <c r="AW33" i="4"/>
  <c r="AO33" i="4"/>
  <c r="AG33" i="4"/>
  <c r="Y33" i="4"/>
  <c r="Q33" i="4"/>
  <c r="I33" i="4"/>
  <c r="AX32" i="4"/>
  <c r="AP32" i="4"/>
  <c r="AH32" i="4"/>
  <c r="Z32" i="4"/>
  <c r="R32" i="4"/>
  <c r="J32" i="4"/>
  <c r="AY31" i="4"/>
  <c r="AQ31" i="4"/>
  <c r="AI31" i="4"/>
  <c r="AA31" i="4"/>
  <c r="S31" i="4"/>
  <c r="K31" i="4"/>
  <c r="AZ30" i="4"/>
  <c r="AR30" i="4"/>
  <c r="AJ30" i="4"/>
  <c r="AB30" i="4"/>
  <c r="T30" i="4"/>
  <c r="L30" i="4"/>
  <c r="D30" i="4"/>
  <c r="AS29" i="4"/>
  <c r="AK29" i="4"/>
  <c r="AC29" i="4"/>
  <c r="U29" i="4"/>
  <c r="M29" i="4"/>
  <c r="E29" i="4"/>
  <c r="AT28" i="4"/>
  <c r="AL28" i="4"/>
  <c r="AD28" i="4"/>
  <c r="V28" i="4"/>
  <c r="N28" i="4"/>
  <c r="F28" i="4"/>
  <c r="AU27" i="4"/>
  <c r="AM27" i="4"/>
  <c r="AE27" i="4"/>
  <c r="W27" i="4"/>
  <c r="O27" i="4"/>
  <c r="G27" i="4"/>
  <c r="AV26" i="4"/>
  <c r="AN26" i="4"/>
  <c r="AF26" i="4"/>
  <c r="X26" i="4"/>
  <c r="P26" i="4"/>
  <c r="H26" i="4"/>
  <c r="AW25" i="4"/>
  <c r="AO25" i="4"/>
  <c r="AG25" i="4"/>
  <c r="Y25" i="4"/>
  <c r="Q25" i="4"/>
  <c r="I25" i="4"/>
  <c r="AX24" i="4"/>
  <c r="AP24" i="4"/>
  <c r="AH24" i="4"/>
  <c r="Z24" i="4"/>
  <c r="R24" i="4"/>
  <c r="J24" i="4"/>
  <c r="H33" i="4"/>
  <c r="AW32" i="4"/>
  <c r="AO32" i="4"/>
  <c r="AG32" i="4"/>
  <c r="Y32" i="4"/>
  <c r="Q32" i="4"/>
  <c r="I32" i="4"/>
  <c r="AX31" i="4"/>
  <c r="AP31" i="4"/>
  <c r="AH31" i="4"/>
  <c r="Z31" i="4"/>
  <c r="R31" i="4"/>
  <c r="J31" i="4"/>
  <c r="AY30" i="4"/>
  <c r="AQ30" i="4"/>
  <c r="AI30" i="4"/>
  <c r="AA30" i="4"/>
  <c r="S30" i="4"/>
  <c r="K30" i="4"/>
  <c r="AZ29" i="4"/>
  <c r="AR29" i="4"/>
  <c r="AJ29" i="4"/>
  <c r="AB29" i="4"/>
  <c r="T29" i="4"/>
  <c r="L29" i="4"/>
  <c r="D29" i="4"/>
  <c r="AS28" i="4"/>
  <c r="AK28" i="4"/>
  <c r="AC28" i="4"/>
  <c r="U28" i="4"/>
  <c r="M28" i="4"/>
  <c r="E28" i="4"/>
  <c r="AT27" i="4"/>
  <c r="AL27" i="4"/>
  <c r="AD27" i="4"/>
  <c r="V27" i="4"/>
  <c r="N27" i="4"/>
  <c r="F27" i="4"/>
  <c r="AU26" i="4"/>
  <c r="AM26" i="4"/>
  <c r="AE26" i="4"/>
  <c r="W26" i="4"/>
  <c r="O26" i="4"/>
  <c r="G26" i="4"/>
  <c r="AV25" i="4"/>
  <c r="AN25" i="4"/>
  <c r="AF25" i="4"/>
  <c r="X25" i="4"/>
  <c r="P25" i="4"/>
  <c r="H25" i="4"/>
  <c r="AW24" i="4"/>
  <c r="AO24" i="4"/>
  <c r="AG24" i="4"/>
  <c r="Y24" i="4"/>
  <c r="Q24" i="4"/>
  <c r="I24" i="4"/>
  <c r="Z30" i="4"/>
  <c r="R30" i="4"/>
  <c r="J30" i="4"/>
  <c r="AY29" i="4"/>
  <c r="AQ29" i="4"/>
  <c r="AI29" i="4"/>
  <c r="AA29" i="4"/>
  <c r="S29" i="4"/>
  <c r="K29" i="4"/>
  <c r="AZ28" i="4"/>
  <c r="AR28" i="4"/>
  <c r="AJ28" i="4"/>
  <c r="AB28" i="4"/>
  <c r="T28" i="4"/>
  <c r="L28" i="4"/>
  <c r="D28" i="4"/>
  <c r="AS27" i="4"/>
  <c r="AK27" i="4"/>
  <c r="AC27" i="4"/>
  <c r="U27" i="4"/>
  <c r="M27" i="4"/>
  <c r="E27" i="4"/>
  <c r="AT26" i="4"/>
  <c r="AL26" i="4"/>
  <c r="AD26" i="4"/>
  <c r="V26" i="4"/>
  <c r="N26" i="4"/>
  <c r="F26" i="4"/>
  <c r="AU25" i="4"/>
  <c r="AM25" i="4"/>
  <c r="AE25" i="4"/>
  <c r="W25" i="4"/>
  <c r="O25" i="4"/>
  <c r="G25" i="4"/>
  <c r="AV24" i="4"/>
  <c r="AN24" i="4"/>
  <c r="AF24" i="4"/>
  <c r="X24" i="4"/>
  <c r="P24" i="4"/>
  <c r="H24" i="4"/>
  <c r="AX37" i="4"/>
  <c r="AP37" i="4"/>
  <c r="AH37" i="4"/>
  <c r="Z37" i="4"/>
  <c r="R37" i="4"/>
  <c r="J37" i="4"/>
  <c r="AY36" i="4"/>
  <c r="AQ36" i="4"/>
  <c r="AI36" i="4"/>
  <c r="AA36" i="4"/>
  <c r="S36" i="4"/>
  <c r="K36" i="4"/>
  <c r="AZ35" i="4"/>
  <c r="AR35" i="4"/>
  <c r="AJ35" i="4"/>
  <c r="AB35" i="4"/>
  <c r="T35" i="4"/>
  <c r="L35" i="4"/>
  <c r="D35" i="4"/>
  <c r="AS34" i="4"/>
  <c r="AK34" i="4"/>
  <c r="AC34" i="4"/>
  <c r="U34" i="4"/>
  <c r="M34" i="4"/>
  <c r="E34" i="4"/>
  <c r="AT33" i="4"/>
  <c r="AL33" i="4"/>
  <c r="AD33" i="4"/>
  <c r="V33" i="4"/>
  <c r="N33" i="4"/>
  <c r="F33" i="4"/>
  <c r="AU32" i="4"/>
  <c r="AM32" i="4"/>
  <c r="AE32" i="4"/>
  <c r="W32" i="4"/>
  <c r="O32" i="4"/>
  <c r="G32" i="4"/>
  <c r="AV31" i="4"/>
  <c r="AN31" i="4"/>
  <c r="AF31" i="4"/>
  <c r="X31" i="4"/>
  <c r="P31" i="4"/>
  <c r="H31" i="4"/>
  <c r="AW30" i="4"/>
  <c r="AO30" i="4"/>
  <c r="AG30" i="4"/>
  <c r="Y30" i="4"/>
  <c r="Q30" i="4"/>
  <c r="I30" i="4"/>
  <c r="AX29" i="4"/>
  <c r="AP29" i="4"/>
  <c r="AH29" i="4"/>
  <c r="Z29" i="4"/>
  <c r="R29" i="4"/>
  <c r="J29" i="4"/>
  <c r="AY28" i="4"/>
  <c r="AQ28" i="4"/>
  <c r="AI28" i="4"/>
  <c r="AA28" i="4"/>
  <c r="S28" i="4"/>
  <c r="K28" i="4"/>
  <c r="AZ27" i="4"/>
  <c r="AR27" i="4"/>
  <c r="AJ27" i="4"/>
  <c r="AB27" i="4"/>
  <c r="T27" i="4"/>
  <c r="L27" i="4"/>
  <c r="D27" i="4"/>
  <c r="AS26" i="4"/>
  <c r="AK26" i="4"/>
  <c r="AC26" i="4"/>
  <c r="U26" i="4"/>
  <c r="M26" i="4"/>
  <c r="E26" i="4"/>
  <c r="AT25" i="4"/>
  <c r="AL25" i="4"/>
  <c r="AD25" i="4"/>
  <c r="V25" i="4"/>
  <c r="N25" i="4"/>
  <c r="F25" i="4"/>
  <c r="AU24" i="4"/>
  <c r="AM24" i="4"/>
  <c r="AE24" i="4"/>
  <c r="W24" i="4"/>
  <c r="O24" i="4"/>
  <c r="G24" i="4"/>
  <c r="N32" i="4"/>
  <c r="F32" i="4"/>
  <c r="AU31" i="4"/>
  <c r="AM31" i="4"/>
  <c r="AE31" i="4"/>
  <c r="W31" i="4"/>
  <c r="O31" i="4"/>
  <c r="G31" i="4"/>
  <c r="AV30" i="4"/>
  <c r="AN30" i="4"/>
  <c r="AF30" i="4"/>
  <c r="X30" i="4"/>
  <c r="P30" i="4"/>
  <c r="H30" i="4"/>
  <c r="AW29" i="4"/>
  <c r="AO29" i="4"/>
  <c r="AG29" i="4"/>
  <c r="Y29" i="4"/>
  <c r="Q29" i="4"/>
  <c r="I29" i="4"/>
  <c r="AX28" i="4"/>
  <c r="AP28" i="4"/>
  <c r="AH28" i="4"/>
  <c r="Z28" i="4"/>
  <c r="R28" i="4"/>
  <c r="J28" i="4"/>
  <c r="AY27" i="4"/>
  <c r="AQ27" i="4"/>
  <c r="AI27" i="4"/>
  <c r="AA27" i="4"/>
  <c r="S27" i="4"/>
  <c r="K27" i="4"/>
  <c r="AZ26" i="4"/>
  <c r="AR26" i="4"/>
  <c r="AJ26" i="4"/>
  <c r="AB26" i="4"/>
  <c r="T26" i="4"/>
  <c r="L26" i="4"/>
  <c r="D26" i="4"/>
  <c r="AS25" i="4"/>
  <c r="AK25" i="4"/>
  <c r="AC25" i="4"/>
  <c r="U25" i="4"/>
  <c r="M25" i="4"/>
  <c r="E25" i="4"/>
  <c r="AT24" i="4"/>
  <c r="AL24" i="4"/>
  <c r="AD24" i="4"/>
  <c r="V24" i="4"/>
  <c r="N24" i="4"/>
  <c r="F24" i="4"/>
  <c r="AF29" i="4"/>
  <c r="X29" i="4"/>
  <c r="P29" i="4"/>
  <c r="H29" i="4"/>
  <c r="AW28" i="4"/>
  <c r="AO28" i="4"/>
  <c r="AG28" i="4"/>
  <c r="Y28" i="4"/>
  <c r="Q28" i="4"/>
  <c r="I28" i="4"/>
  <c r="AX27" i="4"/>
  <c r="AP27" i="4"/>
  <c r="AH27" i="4"/>
  <c r="Z27" i="4"/>
  <c r="R27" i="4"/>
  <c r="J27" i="4"/>
  <c r="AY26" i="4"/>
  <c r="AQ26" i="4"/>
  <c r="AI26" i="4"/>
  <c r="AA26" i="4"/>
  <c r="S26" i="4"/>
  <c r="K26" i="4"/>
  <c r="AZ25" i="4"/>
  <c r="AR25" i="4"/>
  <c r="AJ25" i="4"/>
  <c r="AB25" i="4"/>
  <c r="T25" i="4"/>
  <c r="L25" i="4"/>
  <c r="D25" i="4"/>
  <c r="AS24" i="4"/>
  <c r="AK24" i="4"/>
  <c r="AC24" i="4"/>
  <c r="U24" i="4"/>
  <c r="M24" i="4"/>
  <c r="E24" i="4"/>
  <c r="N30" i="4"/>
  <c r="F30" i="4"/>
  <c r="AU29" i="4"/>
  <c r="AM29" i="4"/>
  <c r="AE29" i="4"/>
  <c r="W29" i="4"/>
  <c r="O29" i="4"/>
  <c r="G29" i="4"/>
  <c r="AV28" i="4"/>
  <c r="AN28" i="4"/>
  <c r="AF28" i="4"/>
  <c r="X28" i="4"/>
  <c r="P28" i="4"/>
  <c r="H28" i="4"/>
  <c r="AW27" i="4"/>
  <c r="AO27" i="4"/>
  <c r="AG27" i="4"/>
  <c r="Y27" i="4"/>
  <c r="Q27" i="4"/>
  <c r="I27" i="4"/>
  <c r="AX26" i="4"/>
  <c r="AP26" i="4"/>
  <c r="AH26" i="4"/>
  <c r="Z26" i="4"/>
  <c r="R26" i="4"/>
  <c r="J26" i="4"/>
  <c r="AY25" i="4"/>
  <c r="AQ25" i="4"/>
  <c r="AI25" i="4"/>
  <c r="AA25" i="4"/>
  <c r="S25" i="4"/>
  <c r="K25" i="4"/>
  <c r="AZ24" i="4"/>
  <c r="AR24" i="4"/>
  <c r="AJ24" i="4"/>
  <c r="AB24" i="4"/>
  <c r="T24" i="4"/>
  <c r="L24" i="4"/>
  <c r="D24" i="4"/>
  <c r="C32" i="4"/>
  <c r="C30" i="4"/>
  <c r="C40" i="4"/>
  <c r="C29" i="4"/>
  <c r="C38" i="4"/>
  <c r="C37" i="4"/>
  <c r="C28" i="4"/>
  <c r="C36" i="4"/>
  <c r="C35" i="4"/>
  <c r="C26" i="4"/>
  <c r="C31" i="4"/>
  <c r="C34" i="4"/>
  <c r="C39" i="4"/>
  <c r="C27" i="4"/>
  <c r="C33" i="4"/>
  <c r="C25" i="4"/>
  <c r="C24" i="4"/>
  <c r="Q13" i="4"/>
  <c r="AJ19" i="4"/>
  <c r="T19" i="4"/>
  <c r="AI19" i="4"/>
  <c r="S19" i="4"/>
  <c r="AZ18" i="4"/>
  <c r="AB18" i="4"/>
  <c r="AP19" i="4"/>
  <c r="AH19" i="4"/>
  <c r="R19" i="4"/>
  <c r="J19" i="4"/>
  <c r="AQ18" i="4"/>
  <c r="AI18" i="4"/>
  <c r="S18" i="4"/>
  <c r="K18" i="4"/>
  <c r="AR17" i="4"/>
  <c r="AJ16" i="4"/>
  <c r="AE15" i="4"/>
  <c r="Y13" i="4"/>
  <c r="AR10" i="4"/>
  <c r="N8" i="4"/>
  <c r="AG5" i="4"/>
  <c r="AX18" i="4"/>
  <c r="AZ16" i="4"/>
  <c r="Y5" i="4"/>
  <c r="AD16" i="4"/>
  <c r="W15" i="4"/>
  <c r="I13" i="4"/>
  <c r="AB10" i="4"/>
  <c r="AU7" i="4"/>
  <c r="Q5" i="4"/>
  <c r="R18" i="4"/>
  <c r="X19" i="4"/>
  <c r="Y18" i="4"/>
  <c r="Q18" i="4"/>
  <c r="I18" i="4"/>
  <c r="AX17" i="4"/>
  <c r="AP17" i="4"/>
  <c r="AH17" i="4"/>
  <c r="Z17" i="4"/>
  <c r="R17" i="4"/>
  <c r="J17" i="4"/>
  <c r="AY16" i="4"/>
  <c r="AB16" i="4"/>
  <c r="R15" i="4"/>
  <c r="AX12" i="4"/>
  <c r="T10" i="4"/>
  <c r="AM7" i="4"/>
  <c r="I5" i="4"/>
  <c r="AA17" i="4"/>
  <c r="Y16" i="4"/>
  <c r="O15" i="4"/>
  <c r="AP12" i="4"/>
  <c r="L10" i="4"/>
  <c r="AE7" i="4"/>
  <c r="AX4" i="4"/>
  <c r="AJ10" i="4"/>
  <c r="AU19" i="4"/>
  <c r="AF18" i="4"/>
  <c r="AW17" i="4"/>
  <c r="AO17" i="4"/>
  <c r="AG17" i="4"/>
  <c r="Y17" i="4"/>
  <c r="Q17" i="4"/>
  <c r="I17" i="4"/>
  <c r="AX16" i="4"/>
  <c r="V16" i="4"/>
  <c r="J15" i="4"/>
  <c r="AH12" i="4"/>
  <c r="D10" i="4"/>
  <c r="W7" i="4"/>
  <c r="AP4" i="4"/>
  <c r="K17" i="4"/>
  <c r="AF19" i="4"/>
  <c r="AE19" i="4"/>
  <c r="X18" i="4"/>
  <c r="T16" i="4"/>
  <c r="G15" i="4"/>
  <c r="Z12" i="4"/>
  <c r="AS9" i="4"/>
  <c r="O7" i="4"/>
  <c r="AH4" i="4"/>
  <c r="Y19" i="4"/>
  <c r="AQ17" i="4"/>
  <c r="AW18" i="4"/>
  <c r="AM19" i="4"/>
  <c r="AN18" i="4"/>
  <c r="V19" i="4"/>
  <c r="W18" i="4"/>
  <c r="AN17" i="4"/>
  <c r="X17" i="4"/>
  <c r="P17" i="4"/>
  <c r="H17" i="4"/>
  <c r="AW16" i="4"/>
  <c r="Q16" i="4"/>
  <c r="AV14" i="4"/>
  <c r="R12" i="4"/>
  <c r="AK9" i="4"/>
  <c r="G7" i="4"/>
  <c r="Z4" i="4"/>
  <c r="Q19" i="4"/>
  <c r="Z18" i="4"/>
  <c r="AY17" i="4"/>
  <c r="AN19" i="4"/>
  <c r="AO18" i="4"/>
  <c r="W19" i="4"/>
  <c r="G19" i="4"/>
  <c r="P18" i="4"/>
  <c r="AT19" i="4"/>
  <c r="AD19" i="4"/>
  <c r="F19" i="4"/>
  <c r="AM18" i="4"/>
  <c r="O18" i="4"/>
  <c r="AV17" i="4"/>
  <c r="N16" i="4"/>
  <c r="AN14" i="4"/>
  <c r="J12" i="4"/>
  <c r="AC9" i="4"/>
  <c r="AV6" i="4"/>
  <c r="R4" i="4"/>
  <c r="AG19" i="4"/>
  <c r="AH18" i="4"/>
  <c r="AI17" i="4"/>
  <c r="AV19" i="4"/>
  <c r="P19" i="4"/>
  <c r="AG18" i="4"/>
  <c r="O19" i="4"/>
  <c r="AV18" i="4"/>
  <c r="H18" i="4"/>
  <c r="AL19" i="4"/>
  <c r="N19" i="4"/>
  <c r="AU18" i="4"/>
  <c r="AE18" i="4"/>
  <c r="G18" i="4"/>
  <c r="AF17" i="4"/>
  <c r="AS19" i="4"/>
  <c r="AK19" i="4"/>
  <c r="AC19" i="4"/>
  <c r="U19" i="4"/>
  <c r="M19" i="4"/>
  <c r="E19" i="4"/>
  <c r="AT18" i="4"/>
  <c r="AL18" i="4"/>
  <c r="AD18" i="4"/>
  <c r="V18" i="4"/>
  <c r="N18" i="4"/>
  <c r="F18" i="4"/>
  <c r="AU17" i="4"/>
  <c r="AM17" i="4"/>
  <c r="AE17" i="4"/>
  <c r="W17" i="4"/>
  <c r="O17" i="4"/>
  <c r="G17" i="4"/>
  <c r="AV16" i="4"/>
  <c r="I16" i="4"/>
  <c r="AF14" i="4"/>
  <c r="AY11" i="4"/>
  <c r="U9" i="4"/>
  <c r="AN6" i="4"/>
  <c r="J4" i="4"/>
  <c r="AO19" i="4"/>
  <c r="J18" i="4"/>
  <c r="H19" i="4"/>
  <c r="F16" i="4"/>
  <c r="X14" i="4"/>
  <c r="AQ11" i="4"/>
  <c r="M9" i="4"/>
  <c r="AF6" i="4"/>
  <c r="AY3" i="4"/>
  <c r="I19" i="4"/>
  <c r="AR19" i="4"/>
  <c r="D19" i="4"/>
  <c r="AC18" i="4"/>
  <c r="M18" i="4"/>
  <c r="AT17" i="4"/>
  <c r="AL17" i="4"/>
  <c r="AD17" i="4"/>
  <c r="V17" i="4"/>
  <c r="N17" i="4"/>
  <c r="AT16" i="4"/>
  <c r="AX15" i="4"/>
  <c r="P14" i="4"/>
  <c r="AI11" i="4"/>
  <c r="E9" i="4"/>
  <c r="X6" i="4"/>
  <c r="AQ3" i="4"/>
  <c r="AW19" i="4"/>
  <c r="AP18" i="4"/>
  <c r="S17" i="4"/>
  <c r="AZ19" i="4"/>
  <c r="AB19" i="4"/>
  <c r="L19" i="4"/>
  <c r="AS18" i="4"/>
  <c r="AK18" i="4"/>
  <c r="U18" i="4"/>
  <c r="E18" i="4"/>
  <c r="F17" i="4"/>
  <c r="AR16" i="4"/>
  <c r="AU15" i="4"/>
  <c r="H14" i="4"/>
  <c r="AA11" i="4"/>
  <c r="AT8" i="4"/>
  <c r="P6" i="4"/>
  <c r="AI3" i="4"/>
  <c r="AG16" i="4"/>
  <c r="AA19" i="4"/>
  <c r="AR18" i="4"/>
  <c r="T18" i="4"/>
  <c r="D18" i="4"/>
  <c r="AS17" i="4"/>
  <c r="AK17" i="4"/>
  <c r="AC17" i="4"/>
  <c r="U17" i="4"/>
  <c r="M17" i="4"/>
  <c r="E17" i="4"/>
  <c r="AO16" i="4"/>
  <c r="AP15" i="4"/>
  <c r="AW13" i="4"/>
  <c r="S11" i="4"/>
  <c r="AL8" i="4"/>
  <c r="H6" i="4"/>
  <c r="AA3" i="4"/>
  <c r="F8" i="4"/>
  <c r="AQ19" i="4"/>
  <c r="K19" i="4"/>
  <c r="L18" i="4"/>
  <c r="AN16" i="4"/>
  <c r="AM15" i="4"/>
  <c r="AO13" i="4"/>
  <c r="K11" i="4"/>
  <c r="AD8" i="4"/>
  <c r="AW5" i="4"/>
  <c r="S3" i="4"/>
  <c r="Z15" i="4"/>
  <c r="AY19" i="4"/>
  <c r="AJ18" i="4"/>
  <c r="AX19" i="4"/>
  <c r="Z19" i="4"/>
  <c r="AY18" i="4"/>
  <c r="AA18" i="4"/>
  <c r="AZ17" i="4"/>
  <c r="AJ17" i="4"/>
  <c r="AB17" i="4"/>
  <c r="T17" i="4"/>
  <c r="L17" i="4"/>
  <c r="D17" i="4"/>
  <c r="AL16" i="4"/>
  <c r="AH15" i="4"/>
  <c r="AG13" i="4"/>
  <c r="AZ10" i="4"/>
  <c r="V8" i="4"/>
  <c r="AO5" i="4"/>
  <c r="K3" i="4"/>
  <c r="AS16" i="4"/>
  <c r="AK16" i="4"/>
  <c r="AC16" i="4"/>
  <c r="U16" i="4"/>
  <c r="M16" i="4"/>
  <c r="E16" i="4"/>
  <c r="AT15" i="4"/>
  <c r="AL15" i="4"/>
  <c r="AD15" i="4"/>
  <c r="V15" i="4"/>
  <c r="N15" i="4"/>
  <c r="F15" i="4"/>
  <c r="AU14" i="4"/>
  <c r="AM14" i="4"/>
  <c r="AE14" i="4"/>
  <c r="W14" i="4"/>
  <c r="O14" i="4"/>
  <c r="G14" i="4"/>
  <c r="AV13" i="4"/>
  <c r="AN13" i="4"/>
  <c r="AF13" i="4"/>
  <c r="X13" i="4"/>
  <c r="P13" i="4"/>
  <c r="H13" i="4"/>
  <c r="AW12" i="4"/>
  <c r="AO12" i="4"/>
  <c r="AG12" i="4"/>
  <c r="Y12" i="4"/>
  <c r="Q12" i="4"/>
  <c r="I12" i="4"/>
  <c r="AX11" i="4"/>
  <c r="AP11" i="4"/>
  <c r="AH11" i="4"/>
  <c r="Z11" i="4"/>
  <c r="R11" i="4"/>
  <c r="J11" i="4"/>
  <c r="AY10" i="4"/>
  <c r="AQ10" i="4"/>
  <c r="AI10" i="4"/>
  <c r="AA10" i="4"/>
  <c r="S10" i="4"/>
  <c r="K10" i="4"/>
  <c r="AZ9" i="4"/>
  <c r="AR9" i="4"/>
  <c r="AJ9" i="4"/>
  <c r="AB9" i="4"/>
  <c r="T9" i="4"/>
  <c r="L9" i="4"/>
  <c r="D9" i="4"/>
  <c r="AS8" i="4"/>
  <c r="AK8" i="4"/>
  <c r="AC8" i="4"/>
  <c r="U8" i="4"/>
  <c r="M8" i="4"/>
  <c r="E8" i="4"/>
  <c r="AT7" i="4"/>
  <c r="AL7" i="4"/>
  <c r="AD7" i="4"/>
  <c r="V7" i="4"/>
  <c r="N7" i="4"/>
  <c r="F7" i="4"/>
  <c r="AU6" i="4"/>
  <c r="AM6" i="4"/>
  <c r="AE6" i="4"/>
  <c r="W6" i="4"/>
  <c r="O6" i="4"/>
  <c r="G6" i="4"/>
  <c r="AV5" i="4"/>
  <c r="AN5" i="4"/>
  <c r="AF5" i="4"/>
  <c r="X5" i="4"/>
  <c r="P5" i="4"/>
  <c r="H5" i="4"/>
  <c r="AW4" i="4"/>
  <c r="AO4" i="4"/>
  <c r="AG4" i="4"/>
  <c r="Y4" i="4"/>
  <c r="Q4" i="4"/>
  <c r="I4" i="4"/>
  <c r="AX3" i="4"/>
  <c r="AP3" i="4"/>
  <c r="AH3" i="4"/>
  <c r="Z3" i="4"/>
  <c r="R3" i="4"/>
  <c r="J3" i="4"/>
  <c r="L16" i="4"/>
  <c r="D16" i="4"/>
  <c r="AS15" i="4"/>
  <c r="AK15" i="4"/>
  <c r="AC15" i="4"/>
  <c r="U15" i="4"/>
  <c r="M15" i="4"/>
  <c r="E15" i="4"/>
  <c r="AT14" i="4"/>
  <c r="AL14" i="4"/>
  <c r="AD14" i="4"/>
  <c r="V14" i="4"/>
  <c r="N14" i="4"/>
  <c r="F14" i="4"/>
  <c r="AU13" i="4"/>
  <c r="AM13" i="4"/>
  <c r="AE13" i="4"/>
  <c r="W13" i="4"/>
  <c r="O13" i="4"/>
  <c r="G13" i="4"/>
  <c r="AV12" i="4"/>
  <c r="AN12" i="4"/>
  <c r="AF12" i="4"/>
  <c r="X12" i="4"/>
  <c r="P12" i="4"/>
  <c r="H12" i="4"/>
  <c r="AW11" i="4"/>
  <c r="AO11" i="4"/>
  <c r="AG11" i="4"/>
  <c r="Y11" i="4"/>
  <c r="Q11" i="4"/>
  <c r="I11" i="4"/>
  <c r="AX10" i="4"/>
  <c r="AP10" i="4"/>
  <c r="AH10" i="4"/>
  <c r="Z10" i="4"/>
  <c r="R10" i="4"/>
  <c r="J10" i="4"/>
  <c r="AY9" i="4"/>
  <c r="AQ9" i="4"/>
  <c r="AI9" i="4"/>
  <c r="AA9" i="4"/>
  <c r="S9" i="4"/>
  <c r="K9" i="4"/>
  <c r="AZ8" i="4"/>
  <c r="AR8" i="4"/>
  <c r="AJ8" i="4"/>
  <c r="AB8" i="4"/>
  <c r="T8" i="4"/>
  <c r="L8" i="4"/>
  <c r="D8" i="4"/>
  <c r="AS7" i="4"/>
  <c r="AK7" i="4"/>
  <c r="AC7" i="4"/>
  <c r="U7" i="4"/>
  <c r="M7" i="4"/>
  <c r="E7" i="4"/>
  <c r="AT6" i="4"/>
  <c r="AL6" i="4"/>
  <c r="AD6" i="4"/>
  <c r="V6" i="4"/>
  <c r="N6" i="4"/>
  <c r="F6" i="4"/>
  <c r="AU5" i="4"/>
  <c r="AM5" i="4"/>
  <c r="AE5" i="4"/>
  <c r="W5" i="4"/>
  <c r="O5" i="4"/>
  <c r="G5" i="4"/>
  <c r="AV4" i="4"/>
  <c r="AN4" i="4"/>
  <c r="AF4" i="4"/>
  <c r="X4" i="4"/>
  <c r="P4" i="4"/>
  <c r="H4" i="4"/>
  <c r="AW3" i="4"/>
  <c r="AO3" i="4"/>
  <c r="AG3" i="4"/>
  <c r="Y3" i="4"/>
  <c r="Q3" i="4"/>
  <c r="I3" i="4"/>
  <c r="AQ16" i="4"/>
  <c r="AI16" i="4"/>
  <c r="AA16" i="4"/>
  <c r="S16" i="4"/>
  <c r="K16" i="4"/>
  <c r="AZ15" i="4"/>
  <c r="AR15" i="4"/>
  <c r="AJ15" i="4"/>
  <c r="AB15" i="4"/>
  <c r="T15" i="4"/>
  <c r="L15" i="4"/>
  <c r="D15" i="4"/>
  <c r="AS14" i="4"/>
  <c r="AK14" i="4"/>
  <c r="AC14" i="4"/>
  <c r="U14" i="4"/>
  <c r="M14" i="4"/>
  <c r="E14" i="4"/>
  <c r="AT13" i="4"/>
  <c r="AL13" i="4"/>
  <c r="AD13" i="4"/>
  <c r="V13" i="4"/>
  <c r="N13" i="4"/>
  <c r="F13" i="4"/>
  <c r="AU12" i="4"/>
  <c r="AM12" i="4"/>
  <c r="AE12" i="4"/>
  <c r="W12" i="4"/>
  <c r="O12" i="4"/>
  <c r="G12" i="4"/>
  <c r="AV11" i="4"/>
  <c r="AN11" i="4"/>
  <c r="AF11" i="4"/>
  <c r="X11" i="4"/>
  <c r="P11" i="4"/>
  <c r="H11" i="4"/>
  <c r="AW10" i="4"/>
  <c r="AO10" i="4"/>
  <c r="AG10" i="4"/>
  <c r="Y10" i="4"/>
  <c r="Q10" i="4"/>
  <c r="I10" i="4"/>
  <c r="AX9" i="4"/>
  <c r="AP9" i="4"/>
  <c r="AH9" i="4"/>
  <c r="Z9" i="4"/>
  <c r="R9" i="4"/>
  <c r="J9" i="4"/>
  <c r="AY8" i="4"/>
  <c r="AQ8" i="4"/>
  <c r="AI8" i="4"/>
  <c r="AA8" i="4"/>
  <c r="S8" i="4"/>
  <c r="K8" i="4"/>
  <c r="AZ7" i="4"/>
  <c r="AR7" i="4"/>
  <c r="AJ7" i="4"/>
  <c r="AB7" i="4"/>
  <c r="T7" i="4"/>
  <c r="L7" i="4"/>
  <c r="D7" i="4"/>
  <c r="AS6" i="4"/>
  <c r="AK6" i="4"/>
  <c r="AC6" i="4"/>
  <c r="U6" i="4"/>
  <c r="M6" i="4"/>
  <c r="E6" i="4"/>
  <c r="AT5" i="4"/>
  <c r="AL5" i="4"/>
  <c r="AD5" i="4"/>
  <c r="V5" i="4"/>
  <c r="N5" i="4"/>
  <c r="F5" i="4"/>
  <c r="AU4" i="4"/>
  <c r="AM4" i="4"/>
  <c r="AE4" i="4"/>
  <c r="W4" i="4"/>
  <c r="O4" i="4"/>
  <c r="G4" i="4"/>
  <c r="AV3" i="4"/>
  <c r="AN3" i="4"/>
  <c r="AF3" i="4"/>
  <c r="X3" i="4"/>
  <c r="P3" i="4"/>
  <c r="H3" i="4"/>
  <c r="AP16" i="4"/>
  <c r="AH16" i="4"/>
  <c r="Z16" i="4"/>
  <c r="R16" i="4"/>
  <c r="J16" i="4"/>
  <c r="AY15" i="4"/>
  <c r="AQ15" i="4"/>
  <c r="AI15" i="4"/>
  <c r="AA15" i="4"/>
  <c r="S15" i="4"/>
  <c r="K15" i="4"/>
  <c r="AZ14" i="4"/>
  <c r="AR14" i="4"/>
  <c r="AJ14" i="4"/>
  <c r="AB14" i="4"/>
  <c r="T14" i="4"/>
  <c r="L14" i="4"/>
  <c r="D14" i="4"/>
  <c r="AS13" i="4"/>
  <c r="AK13" i="4"/>
  <c r="AC13" i="4"/>
  <c r="U13" i="4"/>
  <c r="M13" i="4"/>
  <c r="E13" i="4"/>
  <c r="AT12" i="4"/>
  <c r="AL12" i="4"/>
  <c r="AD12" i="4"/>
  <c r="V12" i="4"/>
  <c r="N12" i="4"/>
  <c r="F12" i="4"/>
  <c r="AU11" i="4"/>
  <c r="AM11" i="4"/>
  <c r="AE11" i="4"/>
  <c r="W11" i="4"/>
  <c r="O11" i="4"/>
  <c r="G11" i="4"/>
  <c r="AV10" i="4"/>
  <c r="AN10" i="4"/>
  <c r="AF10" i="4"/>
  <c r="X10" i="4"/>
  <c r="P10" i="4"/>
  <c r="H10" i="4"/>
  <c r="AW9" i="4"/>
  <c r="AO9" i="4"/>
  <c r="AG9" i="4"/>
  <c r="Y9" i="4"/>
  <c r="Q9" i="4"/>
  <c r="I9" i="4"/>
  <c r="AX8" i="4"/>
  <c r="AP8" i="4"/>
  <c r="AH8" i="4"/>
  <c r="Z8" i="4"/>
  <c r="R8" i="4"/>
  <c r="J8" i="4"/>
  <c r="AY7" i="4"/>
  <c r="AQ7" i="4"/>
  <c r="AI7" i="4"/>
  <c r="AA7" i="4"/>
  <c r="S7" i="4"/>
  <c r="K7" i="4"/>
  <c r="AZ6" i="4"/>
  <c r="AR6" i="4"/>
  <c r="AJ6" i="4"/>
  <c r="AB6" i="4"/>
  <c r="T6" i="4"/>
  <c r="L6" i="4"/>
  <c r="D6" i="4"/>
  <c r="AS5" i="4"/>
  <c r="AK5" i="4"/>
  <c r="AC5" i="4"/>
  <c r="U5" i="4"/>
  <c r="M5" i="4"/>
  <c r="E5" i="4"/>
  <c r="AT4" i="4"/>
  <c r="AL4" i="4"/>
  <c r="AD4" i="4"/>
  <c r="V4" i="4"/>
  <c r="N4" i="4"/>
  <c r="F4" i="4"/>
  <c r="AU3" i="4"/>
  <c r="AM3" i="4"/>
  <c r="AE3" i="4"/>
  <c r="W3" i="4"/>
  <c r="O3" i="4"/>
  <c r="G3" i="4"/>
  <c r="AY14" i="4"/>
  <c r="AQ14" i="4"/>
  <c r="AI14" i="4"/>
  <c r="AA14" i="4"/>
  <c r="S14" i="4"/>
  <c r="K14" i="4"/>
  <c r="AZ13" i="4"/>
  <c r="AR13" i="4"/>
  <c r="AJ13" i="4"/>
  <c r="AB13" i="4"/>
  <c r="T13" i="4"/>
  <c r="L13" i="4"/>
  <c r="D13" i="4"/>
  <c r="AS12" i="4"/>
  <c r="AK12" i="4"/>
  <c r="AC12" i="4"/>
  <c r="U12" i="4"/>
  <c r="M12" i="4"/>
  <c r="E12" i="4"/>
  <c r="AT11" i="4"/>
  <c r="AL11" i="4"/>
  <c r="AD11" i="4"/>
  <c r="V11" i="4"/>
  <c r="N11" i="4"/>
  <c r="F11" i="4"/>
  <c r="AU10" i="4"/>
  <c r="AM10" i="4"/>
  <c r="AE10" i="4"/>
  <c r="W10" i="4"/>
  <c r="O10" i="4"/>
  <c r="G10" i="4"/>
  <c r="AV9" i="4"/>
  <c r="AN9" i="4"/>
  <c r="AF9" i="4"/>
  <c r="X9" i="4"/>
  <c r="P9" i="4"/>
  <c r="H9" i="4"/>
  <c r="AW8" i="4"/>
  <c r="AO8" i="4"/>
  <c r="AG8" i="4"/>
  <c r="Y8" i="4"/>
  <c r="Q8" i="4"/>
  <c r="I8" i="4"/>
  <c r="AX7" i="4"/>
  <c r="AP7" i="4"/>
  <c r="AH7" i="4"/>
  <c r="Z7" i="4"/>
  <c r="R7" i="4"/>
  <c r="J7" i="4"/>
  <c r="AY6" i="4"/>
  <c r="AQ6" i="4"/>
  <c r="AI6" i="4"/>
  <c r="AA6" i="4"/>
  <c r="S6" i="4"/>
  <c r="K6" i="4"/>
  <c r="AZ5" i="4"/>
  <c r="AR5" i="4"/>
  <c r="AJ5" i="4"/>
  <c r="AB5" i="4"/>
  <c r="T5" i="4"/>
  <c r="L5" i="4"/>
  <c r="D5" i="4"/>
  <c r="AS4" i="4"/>
  <c r="AK4" i="4"/>
  <c r="AC4" i="4"/>
  <c r="U4" i="4"/>
  <c r="M4" i="4"/>
  <c r="E4" i="4"/>
  <c r="AT3" i="4"/>
  <c r="AL3" i="4"/>
  <c r="AD3" i="4"/>
  <c r="V3" i="4"/>
  <c r="N3" i="4"/>
  <c r="F3" i="4"/>
  <c r="AF16" i="4"/>
  <c r="X16" i="4"/>
  <c r="P16" i="4"/>
  <c r="H16" i="4"/>
  <c r="AW15" i="4"/>
  <c r="AO15" i="4"/>
  <c r="AG15" i="4"/>
  <c r="Y15" i="4"/>
  <c r="Q15" i="4"/>
  <c r="I15" i="4"/>
  <c r="AX14" i="4"/>
  <c r="AP14" i="4"/>
  <c r="AH14" i="4"/>
  <c r="Z14" i="4"/>
  <c r="R14" i="4"/>
  <c r="J14" i="4"/>
  <c r="AY13" i="4"/>
  <c r="AQ13" i="4"/>
  <c r="AI13" i="4"/>
  <c r="AA13" i="4"/>
  <c r="S13" i="4"/>
  <c r="K13" i="4"/>
  <c r="AZ12" i="4"/>
  <c r="AR12" i="4"/>
  <c r="AJ12" i="4"/>
  <c r="AB12" i="4"/>
  <c r="T12" i="4"/>
  <c r="L12" i="4"/>
  <c r="D12" i="4"/>
  <c r="AS11" i="4"/>
  <c r="AK11" i="4"/>
  <c r="AC11" i="4"/>
  <c r="U11" i="4"/>
  <c r="M11" i="4"/>
  <c r="E11" i="4"/>
  <c r="AT10" i="4"/>
  <c r="AL10" i="4"/>
  <c r="AD10" i="4"/>
  <c r="V10" i="4"/>
  <c r="N10" i="4"/>
  <c r="F10" i="4"/>
  <c r="AU9" i="4"/>
  <c r="AM9" i="4"/>
  <c r="AE9" i="4"/>
  <c r="W9" i="4"/>
  <c r="O9" i="4"/>
  <c r="G9" i="4"/>
  <c r="AV8" i="4"/>
  <c r="AN8" i="4"/>
  <c r="AF8" i="4"/>
  <c r="X8" i="4"/>
  <c r="P8" i="4"/>
  <c r="H8" i="4"/>
  <c r="AW7" i="4"/>
  <c r="AO7" i="4"/>
  <c r="AG7" i="4"/>
  <c r="Y7" i="4"/>
  <c r="Q7" i="4"/>
  <c r="I7" i="4"/>
  <c r="AX6" i="4"/>
  <c r="AP6" i="4"/>
  <c r="AH6" i="4"/>
  <c r="Z6" i="4"/>
  <c r="R6" i="4"/>
  <c r="J6" i="4"/>
  <c r="AY5" i="4"/>
  <c r="AQ5" i="4"/>
  <c r="AI5" i="4"/>
  <c r="AA5" i="4"/>
  <c r="S5" i="4"/>
  <c r="K5" i="4"/>
  <c r="AZ4" i="4"/>
  <c r="AR4" i="4"/>
  <c r="AJ4" i="4"/>
  <c r="AB4" i="4"/>
  <c r="T4" i="4"/>
  <c r="L4" i="4"/>
  <c r="D4" i="4"/>
  <c r="AS3" i="4"/>
  <c r="AK3" i="4"/>
  <c r="AC3" i="4"/>
  <c r="U3" i="4"/>
  <c r="M3" i="4"/>
  <c r="E3" i="4"/>
  <c r="AU16" i="4"/>
  <c r="AM16" i="4"/>
  <c r="AE16" i="4"/>
  <c r="W16" i="4"/>
  <c r="O16" i="4"/>
  <c r="G16" i="4"/>
  <c r="AV15" i="4"/>
  <c r="AN15" i="4"/>
  <c r="AF15" i="4"/>
  <c r="X15" i="4"/>
  <c r="P15" i="4"/>
  <c r="H15" i="4"/>
  <c r="AW14" i="4"/>
  <c r="AO14" i="4"/>
  <c r="AG14" i="4"/>
  <c r="Y14" i="4"/>
  <c r="Q14" i="4"/>
  <c r="I14" i="4"/>
  <c r="AX13" i="4"/>
  <c r="AP13" i="4"/>
  <c r="AH13" i="4"/>
  <c r="Z13" i="4"/>
  <c r="R13" i="4"/>
  <c r="J13" i="4"/>
  <c r="AY12" i="4"/>
  <c r="AQ12" i="4"/>
  <c r="AI12" i="4"/>
  <c r="AA12" i="4"/>
  <c r="S12" i="4"/>
  <c r="K12" i="4"/>
  <c r="AZ11" i="4"/>
  <c r="AR11" i="4"/>
  <c r="AJ11" i="4"/>
  <c r="AB11" i="4"/>
  <c r="T11" i="4"/>
  <c r="L11" i="4"/>
  <c r="D11" i="4"/>
  <c r="AS10" i="4"/>
  <c r="AK10" i="4"/>
  <c r="AC10" i="4"/>
  <c r="U10" i="4"/>
  <c r="M10" i="4"/>
  <c r="E10" i="4"/>
  <c r="AT9" i="4"/>
  <c r="AL9" i="4"/>
  <c r="AD9" i="4"/>
  <c r="V9" i="4"/>
  <c r="N9" i="4"/>
  <c r="F9" i="4"/>
  <c r="AU8" i="4"/>
  <c r="AM8" i="4"/>
  <c r="AE8" i="4"/>
  <c r="W8" i="4"/>
  <c r="O8" i="4"/>
  <c r="G8" i="4"/>
  <c r="AV7" i="4"/>
  <c r="AN7" i="4"/>
  <c r="AF7" i="4"/>
  <c r="X7" i="4"/>
  <c r="P7" i="4"/>
  <c r="H7" i="4"/>
  <c r="AW6" i="4"/>
  <c r="AO6" i="4"/>
  <c r="AG6" i="4"/>
  <c r="Y6" i="4"/>
  <c r="Q6" i="4"/>
  <c r="I6" i="4"/>
  <c r="AX5" i="4"/>
  <c r="AP5" i="4"/>
  <c r="AH5" i="4"/>
  <c r="Z5" i="4"/>
  <c r="R5" i="4"/>
  <c r="J5" i="4"/>
  <c r="AY4" i="4"/>
  <c r="AQ4" i="4"/>
  <c r="AI4" i="4"/>
  <c r="AA4" i="4"/>
  <c r="S4" i="4"/>
  <c r="K4" i="4"/>
  <c r="AZ3" i="4"/>
  <c r="AR3" i="4"/>
  <c r="AJ3" i="4"/>
  <c r="AB3" i="4"/>
  <c r="T3" i="4"/>
  <c r="L3" i="4"/>
  <c r="D3" i="4"/>
  <c r="C9" i="4"/>
  <c r="C16" i="4"/>
  <c r="C11" i="4"/>
  <c r="C7" i="4"/>
  <c r="C19" i="4"/>
  <c r="C17" i="4"/>
  <c r="C15" i="4"/>
  <c r="C14" i="4"/>
  <c r="C18" i="4"/>
  <c r="C6" i="4"/>
  <c r="C10" i="4"/>
  <c r="C8" i="4"/>
  <c r="C13" i="4"/>
  <c r="C5" i="4"/>
  <c r="C12" i="4"/>
  <c r="C4" i="4"/>
  <c r="C3" i="4"/>
  <c r="AD56" i="3"/>
  <c r="AX61" i="3"/>
  <c r="AP61" i="3"/>
  <c r="AH61" i="3"/>
  <c r="Z61" i="3"/>
  <c r="R61" i="3"/>
  <c r="J61" i="3"/>
  <c r="AY60" i="3"/>
  <c r="AQ60" i="3"/>
  <c r="AI60" i="3"/>
  <c r="AA60" i="3"/>
  <c r="S60" i="3"/>
  <c r="K60" i="3"/>
  <c r="AZ59" i="3"/>
  <c r="AR59" i="3"/>
  <c r="AJ59" i="3"/>
  <c r="AB59" i="3"/>
  <c r="T59" i="3"/>
  <c r="L59" i="3"/>
  <c r="AJ58" i="3"/>
  <c r="K58" i="3"/>
  <c r="AF57" i="3"/>
  <c r="AF56" i="3"/>
  <c r="AW55" i="3"/>
  <c r="Q55" i="3"/>
  <c r="AH54" i="3"/>
  <c r="AY53" i="3"/>
  <c r="AI58" i="3"/>
  <c r="N50" i="3"/>
  <c r="AV48" i="3"/>
  <c r="AG47" i="3"/>
  <c r="R46" i="3"/>
  <c r="AW61" i="3"/>
  <c r="AO61" i="3"/>
  <c r="AG61" i="3"/>
  <c r="Y61" i="3"/>
  <c r="Q61" i="3"/>
  <c r="I61" i="3"/>
  <c r="AX60" i="3"/>
  <c r="AP60" i="3"/>
  <c r="AH60" i="3"/>
  <c r="Z60" i="3"/>
  <c r="R60" i="3"/>
  <c r="J60" i="3"/>
  <c r="AY59" i="3"/>
  <c r="AQ59" i="3"/>
  <c r="AI59" i="3"/>
  <c r="AA59" i="3"/>
  <c r="S59" i="3"/>
  <c r="K59" i="3"/>
  <c r="AE58" i="3"/>
  <c r="AE57" i="3"/>
  <c r="E57" i="3"/>
  <c r="Y56" i="3"/>
  <c r="AP55" i="3"/>
  <c r="J55" i="3"/>
  <c r="AA54" i="3"/>
  <c r="AR53" i="3"/>
  <c r="AR52" i="3"/>
  <c r="J46" i="3"/>
  <c r="AV61" i="3"/>
  <c r="AN61" i="3"/>
  <c r="AF61" i="3"/>
  <c r="X61" i="3"/>
  <c r="P61" i="3"/>
  <c r="H61" i="3"/>
  <c r="AW60" i="3"/>
  <c r="AO60" i="3"/>
  <c r="AG60" i="3"/>
  <c r="Y60" i="3"/>
  <c r="Q60" i="3"/>
  <c r="I60" i="3"/>
  <c r="AX59" i="3"/>
  <c r="AP59" i="3"/>
  <c r="AH59" i="3"/>
  <c r="Z59" i="3"/>
  <c r="R59" i="3"/>
  <c r="J59" i="3"/>
  <c r="AD58" i="3"/>
  <c r="D58" i="3"/>
  <c r="AB57" i="3"/>
  <c r="AW56" i="3"/>
  <c r="X56" i="3"/>
  <c r="AO55" i="3"/>
  <c r="I55" i="3"/>
  <c r="Z54" i="3"/>
  <c r="AQ53" i="3"/>
  <c r="F50" i="3"/>
  <c r="AB58" i="3"/>
  <c r="AZ57" i="3"/>
  <c r="X57" i="3"/>
  <c r="V56" i="3"/>
  <c r="AM55" i="3"/>
  <c r="G55" i="3"/>
  <c r="X54" i="3"/>
  <c r="AO53" i="3"/>
  <c r="AB52" i="3"/>
  <c r="M51" i="3"/>
  <c r="AU49" i="3"/>
  <c r="AF48" i="3"/>
  <c r="Q47" i="3"/>
  <c r="AY45" i="3"/>
  <c r="O55" i="3"/>
  <c r="AU61" i="3"/>
  <c r="AM61" i="3"/>
  <c r="AE61" i="3"/>
  <c r="W61" i="3"/>
  <c r="O61" i="3"/>
  <c r="G61" i="3"/>
  <c r="AV60" i="3"/>
  <c r="AN60" i="3"/>
  <c r="AF60" i="3"/>
  <c r="X60" i="3"/>
  <c r="P60" i="3"/>
  <c r="H60" i="3"/>
  <c r="AW59" i="3"/>
  <c r="AO59" i="3"/>
  <c r="AG59" i="3"/>
  <c r="Y59" i="3"/>
  <c r="Q59" i="3"/>
  <c r="I59" i="3"/>
  <c r="AA58" i="3"/>
  <c r="AV57" i="3"/>
  <c r="AV56" i="3"/>
  <c r="Q56" i="3"/>
  <c r="AH55" i="3"/>
  <c r="AY54" i="3"/>
  <c r="S54" i="3"/>
  <c r="Y47" i="3"/>
  <c r="W58" i="3"/>
  <c r="W57" i="3"/>
  <c r="AT56" i="3"/>
  <c r="AI53" i="3"/>
  <c r="T52" i="3"/>
  <c r="E51" i="3"/>
  <c r="AM49" i="3"/>
  <c r="X48" i="3"/>
  <c r="I47" i="3"/>
  <c r="AQ45" i="3"/>
  <c r="AW53" i="3"/>
  <c r="AN48" i="3"/>
  <c r="AT61" i="3"/>
  <c r="AL61" i="3"/>
  <c r="AD61" i="3"/>
  <c r="V61" i="3"/>
  <c r="N61" i="3"/>
  <c r="F61" i="3"/>
  <c r="AU60" i="3"/>
  <c r="AM60" i="3"/>
  <c r="AE60" i="3"/>
  <c r="W60" i="3"/>
  <c r="O60" i="3"/>
  <c r="G60" i="3"/>
  <c r="AV59" i="3"/>
  <c r="AN59" i="3"/>
  <c r="AF59" i="3"/>
  <c r="X59" i="3"/>
  <c r="P59" i="3"/>
  <c r="H59" i="3"/>
  <c r="AU58" i="3"/>
  <c r="AU57" i="3"/>
  <c r="U57" i="3"/>
  <c r="AS56" i="3"/>
  <c r="P56" i="3"/>
  <c r="AG55" i="3"/>
  <c r="AX54" i="3"/>
  <c r="R54" i="3"/>
  <c r="G58" i="3"/>
  <c r="U51" i="3"/>
  <c r="V58" i="3"/>
  <c r="AS57" i="3"/>
  <c r="T57" i="3"/>
  <c r="AO56" i="3"/>
  <c r="N56" i="3"/>
  <c r="AE55" i="3"/>
  <c r="AV54" i="3"/>
  <c r="P54" i="3"/>
  <c r="AA53" i="3"/>
  <c r="L52" i="3"/>
  <c r="AT50" i="3"/>
  <c r="AE49" i="3"/>
  <c r="P48" i="3"/>
  <c r="AX46" i="3"/>
  <c r="AI45" i="3"/>
  <c r="AJ52" i="3"/>
  <c r="AS61" i="3"/>
  <c r="AK61" i="3"/>
  <c r="AC61" i="3"/>
  <c r="U61" i="3"/>
  <c r="M61" i="3"/>
  <c r="E61" i="3"/>
  <c r="AT60" i="3"/>
  <c r="AL60" i="3"/>
  <c r="AD60" i="3"/>
  <c r="V60" i="3"/>
  <c r="N60" i="3"/>
  <c r="F60" i="3"/>
  <c r="AU59" i="3"/>
  <c r="AM59" i="3"/>
  <c r="AE59" i="3"/>
  <c r="W59" i="3"/>
  <c r="O59" i="3"/>
  <c r="G59" i="3"/>
  <c r="AT58" i="3"/>
  <c r="T58" i="3"/>
  <c r="AR57" i="3"/>
  <c r="P57" i="3"/>
  <c r="I56" i="3"/>
  <c r="Z55" i="3"/>
  <c r="AQ54" i="3"/>
  <c r="K54" i="3"/>
  <c r="AU55" i="3"/>
  <c r="AR58" i="3"/>
  <c r="S58" i="3"/>
  <c r="AN57" i="3"/>
  <c r="AN56" i="3"/>
  <c r="S53" i="3"/>
  <c r="D52" i="3"/>
  <c r="AL50" i="3"/>
  <c r="W49" i="3"/>
  <c r="H48" i="3"/>
  <c r="AP46" i="3"/>
  <c r="AA45" i="3"/>
  <c r="AZ58" i="3"/>
  <c r="D57" i="3"/>
  <c r="AZ61" i="3"/>
  <c r="AR61" i="3"/>
  <c r="AJ61" i="3"/>
  <c r="AB61" i="3"/>
  <c r="T61" i="3"/>
  <c r="L61" i="3"/>
  <c r="D61" i="3"/>
  <c r="AS60" i="3"/>
  <c r="AK60" i="3"/>
  <c r="AC60" i="3"/>
  <c r="U60" i="3"/>
  <c r="M60" i="3"/>
  <c r="E60" i="3"/>
  <c r="AT59" i="3"/>
  <c r="AL59" i="3"/>
  <c r="AD59" i="3"/>
  <c r="V59" i="3"/>
  <c r="N59" i="3"/>
  <c r="F59" i="3"/>
  <c r="AQ58" i="3"/>
  <c r="O58" i="3"/>
  <c r="O57" i="3"/>
  <c r="AL56" i="3"/>
  <c r="H56" i="3"/>
  <c r="Y55" i="3"/>
  <c r="AP54" i="3"/>
  <c r="J54" i="3"/>
  <c r="G57" i="3"/>
  <c r="F58" i="3"/>
  <c r="AM58" i="3"/>
  <c r="AM57" i="3"/>
  <c r="M57" i="3"/>
  <c r="AK56" i="3"/>
  <c r="F56" i="3"/>
  <c r="W55" i="3"/>
  <c r="AN54" i="3"/>
  <c r="H54" i="3"/>
  <c r="K53" i="3"/>
  <c r="AS51" i="3"/>
  <c r="AD50" i="3"/>
  <c r="O49" i="3"/>
  <c r="AW47" i="3"/>
  <c r="AH46" i="3"/>
  <c r="S45" i="3"/>
  <c r="AC51" i="3"/>
  <c r="AY58" i="3"/>
  <c r="AC57" i="3"/>
  <c r="AY61" i="3"/>
  <c r="AQ61" i="3"/>
  <c r="AI61" i="3"/>
  <c r="AA61" i="3"/>
  <c r="S61" i="3"/>
  <c r="K61" i="3"/>
  <c r="AZ60" i="3"/>
  <c r="AR60" i="3"/>
  <c r="AJ60" i="3"/>
  <c r="AB60" i="3"/>
  <c r="T60" i="3"/>
  <c r="L60" i="3"/>
  <c r="D60" i="3"/>
  <c r="AS59" i="3"/>
  <c r="AK59" i="3"/>
  <c r="AC59" i="3"/>
  <c r="U59" i="3"/>
  <c r="M59" i="3"/>
  <c r="E59" i="3"/>
  <c r="N58" i="3"/>
  <c r="AK57" i="3"/>
  <c r="L57" i="3"/>
  <c r="AG56" i="3"/>
  <c r="AX55" i="3"/>
  <c r="R55" i="3"/>
  <c r="AI54" i="3"/>
  <c r="AZ53" i="3"/>
  <c r="AF54" i="3"/>
  <c r="AL58" i="3"/>
  <c r="L58" i="3"/>
  <c r="AJ57" i="3"/>
  <c r="H57" i="3"/>
  <c r="AZ52" i="3"/>
  <c r="AK51" i="3"/>
  <c r="V50" i="3"/>
  <c r="G49" i="3"/>
  <c r="AO47" i="3"/>
  <c r="Z46" i="3"/>
  <c r="K45" i="3"/>
  <c r="D59" i="3"/>
  <c r="AS58" i="3"/>
  <c r="AK58" i="3"/>
  <c r="AC58" i="3"/>
  <c r="U58" i="3"/>
  <c r="M58" i="3"/>
  <c r="E58" i="3"/>
  <c r="AT57" i="3"/>
  <c r="AL57" i="3"/>
  <c r="AD57" i="3"/>
  <c r="V57" i="3"/>
  <c r="N57" i="3"/>
  <c r="F57" i="3"/>
  <c r="AU56" i="3"/>
  <c r="AM56" i="3"/>
  <c r="AE56" i="3"/>
  <c r="W56" i="3"/>
  <c r="O56" i="3"/>
  <c r="G56" i="3"/>
  <c r="AV55" i="3"/>
  <c r="AN55" i="3"/>
  <c r="AF55" i="3"/>
  <c r="X55" i="3"/>
  <c r="P55" i="3"/>
  <c r="H55" i="3"/>
  <c r="AW54" i="3"/>
  <c r="AO54" i="3"/>
  <c r="AG54" i="3"/>
  <c r="Y54" i="3"/>
  <c r="Q54" i="3"/>
  <c r="I54" i="3"/>
  <c r="AX53" i="3"/>
  <c r="AP53" i="3"/>
  <c r="AH53" i="3"/>
  <c r="Z53" i="3"/>
  <c r="R53" i="3"/>
  <c r="J53" i="3"/>
  <c r="AY52" i="3"/>
  <c r="AQ52" i="3"/>
  <c r="AI52" i="3"/>
  <c r="AA52" i="3"/>
  <c r="S52" i="3"/>
  <c r="K52" i="3"/>
  <c r="AZ51" i="3"/>
  <c r="AR51" i="3"/>
  <c r="AJ51" i="3"/>
  <c r="AB51" i="3"/>
  <c r="T51" i="3"/>
  <c r="L51" i="3"/>
  <c r="D51" i="3"/>
  <c r="AS50" i="3"/>
  <c r="AK50" i="3"/>
  <c r="AC50" i="3"/>
  <c r="U50" i="3"/>
  <c r="M50" i="3"/>
  <c r="E50" i="3"/>
  <c r="AT49" i="3"/>
  <c r="AL49" i="3"/>
  <c r="AD49" i="3"/>
  <c r="V49" i="3"/>
  <c r="N49" i="3"/>
  <c r="F49" i="3"/>
  <c r="AU48" i="3"/>
  <c r="AM48" i="3"/>
  <c r="AE48" i="3"/>
  <c r="W48" i="3"/>
  <c r="O48" i="3"/>
  <c r="G48" i="3"/>
  <c r="AV47" i="3"/>
  <c r="AN47" i="3"/>
  <c r="AF47" i="3"/>
  <c r="X47" i="3"/>
  <c r="P47" i="3"/>
  <c r="H47" i="3"/>
  <c r="AW46" i="3"/>
  <c r="AO46" i="3"/>
  <c r="AG46" i="3"/>
  <c r="Y46" i="3"/>
  <c r="Q46" i="3"/>
  <c r="I46" i="3"/>
  <c r="AX45" i="3"/>
  <c r="AP45" i="3"/>
  <c r="AH45" i="3"/>
  <c r="Z45" i="3"/>
  <c r="R45" i="3"/>
  <c r="J45" i="3"/>
  <c r="AG53" i="3"/>
  <c r="Y53" i="3"/>
  <c r="Q53" i="3"/>
  <c r="I53" i="3"/>
  <c r="AX52" i="3"/>
  <c r="AP52" i="3"/>
  <c r="AH52" i="3"/>
  <c r="Z52" i="3"/>
  <c r="R52" i="3"/>
  <c r="J52" i="3"/>
  <c r="AY51" i="3"/>
  <c r="AQ51" i="3"/>
  <c r="AI51" i="3"/>
  <c r="AA51" i="3"/>
  <c r="S51" i="3"/>
  <c r="K51" i="3"/>
  <c r="AZ50" i="3"/>
  <c r="AR50" i="3"/>
  <c r="AJ50" i="3"/>
  <c r="AB50" i="3"/>
  <c r="T50" i="3"/>
  <c r="L50" i="3"/>
  <c r="D50" i="3"/>
  <c r="AS49" i="3"/>
  <c r="AK49" i="3"/>
  <c r="AC49" i="3"/>
  <c r="U49" i="3"/>
  <c r="M49" i="3"/>
  <c r="E49" i="3"/>
  <c r="AT48" i="3"/>
  <c r="AL48" i="3"/>
  <c r="AD48" i="3"/>
  <c r="V48" i="3"/>
  <c r="N48" i="3"/>
  <c r="F48" i="3"/>
  <c r="AU47" i="3"/>
  <c r="AM47" i="3"/>
  <c r="AE47" i="3"/>
  <c r="W47" i="3"/>
  <c r="O47" i="3"/>
  <c r="G47" i="3"/>
  <c r="AV46" i="3"/>
  <c r="AN46" i="3"/>
  <c r="AF46" i="3"/>
  <c r="X46" i="3"/>
  <c r="P46" i="3"/>
  <c r="H46" i="3"/>
  <c r="AW45" i="3"/>
  <c r="AO45" i="3"/>
  <c r="AG45" i="3"/>
  <c r="Y45" i="3"/>
  <c r="Q45" i="3"/>
  <c r="I45" i="3"/>
  <c r="AC56" i="3"/>
  <c r="U56" i="3"/>
  <c r="M56" i="3"/>
  <c r="E56" i="3"/>
  <c r="AT55" i="3"/>
  <c r="AL55" i="3"/>
  <c r="AD55" i="3"/>
  <c r="V55" i="3"/>
  <c r="N55" i="3"/>
  <c r="F55" i="3"/>
  <c r="AU54" i="3"/>
  <c r="AM54" i="3"/>
  <c r="AE54" i="3"/>
  <c r="W54" i="3"/>
  <c r="O54" i="3"/>
  <c r="G54" i="3"/>
  <c r="AV53" i="3"/>
  <c r="AN53" i="3"/>
  <c r="AF53" i="3"/>
  <c r="X53" i="3"/>
  <c r="P53" i="3"/>
  <c r="H53" i="3"/>
  <c r="AW52" i="3"/>
  <c r="AO52" i="3"/>
  <c r="AG52" i="3"/>
  <c r="Y52" i="3"/>
  <c r="Q52" i="3"/>
  <c r="I52" i="3"/>
  <c r="AX51" i="3"/>
  <c r="AP51" i="3"/>
  <c r="AH51" i="3"/>
  <c r="Z51" i="3"/>
  <c r="R51" i="3"/>
  <c r="J51" i="3"/>
  <c r="AY50" i="3"/>
  <c r="AQ50" i="3"/>
  <c r="AI50" i="3"/>
  <c r="AA50" i="3"/>
  <c r="S50" i="3"/>
  <c r="K50" i="3"/>
  <c r="AZ49" i="3"/>
  <c r="AR49" i="3"/>
  <c r="AJ49" i="3"/>
  <c r="AB49" i="3"/>
  <c r="T49" i="3"/>
  <c r="L49" i="3"/>
  <c r="D49" i="3"/>
  <c r="AS48" i="3"/>
  <c r="AK48" i="3"/>
  <c r="AC48" i="3"/>
  <c r="U48" i="3"/>
  <c r="M48" i="3"/>
  <c r="E48" i="3"/>
  <c r="AT47" i="3"/>
  <c r="AL47" i="3"/>
  <c r="AD47" i="3"/>
  <c r="V47" i="3"/>
  <c r="N47" i="3"/>
  <c r="F47" i="3"/>
  <c r="AU46" i="3"/>
  <c r="AM46" i="3"/>
  <c r="AE46" i="3"/>
  <c r="W46" i="3"/>
  <c r="O46" i="3"/>
  <c r="G46" i="3"/>
  <c r="AV45" i="3"/>
  <c r="AN45" i="3"/>
  <c r="AF45" i="3"/>
  <c r="X45" i="3"/>
  <c r="P45" i="3"/>
  <c r="H45" i="3"/>
  <c r="AX58" i="3"/>
  <c r="AP58" i="3"/>
  <c r="AH58" i="3"/>
  <c r="Z58" i="3"/>
  <c r="R58" i="3"/>
  <c r="J58" i="3"/>
  <c r="AY57" i="3"/>
  <c r="AQ57" i="3"/>
  <c r="AI57" i="3"/>
  <c r="AA57" i="3"/>
  <c r="S57" i="3"/>
  <c r="K57" i="3"/>
  <c r="AZ56" i="3"/>
  <c r="AR56" i="3"/>
  <c r="AJ56" i="3"/>
  <c r="AB56" i="3"/>
  <c r="T56" i="3"/>
  <c r="L56" i="3"/>
  <c r="D56" i="3"/>
  <c r="AS55" i="3"/>
  <c r="AK55" i="3"/>
  <c r="AC55" i="3"/>
  <c r="U55" i="3"/>
  <c r="M55" i="3"/>
  <c r="E55" i="3"/>
  <c r="AT54" i="3"/>
  <c r="AL54" i="3"/>
  <c r="AD54" i="3"/>
  <c r="V54" i="3"/>
  <c r="N54" i="3"/>
  <c r="F54" i="3"/>
  <c r="AU53" i="3"/>
  <c r="AM53" i="3"/>
  <c r="AE53" i="3"/>
  <c r="W53" i="3"/>
  <c r="O53" i="3"/>
  <c r="G53" i="3"/>
  <c r="AV52" i="3"/>
  <c r="AN52" i="3"/>
  <c r="AF52" i="3"/>
  <c r="X52" i="3"/>
  <c r="P52" i="3"/>
  <c r="H52" i="3"/>
  <c r="AW51" i="3"/>
  <c r="AO51" i="3"/>
  <c r="AG51" i="3"/>
  <c r="Y51" i="3"/>
  <c r="Q51" i="3"/>
  <c r="I51" i="3"/>
  <c r="AX50" i="3"/>
  <c r="AP50" i="3"/>
  <c r="AH50" i="3"/>
  <c r="Z50" i="3"/>
  <c r="R50" i="3"/>
  <c r="J50" i="3"/>
  <c r="AY49" i="3"/>
  <c r="AQ49" i="3"/>
  <c r="AI49" i="3"/>
  <c r="AA49" i="3"/>
  <c r="S49" i="3"/>
  <c r="K49" i="3"/>
  <c r="AZ48" i="3"/>
  <c r="AR48" i="3"/>
  <c r="AJ48" i="3"/>
  <c r="AB48" i="3"/>
  <c r="T48" i="3"/>
  <c r="L48" i="3"/>
  <c r="D48" i="3"/>
  <c r="AS47" i="3"/>
  <c r="AK47" i="3"/>
  <c r="AC47" i="3"/>
  <c r="U47" i="3"/>
  <c r="M47" i="3"/>
  <c r="E47" i="3"/>
  <c r="AT46" i="3"/>
  <c r="AL46" i="3"/>
  <c r="AD46" i="3"/>
  <c r="V46" i="3"/>
  <c r="N46" i="3"/>
  <c r="F46" i="3"/>
  <c r="AU45" i="3"/>
  <c r="AM45" i="3"/>
  <c r="AE45" i="3"/>
  <c r="W45" i="3"/>
  <c r="O45" i="3"/>
  <c r="G45" i="3"/>
  <c r="AW58" i="3"/>
  <c r="AO58" i="3"/>
  <c r="AG58" i="3"/>
  <c r="Y58" i="3"/>
  <c r="Q58" i="3"/>
  <c r="I58" i="3"/>
  <c r="AX57" i="3"/>
  <c r="AP57" i="3"/>
  <c r="AH57" i="3"/>
  <c r="Z57" i="3"/>
  <c r="R57" i="3"/>
  <c r="J57" i="3"/>
  <c r="AY56" i="3"/>
  <c r="AQ56" i="3"/>
  <c r="AI56" i="3"/>
  <c r="AA56" i="3"/>
  <c r="S56" i="3"/>
  <c r="K56" i="3"/>
  <c r="AZ55" i="3"/>
  <c r="AR55" i="3"/>
  <c r="AJ55" i="3"/>
  <c r="AB55" i="3"/>
  <c r="T55" i="3"/>
  <c r="L55" i="3"/>
  <c r="D55" i="3"/>
  <c r="AS54" i="3"/>
  <c r="AK54" i="3"/>
  <c r="AC54" i="3"/>
  <c r="U54" i="3"/>
  <c r="M54" i="3"/>
  <c r="E54" i="3"/>
  <c r="AT53" i="3"/>
  <c r="AL53" i="3"/>
  <c r="AD53" i="3"/>
  <c r="V53" i="3"/>
  <c r="N53" i="3"/>
  <c r="F53" i="3"/>
  <c r="AU52" i="3"/>
  <c r="AM52" i="3"/>
  <c r="AE52" i="3"/>
  <c r="W52" i="3"/>
  <c r="O52" i="3"/>
  <c r="G52" i="3"/>
  <c r="AV51" i="3"/>
  <c r="AN51" i="3"/>
  <c r="AF51" i="3"/>
  <c r="X51" i="3"/>
  <c r="P51" i="3"/>
  <c r="H51" i="3"/>
  <c r="AW50" i="3"/>
  <c r="AO50" i="3"/>
  <c r="AG50" i="3"/>
  <c r="Y50" i="3"/>
  <c r="Q50" i="3"/>
  <c r="I50" i="3"/>
  <c r="AX49" i="3"/>
  <c r="AP49" i="3"/>
  <c r="AH49" i="3"/>
  <c r="Z49" i="3"/>
  <c r="R49" i="3"/>
  <c r="J49" i="3"/>
  <c r="AY48" i="3"/>
  <c r="AQ48" i="3"/>
  <c r="AI48" i="3"/>
  <c r="AA48" i="3"/>
  <c r="S48" i="3"/>
  <c r="K48" i="3"/>
  <c r="AZ47" i="3"/>
  <c r="AR47" i="3"/>
  <c r="AJ47" i="3"/>
  <c r="AB47" i="3"/>
  <c r="T47" i="3"/>
  <c r="L47" i="3"/>
  <c r="D47" i="3"/>
  <c r="AS46" i="3"/>
  <c r="AK46" i="3"/>
  <c r="AC46" i="3"/>
  <c r="U46" i="3"/>
  <c r="M46" i="3"/>
  <c r="E46" i="3"/>
  <c r="AT45" i="3"/>
  <c r="AL45" i="3"/>
  <c r="AD45" i="3"/>
  <c r="V45" i="3"/>
  <c r="N45" i="3"/>
  <c r="F45" i="3"/>
  <c r="AV58" i="3"/>
  <c r="AN58" i="3"/>
  <c r="AF58" i="3"/>
  <c r="X58" i="3"/>
  <c r="P58" i="3"/>
  <c r="H58" i="3"/>
  <c r="AW57" i="3"/>
  <c r="AO57" i="3"/>
  <c r="AG57" i="3"/>
  <c r="Y57" i="3"/>
  <c r="Q57" i="3"/>
  <c r="I57" i="3"/>
  <c r="AX56" i="3"/>
  <c r="AP56" i="3"/>
  <c r="AH56" i="3"/>
  <c r="Z56" i="3"/>
  <c r="R56" i="3"/>
  <c r="J56" i="3"/>
  <c r="AY55" i="3"/>
  <c r="AQ55" i="3"/>
  <c r="AI55" i="3"/>
  <c r="AA55" i="3"/>
  <c r="S55" i="3"/>
  <c r="K55" i="3"/>
  <c r="AZ54" i="3"/>
  <c r="AR54" i="3"/>
  <c r="AJ54" i="3"/>
  <c r="AB54" i="3"/>
  <c r="T54" i="3"/>
  <c r="L54" i="3"/>
  <c r="D54" i="3"/>
  <c r="AS53" i="3"/>
  <c r="AK53" i="3"/>
  <c r="AC53" i="3"/>
  <c r="U53" i="3"/>
  <c r="M53" i="3"/>
  <c r="E53" i="3"/>
  <c r="AT52" i="3"/>
  <c r="AL52" i="3"/>
  <c r="AD52" i="3"/>
  <c r="V52" i="3"/>
  <c r="N52" i="3"/>
  <c r="F52" i="3"/>
  <c r="AU51" i="3"/>
  <c r="AM51" i="3"/>
  <c r="AE51" i="3"/>
  <c r="W51" i="3"/>
  <c r="O51" i="3"/>
  <c r="G51" i="3"/>
  <c r="AV50" i="3"/>
  <c r="AN50" i="3"/>
  <c r="AF50" i="3"/>
  <c r="X50" i="3"/>
  <c r="P50" i="3"/>
  <c r="H50" i="3"/>
  <c r="AW49" i="3"/>
  <c r="AO49" i="3"/>
  <c r="AG49" i="3"/>
  <c r="Y49" i="3"/>
  <c r="Q49" i="3"/>
  <c r="I49" i="3"/>
  <c r="AX48" i="3"/>
  <c r="AP48" i="3"/>
  <c r="AH48" i="3"/>
  <c r="Z48" i="3"/>
  <c r="R48" i="3"/>
  <c r="J48" i="3"/>
  <c r="AY47" i="3"/>
  <c r="AQ47" i="3"/>
  <c r="AI47" i="3"/>
  <c r="AA47" i="3"/>
  <c r="S47" i="3"/>
  <c r="K47" i="3"/>
  <c r="AZ46" i="3"/>
  <c r="AR46" i="3"/>
  <c r="AJ46" i="3"/>
  <c r="AB46" i="3"/>
  <c r="T46" i="3"/>
  <c r="L46" i="3"/>
  <c r="D46" i="3"/>
  <c r="AS45" i="3"/>
  <c r="AK45" i="3"/>
  <c r="AC45" i="3"/>
  <c r="U45" i="3"/>
  <c r="M45" i="3"/>
  <c r="E45" i="3"/>
  <c r="AJ53" i="3"/>
  <c r="AB53" i="3"/>
  <c r="T53" i="3"/>
  <c r="L53" i="3"/>
  <c r="D53" i="3"/>
  <c r="AS52" i="3"/>
  <c r="AK52" i="3"/>
  <c r="AC52" i="3"/>
  <c r="U52" i="3"/>
  <c r="M52" i="3"/>
  <c r="E52" i="3"/>
  <c r="AT51" i="3"/>
  <c r="AL51" i="3"/>
  <c r="AD51" i="3"/>
  <c r="V51" i="3"/>
  <c r="N51" i="3"/>
  <c r="F51" i="3"/>
  <c r="AU50" i="3"/>
  <c r="AM50" i="3"/>
  <c r="AE50" i="3"/>
  <c r="W50" i="3"/>
  <c r="O50" i="3"/>
  <c r="G50" i="3"/>
  <c r="AV49" i="3"/>
  <c r="AN49" i="3"/>
  <c r="AF49" i="3"/>
  <c r="X49" i="3"/>
  <c r="P49" i="3"/>
  <c r="H49" i="3"/>
  <c r="AW48" i="3"/>
  <c r="AO48" i="3"/>
  <c r="AG48" i="3"/>
  <c r="Y48" i="3"/>
  <c r="Q48" i="3"/>
  <c r="I48" i="3"/>
  <c r="AX47" i="3"/>
  <c r="AP47" i="3"/>
  <c r="AH47" i="3"/>
  <c r="Z47" i="3"/>
  <c r="R47" i="3"/>
  <c r="J47" i="3"/>
  <c r="AY46" i="3"/>
  <c r="AQ46" i="3"/>
  <c r="AI46" i="3"/>
  <c r="AA46" i="3"/>
  <c r="S46" i="3"/>
  <c r="K46" i="3"/>
  <c r="AZ45" i="3"/>
  <c r="AR45" i="3"/>
  <c r="AJ45" i="3"/>
  <c r="AB45" i="3"/>
  <c r="T45" i="3"/>
  <c r="L45" i="3"/>
  <c r="D45" i="3"/>
  <c r="C53" i="3"/>
  <c r="C47" i="3"/>
  <c r="C61" i="3"/>
  <c r="C60" i="3"/>
  <c r="C52" i="3"/>
  <c r="C59" i="3"/>
  <c r="C51" i="3"/>
  <c r="C58" i="3"/>
  <c r="C50" i="3"/>
  <c r="C57" i="3"/>
  <c r="C49" i="3"/>
  <c r="C56" i="3"/>
  <c r="C48" i="3"/>
  <c r="C55" i="3"/>
  <c r="C54" i="3"/>
  <c r="C46" i="3"/>
  <c r="C45" i="3"/>
  <c r="AH33" i="3"/>
  <c r="AT40" i="3"/>
  <c r="AL40" i="3"/>
  <c r="AD40" i="3"/>
  <c r="V40" i="3"/>
  <c r="N40" i="3"/>
  <c r="F40" i="3"/>
  <c r="AU39" i="3"/>
  <c r="AM39" i="3"/>
  <c r="AE39" i="3"/>
  <c r="W39" i="3"/>
  <c r="O39" i="3"/>
  <c r="G39" i="3"/>
  <c r="AV38" i="3"/>
  <c r="AN38" i="3"/>
  <c r="AF38" i="3"/>
  <c r="X38" i="3"/>
  <c r="P38" i="3"/>
  <c r="H38" i="3"/>
  <c r="M37" i="3"/>
  <c r="X35" i="3"/>
  <c r="AF34" i="3"/>
  <c r="AQ32" i="3"/>
  <c r="AY31" i="3"/>
  <c r="M30" i="3"/>
  <c r="U29" i="3"/>
  <c r="AF27" i="3"/>
  <c r="AN26" i="3"/>
  <c r="AY24" i="3"/>
  <c r="O36" i="3"/>
  <c r="AP25" i="3"/>
  <c r="E40" i="3"/>
  <c r="F39" i="3"/>
  <c r="W38" i="3"/>
  <c r="AZ30" i="3"/>
  <c r="N29" i="3"/>
  <c r="V28" i="3"/>
  <c r="AT37" i="3"/>
  <c r="E37" i="3"/>
  <c r="P35" i="3"/>
  <c r="X34" i="3"/>
  <c r="AI32" i="3"/>
  <c r="AQ31" i="3"/>
  <c r="E30" i="3"/>
  <c r="M29" i="3"/>
  <c r="X27" i="3"/>
  <c r="AF26" i="3"/>
  <c r="AQ24" i="3"/>
  <c r="AE27" i="3"/>
  <c r="N39" i="3"/>
  <c r="AG26" i="3"/>
  <c r="AZ40" i="3"/>
  <c r="AJ40" i="3"/>
  <c r="T40" i="3"/>
  <c r="L40" i="3"/>
  <c r="D40" i="3"/>
  <c r="AS39" i="3"/>
  <c r="AK39" i="3"/>
  <c r="AC39" i="3"/>
  <c r="U39" i="3"/>
  <c r="M39" i="3"/>
  <c r="E39" i="3"/>
  <c r="AT38" i="3"/>
  <c r="AL38" i="3"/>
  <c r="AD38" i="3"/>
  <c r="V38" i="3"/>
  <c r="N38" i="3"/>
  <c r="F38" i="3"/>
  <c r="AS37" i="3"/>
  <c r="G36" i="3"/>
  <c r="O35" i="3"/>
  <c r="Z33" i="3"/>
  <c r="AH32" i="3"/>
  <c r="AS30" i="3"/>
  <c r="D30" i="3"/>
  <c r="O28" i="3"/>
  <c r="W27" i="3"/>
  <c r="AH25" i="3"/>
  <c r="AP24" i="3"/>
  <c r="AC40" i="3"/>
  <c r="AO25" i="3"/>
  <c r="AR40" i="3"/>
  <c r="AB40" i="3"/>
  <c r="AU36" i="3"/>
  <c r="F36" i="3"/>
  <c r="Q34" i="3"/>
  <c r="Y33" i="3"/>
  <c r="AJ31" i="3"/>
  <c r="AR30" i="3"/>
  <c r="F29" i="3"/>
  <c r="N28" i="3"/>
  <c r="Y26" i="3"/>
  <c r="AG25" i="3"/>
  <c r="AA40" i="3"/>
  <c r="D39" i="3"/>
  <c r="AS38" i="3"/>
  <c r="AC38" i="3"/>
  <c r="M38" i="3"/>
  <c r="E38" i="3"/>
  <c r="AL37" i="3"/>
  <c r="AT36" i="3"/>
  <c r="H35" i="3"/>
  <c r="P34" i="3"/>
  <c r="AA32" i="3"/>
  <c r="AI31" i="3"/>
  <c r="AT29" i="3"/>
  <c r="E29" i="3"/>
  <c r="P27" i="3"/>
  <c r="X26" i="3"/>
  <c r="AI24" i="3"/>
  <c r="AK40" i="3"/>
  <c r="V39" i="3"/>
  <c r="AE38" i="3"/>
  <c r="AR39" i="3"/>
  <c r="U38" i="3"/>
  <c r="AK37" i="3"/>
  <c r="AV35" i="3"/>
  <c r="G35" i="3"/>
  <c r="R33" i="3"/>
  <c r="Z32" i="3"/>
  <c r="AK30" i="3"/>
  <c r="AS29" i="3"/>
  <c r="G28" i="3"/>
  <c r="O27" i="3"/>
  <c r="Z25" i="3"/>
  <c r="AH24" i="3"/>
  <c r="L30" i="3"/>
  <c r="AD39" i="3"/>
  <c r="F37" i="3"/>
  <c r="K40" i="3"/>
  <c r="L39" i="3"/>
  <c r="AK38" i="3"/>
  <c r="AX40" i="3"/>
  <c r="AP40" i="3"/>
  <c r="AH40" i="3"/>
  <c r="Z40" i="3"/>
  <c r="R40" i="3"/>
  <c r="J40" i="3"/>
  <c r="AY39" i="3"/>
  <c r="AQ39" i="3"/>
  <c r="AI39" i="3"/>
  <c r="AA39" i="3"/>
  <c r="S39" i="3"/>
  <c r="K39" i="3"/>
  <c r="AZ38" i="3"/>
  <c r="AR38" i="3"/>
  <c r="AJ38" i="3"/>
  <c r="AB38" i="3"/>
  <c r="T38" i="3"/>
  <c r="L38" i="3"/>
  <c r="D38" i="3"/>
  <c r="AM36" i="3"/>
  <c r="AU35" i="3"/>
  <c r="I34" i="3"/>
  <c r="Q33" i="3"/>
  <c r="AB31" i="3"/>
  <c r="AJ30" i="3"/>
  <c r="AU28" i="3"/>
  <c r="F28" i="3"/>
  <c r="Q26" i="3"/>
  <c r="Y25" i="3"/>
  <c r="O38" i="3"/>
  <c r="AW34" i="3"/>
  <c r="H34" i="3"/>
  <c r="S32" i="3"/>
  <c r="AA31" i="3"/>
  <c r="AL29" i="3"/>
  <c r="AT28" i="3"/>
  <c r="H27" i="3"/>
  <c r="P26" i="3"/>
  <c r="AA24" i="3"/>
  <c r="AX24" i="3"/>
  <c r="U40" i="3"/>
  <c r="AU38" i="3"/>
  <c r="AR31" i="3"/>
  <c r="AZ39" i="3"/>
  <c r="AL36" i="3"/>
  <c r="AO40" i="3"/>
  <c r="AG40" i="3"/>
  <c r="Y40" i="3"/>
  <c r="Q40" i="3"/>
  <c r="I40" i="3"/>
  <c r="AX39" i="3"/>
  <c r="AP39" i="3"/>
  <c r="AH39" i="3"/>
  <c r="Z39" i="3"/>
  <c r="R39" i="3"/>
  <c r="J39" i="3"/>
  <c r="AY38" i="3"/>
  <c r="AQ38" i="3"/>
  <c r="AI38" i="3"/>
  <c r="AA38" i="3"/>
  <c r="S38" i="3"/>
  <c r="K38" i="3"/>
  <c r="AZ37" i="3"/>
  <c r="AC37" i="3"/>
  <c r="AN35" i="3"/>
  <c r="AV34" i="3"/>
  <c r="J33" i="3"/>
  <c r="R32" i="3"/>
  <c r="AC30" i="3"/>
  <c r="AK29" i="3"/>
  <c r="AV27" i="3"/>
  <c r="G27" i="3"/>
  <c r="R25" i="3"/>
  <c r="Z24" i="3"/>
  <c r="W35" i="3"/>
  <c r="M40" i="3"/>
  <c r="AM38" i="3"/>
  <c r="AG33" i="3"/>
  <c r="AI40" i="3"/>
  <c r="AJ39" i="3"/>
  <c r="AW40" i="3"/>
  <c r="AE36" i="3"/>
  <c r="AM35" i="3"/>
  <c r="AX33" i="3"/>
  <c r="I33" i="3"/>
  <c r="T31" i="3"/>
  <c r="AB30" i="3"/>
  <c r="AM28" i="3"/>
  <c r="AU27" i="3"/>
  <c r="I26" i="3"/>
  <c r="Q25" i="3"/>
  <c r="W28" i="3"/>
  <c r="AL39" i="3"/>
  <c r="N36" i="3"/>
  <c r="AQ40" i="3"/>
  <c r="AB39" i="3"/>
  <c r="AD37" i="3"/>
  <c r="AN40" i="3"/>
  <c r="AF40" i="3"/>
  <c r="X40" i="3"/>
  <c r="P40" i="3"/>
  <c r="H40" i="3"/>
  <c r="AW39" i="3"/>
  <c r="AO39" i="3"/>
  <c r="AG39" i="3"/>
  <c r="Y39" i="3"/>
  <c r="Q39" i="3"/>
  <c r="I39" i="3"/>
  <c r="AX38" i="3"/>
  <c r="AP38" i="3"/>
  <c r="AH38" i="3"/>
  <c r="Z38" i="3"/>
  <c r="R38" i="3"/>
  <c r="J38" i="3"/>
  <c r="V37" i="3"/>
  <c r="AD36" i="3"/>
  <c r="AO34" i="3"/>
  <c r="AW33" i="3"/>
  <c r="K32" i="3"/>
  <c r="S31" i="3"/>
  <c r="AD29" i="3"/>
  <c r="AL28" i="3"/>
  <c r="AW26" i="3"/>
  <c r="H26" i="3"/>
  <c r="S24" i="3"/>
  <c r="D31" i="3"/>
  <c r="AT39" i="3"/>
  <c r="G38" i="3"/>
  <c r="AY40" i="3"/>
  <c r="T39" i="3"/>
  <c r="AV40" i="3"/>
  <c r="AX37" i="3"/>
  <c r="U37" i="3"/>
  <c r="AF35" i="3"/>
  <c r="AN34" i="3"/>
  <c r="AY32" i="3"/>
  <c r="J32" i="3"/>
  <c r="U30" i="3"/>
  <c r="AC29" i="3"/>
  <c r="AN27" i="3"/>
  <c r="AV26" i="3"/>
  <c r="J25" i="3"/>
  <c r="R24" i="3"/>
  <c r="AP32" i="3"/>
  <c r="AS40" i="3"/>
  <c r="Y34" i="3"/>
  <c r="S40" i="3"/>
  <c r="AU40" i="3"/>
  <c r="AM40" i="3"/>
  <c r="AE40" i="3"/>
  <c r="W40" i="3"/>
  <c r="O40" i="3"/>
  <c r="G40" i="3"/>
  <c r="AV39" i="3"/>
  <c r="AN39" i="3"/>
  <c r="AF39" i="3"/>
  <c r="X39" i="3"/>
  <c r="P39" i="3"/>
  <c r="H39" i="3"/>
  <c r="AW38" i="3"/>
  <c r="AO38" i="3"/>
  <c r="AG38" i="3"/>
  <c r="Y38" i="3"/>
  <c r="Q38" i="3"/>
  <c r="I38" i="3"/>
  <c r="W36" i="3"/>
  <c r="AE35" i="3"/>
  <c r="AP33" i="3"/>
  <c r="AX32" i="3"/>
  <c r="L31" i="3"/>
  <c r="T30" i="3"/>
  <c r="AE28" i="3"/>
  <c r="AM27" i="3"/>
  <c r="AX25" i="3"/>
  <c r="I25" i="3"/>
  <c r="AW37" i="3"/>
  <c r="N37" i="3"/>
  <c r="V36" i="3"/>
  <c r="AG34" i="3"/>
  <c r="AO33" i="3"/>
  <c r="AZ31" i="3"/>
  <c r="K31" i="3"/>
  <c r="V29" i="3"/>
  <c r="AD28" i="3"/>
  <c r="AO26" i="3"/>
  <c r="AW25" i="3"/>
  <c r="K24" i="3"/>
  <c r="J24" i="3"/>
  <c r="AR37" i="3"/>
  <c r="AJ37" i="3"/>
  <c r="AB37" i="3"/>
  <c r="T37" i="3"/>
  <c r="L37" i="3"/>
  <c r="D37" i="3"/>
  <c r="AS36" i="3"/>
  <c r="AK36" i="3"/>
  <c r="AC36" i="3"/>
  <c r="U36" i="3"/>
  <c r="M36" i="3"/>
  <c r="E36" i="3"/>
  <c r="AT35" i="3"/>
  <c r="AL35" i="3"/>
  <c r="AD35" i="3"/>
  <c r="V35" i="3"/>
  <c r="N35" i="3"/>
  <c r="F35" i="3"/>
  <c r="AU34" i="3"/>
  <c r="AM34" i="3"/>
  <c r="AE34" i="3"/>
  <c r="W34" i="3"/>
  <c r="O34" i="3"/>
  <c r="G34" i="3"/>
  <c r="AV33" i="3"/>
  <c r="AN33" i="3"/>
  <c r="AF33" i="3"/>
  <c r="X33" i="3"/>
  <c r="P33" i="3"/>
  <c r="H33" i="3"/>
  <c r="AW32" i="3"/>
  <c r="AO32" i="3"/>
  <c r="AG32" i="3"/>
  <c r="Y32" i="3"/>
  <c r="Q32" i="3"/>
  <c r="I32" i="3"/>
  <c r="AX31" i="3"/>
  <c r="AP31" i="3"/>
  <c r="AH31" i="3"/>
  <c r="Z31" i="3"/>
  <c r="R31" i="3"/>
  <c r="J31" i="3"/>
  <c r="AY30" i="3"/>
  <c r="AQ30" i="3"/>
  <c r="AI30" i="3"/>
  <c r="AA30" i="3"/>
  <c r="S30" i="3"/>
  <c r="K30" i="3"/>
  <c r="AZ29" i="3"/>
  <c r="AR29" i="3"/>
  <c r="AJ29" i="3"/>
  <c r="AB29" i="3"/>
  <c r="T29" i="3"/>
  <c r="L29" i="3"/>
  <c r="D29" i="3"/>
  <c r="AS28" i="3"/>
  <c r="AK28" i="3"/>
  <c r="AC28" i="3"/>
  <c r="U28" i="3"/>
  <c r="M28" i="3"/>
  <c r="E28" i="3"/>
  <c r="AT27" i="3"/>
  <c r="AL27" i="3"/>
  <c r="AD27" i="3"/>
  <c r="V27" i="3"/>
  <c r="N27" i="3"/>
  <c r="F27" i="3"/>
  <c r="AU26" i="3"/>
  <c r="AM26" i="3"/>
  <c r="AE26" i="3"/>
  <c r="W26" i="3"/>
  <c r="O26" i="3"/>
  <c r="G26" i="3"/>
  <c r="AV25" i="3"/>
  <c r="AN25" i="3"/>
  <c r="AF25" i="3"/>
  <c r="X25" i="3"/>
  <c r="P25" i="3"/>
  <c r="H25" i="3"/>
  <c r="AW24" i="3"/>
  <c r="AO24" i="3"/>
  <c r="AG24" i="3"/>
  <c r="Y24" i="3"/>
  <c r="Q24" i="3"/>
  <c r="I24" i="3"/>
  <c r="AY37" i="3"/>
  <c r="AQ37" i="3"/>
  <c r="AI37" i="3"/>
  <c r="AA37" i="3"/>
  <c r="S37" i="3"/>
  <c r="K37" i="3"/>
  <c r="AZ36" i="3"/>
  <c r="AR36" i="3"/>
  <c r="AJ36" i="3"/>
  <c r="AB36" i="3"/>
  <c r="T36" i="3"/>
  <c r="L36" i="3"/>
  <c r="D36" i="3"/>
  <c r="AS35" i="3"/>
  <c r="AK35" i="3"/>
  <c r="AC35" i="3"/>
  <c r="U35" i="3"/>
  <c r="M35" i="3"/>
  <c r="E35" i="3"/>
  <c r="AT34" i="3"/>
  <c r="AL34" i="3"/>
  <c r="AD34" i="3"/>
  <c r="V34" i="3"/>
  <c r="N34" i="3"/>
  <c r="F34" i="3"/>
  <c r="AU33" i="3"/>
  <c r="AM33" i="3"/>
  <c r="AE33" i="3"/>
  <c r="W33" i="3"/>
  <c r="O33" i="3"/>
  <c r="G33" i="3"/>
  <c r="AV32" i="3"/>
  <c r="AN32" i="3"/>
  <c r="AF32" i="3"/>
  <c r="X32" i="3"/>
  <c r="P32" i="3"/>
  <c r="H32" i="3"/>
  <c r="AW31" i="3"/>
  <c r="AO31" i="3"/>
  <c r="AG31" i="3"/>
  <c r="Y31" i="3"/>
  <c r="Q31" i="3"/>
  <c r="I31" i="3"/>
  <c r="AX30" i="3"/>
  <c r="AP30" i="3"/>
  <c r="AH30" i="3"/>
  <c r="Z30" i="3"/>
  <c r="R30" i="3"/>
  <c r="J30" i="3"/>
  <c r="AY29" i="3"/>
  <c r="AQ29" i="3"/>
  <c r="AI29" i="3"/>
  <c r="AA29" i="3"/>
  <c r="S29" i="3"/>
  <c r="K29" i="3"/>
  <c r="AZ28" i="3"/>
  <c r="AR28" i="3"/>
  <c r="AJ28" i="3"/>
  <c r="AB28" i="3"/>
  <c r="T28" i="3"/>
  <c r="L28" i="3"/>
  <c r="D28" i="3"/>
  <c r="AS27" i="3"/>
  <c r="AK27" i="3"/>
  <c r="AC27" i="3"/>
  <c r="U27" i="3"/>
  <c r="M27" i="3"/>
  <c r="E27" i="3"/>
  <c r="AT26" i="3"/>
  <c r="AL26" i="3"/>
  <c r="AD26" i="3"/>
  <c r="V26" i="3"/>
  <c r="N26" i="3"/>
  <c r="F26" i="3"/>
  <c r="AU25" i="3"/>
  <c r="AM25" i="3"/>
  <c r="AE25" i="3"/>
  <c r="W25" i="3"/>
  <c r="O25" i="3"/>
  <c r="G25" i="3"/>
  <c r="AV24" i="3"/>
  <c r="AN24" i="3"/>
  <c r="AF24" i="3"/>
  <c r="X24" i="3"/>
  <c r="P24" i="3"/>
  <c r="H24" i="3"/>
  <c r="AP37" i="3"/>
  <c r="AH37" i="3"/>
  <c r="Z37" i="3"/>
  <c r="R37" i="3"/>
  <c r="J37" i="3"/>
  <c r="AY36" i="3"/>
  <c r="AQ36" i="3"/>
  <c r="AI36" i="3"/>
  <c r="AA36" i="3"/>
  <c r="S36" i="3"/>
  <c r="K36" i="3"/>
  <c r="AZ35" i="3"/>
  <c r="AR35" i="3"/>
  <c r="AJ35" i="3"/>
  <c r="AB35" i="3"/>
  <c r="T35" i="3"/>
  <c r="L35" i="3"/>
  <c r="D35" i="3"/>
  <c r="AS34" i="3"/>
  <c r="AK34" i="3"/>
  <c r="AC34" i="3"/>
  <c r="U34" i="3"/>
  <c r="M34" i="3"/>
  <c r="E34" i="3"/>
  <c r="AT33" i="3"/>
  <c r="AL33" i="3"/>
  <c r="AD33" i="3"/>
  <c r="V33" i="3"/>
  <c r="N33" i="3"/>
  <c r="F33" i="3"/>
  <c r="AU32" i="3"/>
  <c r="AM32" i="3"/>
  <c r="AE32" i="3"/>
  <c r="W32" i="3"/>
  <c r="O32" i="3"/>
  <c r="G32" i="3"/>
  <c r="AV31" i="3"/>
  <c r="AN31" i="3"/>
  <c r="AF31" i="3"/>
  <c r="X31" i="3"/>
  <c r="P31" i="3"/>
  <c r="H31" i="3"/>
  <c r="AW30" i="3"/>
  <c r="AO30" i="3"/>
  <c r="AG30" i="3"/>
  <c r="Y30" i="3"/>
  <c r="Q30" i="3"/>
  <c r="I30" i="3"/>
  <c r="AX29" i="3"/>
  <c r="AP29" i="3"/>
  <c r="AH29" i="3"/>
  <c r="Z29" i="3"/>
  <c r="R29" i="3"/>
  <c r="J29" i="3"/>
  <c r="AY28" i="3"/>
  <c r="AQ28" i="3"/>
  <c r="AI28" i="3"/>
  <c r="AA28" i="3"/>
  <c r="S28" i="3"/>
  <c r="K28" i="3"/>
  <c r="AZ27" i="3"/>
  <c r="AR27" i="3"/>
  <c r="AJ27" i="3"/>
  <c r="AB27" i="3"/>
  <c r="T27" i="3"/>
  <c r="L27" i="3"/>
  <c r="D27" i="3"/>
  <c r="AS26" i="3"/>
  <c r="AK26" i="3"/>
  <c r="AC26" i="3"/>
  <c r="U26" i="3"/>
  <c r="M26" i="3"/>
  <c r="E26" i="3"/>
  <c r="AT25" i="3"/>
  <c r="AL25" i="3"/>
  <c r="AD25" i="3"/>
  <c r="V25" i="3"/>
  <c r="N25" i="3"/>
  <c r="F25" i="3"/>
  <c r="AU24" i="3"/>
  <c r="AM24" i="3"/>
  <c r="AE24" i="3"/>
  <c r="W24" i="3"/>
  <c r="O24" i="3"/>
  <c r="G24" i="3"/>
  <c r="AO37" i="3"/>
  <c r="AG37" i="3"/>
  <c r="Y37" i="3"/>
  <c r="Q37" i="3"/>
  <c r="I37" i="3"/>
  <c r="AX36" i="3"/>
  <c r="AP36" i="3"/>
  <c r="AH36" i="3"/>
  <c r="Z36" i="3"/>
  <c r="R36" i="3"/>
  <c r="J36" i="3"/>
  <c r="AY35" i="3"/>
  <c r="AQ35" i="3"/>
  <c r="AI35" i="3"/>
  <c r="AA35" i="3"/>
  <c r="S35" i="3"/>
  <c r="K35" i="3"/>
  <c r="AZ34" i="3"/>
  <c r="AR34" i="3"/>
  <c r="AJ34" i="3"/>
  <c r="AB34" i="3"/>
  <c r="T34" i="3"/>
  <c r="L34" i="3"/>
  <c r="D34" i="3"/>
  <c r="AS33" i="3"/>
  <c r="AK33" i="3"/>
  <c r="AC33" i="3"/>
  <c r="U33" i="3"/>
  <c r="M33" i="3"/>
  <c r="E33" i="3"/>
  <c r="AT32" i="3"/>
  <c r="AL32" i="3"/>
  <c r="AD32" i="3"/>
  <c r="V32" i="3"/>
  <c r="N32" i="3"/>
  <c r="F32" i="3"/>
  <c r="AU31" i="3"/>
  <c r="AM31" i="3"/>
  <c r="AE31" i="3"/>
  <c r="W31" i="3"/>
  <c r="O31" i="3"/>
  <c r="G31" i="3"/>
  <c r="AV30" i="3"/>
  <c r="AN30" i="3"/>
  <c r="AF30" i="3"/>
  <c r="X30" i="3"/>
  <c r="P30" i="3"/>
  <c r="H30" i="3"/>
  <c r="AW29" i="3"/>
  <c r="AO29" i="3"/>
  <c r="AG29" i="3"/>
  <c r="Y29" i="3"/>
  <c r="Q29" i="3"/>
  <c r="I29" i="3"/>
  <c r="AX28" i="3"/>
  <c r="AP28" i="3"/>
  <c r="AH28" i="3"/>
  <c r="Z28" i="3"/>
  <c r="R28" i="3"/>
  <c r="J28" i="3"/>
  <c r="AY27" i="3"/>
  <c r="AQ27" i="3"/>
  <c r="AI27" i="3"/>
  <c r="AA27" i="3"/>
  <c r="S27" i="3"/>
  <c r="K27" i="3"/>
  <c r="AZ26" i="3"/>
  <c r="AR26" i="3"/>
  <c r="AJ26" i="3"/>
  <c r="AB26" i="3"/>
  <c r="T26" i="3"/>
  <c r="L26" i="3"/>
  <c r="D26" i="3"/>
  <c r="AS25" i="3"/>
  <c r="AK25" i="3"/>
  <c r="AC25" i="3"/>
  <c r="U25" i="3"/>
  <c r="M25" i="3"/>
  <c r="E25" i="3"/>
  <c r="AT24" i="3"/>
  <c r="AL24" i="3"/>
  <c r="AD24" i="3"/>
  <c r="V24" i="3"/>
  <c r="N24" i="3"/>
  <c r="F24" i="3"/>
  <c r="AV37" i="3"/>
  <c r="AN37" i="3"/>
  <c r="AF37" i="3"/>
  <c r="X37" i="3"/>
  <c r="P37" i="3"/>
  <c r="H37" i="3"/>
  <c r="AW36" i="3"/>
  <c r="AO36" i="3"/>
  <c r="AG36" i="3"/>
  <c r="Y36" i="3"/>
  <c r="Q36" i="3"/>
  <c r="I36" i="3"/>
  <c r="AX35" i="3"/>
  <c r="AP35" i="3"/>
  <c r="AH35" i="3"/>
  <c r="Z35" i="3"/>
  <c r="R35" i="3"/>
  <c r="J35" i="3"/>
  <c r="AY34" i="3"/>
  <c r="AQ34" i="3"/>
  <c r="AI34" i="3"/>
  <c r="AA34" i="3"/>
  <c r="S34" i="3"/>
  <c r="K34" i="3"/>
  <c r="AZ33" i="3"/>
  <c r="AR33" i="3"/>
  <c r="AJ33" i="3"/>
  <c r="AB33" i="3"/>
  <c r="T33" i="3"/>
  <c r="L33" i="3"/>
  <c r="D33" i="3"/>
  <c r="AS32" i="3"/>
  <c r="AK32" i="3"/>
  <c r="AC32" i="3"/>
  <c r="U32" i="3"/>
  <c r="M32" i="3"/>
  <c r="E32" i="3"/>
  <c r="AT31" i="3"/>
  <c r="AL31" i="3"/>
  <c r="AD31" i="3"/>
  <c r="V31" i="3"/>
  <c r="N31" i="3"/>
  <c r="F31" i="3"/>
  <c r="AU30" i="3"/>
  <c r="AM30" i="3"/>
  <c r="AE30" i="3"/>
  <c r="W30" i="3"/>
  <c r="O30" i="3"/>
  <c r="G30" i="3"/>
  <c r="AV29" i="3"/>
  <c r="AN29" i="3"/>
  <c r="AF29" i="3"/>
  <c r="X29" i="3"/>
  <c r="P29" i="3"/>
  <c r="H29" i="3"/>
  <c r="AW28" i="3"/>
  <c r="AO28" i="3"/>
  <c r="AG28" i="3"/>
  <c r="Y28" i="3"/>
  <c r="Q28" i="3"/>
  <c r="I28" i="3"/>
  <c r="AX27" i="3"/>
  <c r="AP27" i="3"/>
  <c r="AH27" i="3"/>
  <c r="Z27" i="3"/>
  <c r="R27" i="3"/>
  <c r="J27" i="3"/>
  <c r="AY26" i="3"/>
  <c r="AQ26" i="3"/>
  <c r="AI26" i="3"/>
  <c r="AA26" i="3"/>
  <c r="S26" i="3"/>
  <c r="K26" i="3"/>
  <c r="AZ25" i="3"/>
  <c r="AR25" i="3"/>
  <c r="AJ25" i="3"/>
  <c r="AB25" i="3"/>
  <c r="T25" i="3"/>
  <c r="L25" i="3"/>
  <c r="D25" i="3"/>
  <c r="AS24" i="3"/>
  <c r="AK24" i="3"/>
  <c r="AC24" i="3"/>
  <c r="U24" i="3"/>
  <c r="M24" i="3"/>
  <c r="E24" i="3"/>
  <c r="AU37" i="3"/>
  <c r="AM37" i="3"/>
  <c r="AE37" i="3"/>
  <c r="W37" i="3"/>
  <c r="O37" i="3"/>
  <c r="G37" i="3"/>
  <c r="AV36" i="3"/>
  <c r="AN36" i="3"/>
  <c r="AF36" i="3"/>
  <c r="X36" i="3"/>
  <c r="P36" i="3"/>
  <c r="H36" i="3"/>
  <c r="AW35" i="3"/>
  <c r="AO35" i="3"/>
  <c r="AG35" i="3"/>
  <c r="Y35" i="3"/>
  <c r="Q35" i="3"/>
  <c r="I35" i="3"/>
  <c r="AX34" i="3"/>
  <c r="AP34" i="3"/>
  <c r="AH34" i="3"/>
  <c r="Z34" i="3"/>
  <c r="R34" i="3"/>
  <c r="J34" i="3"/>
  <c r="AY33" i="3"/>
  <c r="AQ33" i="3"/>
  <c r="AI33" i="3"/>
  <c r="AA33" i="3"/>
  <c r="S33" i="3"/>
  <c r="K33" i="3"/>
  <c r="AZ32" i="3"/>
  <c r="AR32" i="3"/>
  <c r="AJ32" i="3"/>
  <c r="AB32" i="3"/>
  <c r="T32" i="3"/>
  <c r="L32" i="3"/>
  <c r="D32" i="3"/>
  <c r="AS31" i="3"/>
  <c r="AK31" i="3"/>
  <c r="AC31" i="3"/>
  <c r="U31" i="3"/>
  <c r="M31" i="3"/>
  <c r="E31" i="3"/>
  <c r="AT30" i="3"/>
  <c r="AL30" i="3"/>
  <c r="AD30" i="3"/>
  <c r="V30" i="3"/>
  <c r="N30" i="3"/>
  <c r="F30" i="3"/>
  <c r="AU29" i="3"/>
  <c r="AM29" i="3"/>
  <c r="AE29" i="3"/>
  <c r="W29" i="3"/>
  <c r="O29" i="3"/>
  <c r="G29" i="3"/>
  <c r="AV28" i="3"/>
  <c r="AN28" i="3"/>
  <c r="AF28" i="3"/>
  <c r="X28" i="3"/>
  <c r="P28" i="3"/>
  <c r="H28" i="3"/>
  <c r="AW27" i="3"/>
  <c r="AO27" i="3"/>
  <c r="AG27" i="3"/>
  <c r="Y27" i="3"/>
  <c r="Q27" i="3"/>
  <c r="I27" i="3"/>
  <c r="AX26" i="3"/>
  <c r="AP26" i="3"/>
  <c r="AH26" i="3"/>
  <c r="Z26" i="3"/>
  <c r="R26" i="3"/>
  <c r="J26" i="3"/>
  <c r="AY25" i="3"/>
  <c r="AQ25" i="3"/>
  <c r="AI25" i="3"/>
  <c r="AA25" i="3"/>
  <c r="S25" i="3"/>
  <c r="K25" i="3"/>
  <c r="AZ24" i="3"/>
  <c r="AR24" i="3"/>
  <c r="AJ24" i="3"/>
  <c r="AB24" i="3"/>
  <c r="T24" i="3"/>
  <c r="L24" i="3"/>
  <c r="D24" i="3"/>
  <c r="C40" i="3"/>
  <c r="C38" i="3"/>
  <c r="C36" i="3"/>
  <c r="C31" i="3"/>
  <c r="C30" i="3"/>
  <c r="C32" i="3"/>
  <c r="C39" i="3"/>
  <c r="C37" i="3"/>
  <c r="C29" i="3"/>
  <c r="C28" i="3"/>
  <c r="C35" i="3"/>
  <c r="C27" i="3"/>
  <c r="C34" i="3"/>
  <c r="C26" i="3"/>
  <c r="C33" i="3"/>
  <c r="C25" i="3"/>
  <c r="C24" i="3"/>
  <c r="T18" i="3"/>
  <c r="AD16" i="3"/>
  <c r="AL14" i="3"/>
  <c r="T11" i="3"/>
  <c r="R10" i="3"/>
  <c r="AX19" i="3"/>
  <c r="E16" i="3"/>
  <c r="AM14" i="3"/>
  <c r="X13" i="3"/>
  <c r="I12" i="3"/>
  <c r="U11" i="3"/>
  <c r="AS10" i="3"/>
  <c r="T10" i="3"/>
  <c r="AR9" i="3"/>
  <c r="S9" i="3"/>
  <c r="AF8" i="3"/>
  <c r="Q7" i="3"/>
  <c r="AG5" i="3"/>
  <c r="D18" i="3"/>
  <c r="AQ9" i="3"/>
  <c r="J19" i="3"/>
  <c r="AZ17" i="3"/>
  <c r="AJ17" i="3"/>
  <c r="T17" i="3"/>
  <c r="AZ16" i="3"/>
  <c r="AB16" i="3"/>
  <c r="AZ15" i="3"/>
  <c r="Y15" i="3"/>
  <c r="AW14" i="3"/>
  <c r="AK14" i="3"/>
  <c r="X14" i="3"/>
  <c r="AU13" i="3"/>
  <c r="AH13" i="3"/>
  <c r="V13" i="3"/>
  <c r="I13" i="3"/>
  <c r="AR12" i="3"/>
  <c r="AF12" i="3"/>
  <c r="S12" i="3"/>
  <c r="G12" i="3"/>
  <c r="AQ11" i="3"/>
  <c r="R11" i="3"/>
  <c r="AP10" i="3"/>
  <c r="N10" i="3"/>
  <c r="AL9" i="3"/>
  <c r="M9" i="3"/>
  <c r="V8" i="3"/>
  <c r="G7" i="3"/>
  <c r="I5" i="3"/>
  <c r="AC17" i="3"/>
  <c r="S10" i="3"/>
  <c r="AQ10" i="3"/>
  <c r="K18" i="3"/>
  <c r="AR17" i="3"/>
  <c r="AB17" i="3"/>
  <c r="L17" i="3"/>
  <c r="AN16" i="3"/>
  <c r="O16" i="3"/>
  <c r="AM15" i="3"/>
  <c r="M15" i="3"/>
  <c r="J14" i="3"/>
  <c r="AL15" i="3"/>
  <c r="W14" i="3"/>
  <c r="H13" i="3"/>
  <c r="AP11" i="3"/>
  <c r="Q11" i="3"/>
  <c r="AL10" i="3"/>
  <c r="M10" i="3"/>
  <c r="AK9" i="3"/>
  <c r="L9" i="3"/>
  <c r="P8" i="3"/>
  <c r="AX6" i="3"/>
  <c r="AX4" i="3"/>
  <c r="AI13" i="3"/>
  <c r="K17" i="3"/>
  <c r="X15" i="3"/>
  <c r="L15" i="3"/>
  <c r="AV14" i="3"/>
  <c r="AH14" i="3"/>
  <c r="V14" i="3"/>
  <c r="I14" i="3"/>
  <c r="AT13" i="3"/>
  <c r="AG13" i="3"/>
  <c r="S13" i="3"/>
  <c r="G13" i="3"/>
  <c r="AQ12" i="3"/>
  <c r="AE12" i="3"/>
  <c r="R12" i="3"/>
  <c r="D12" i="3"/>
  <c r="AO11" i="3"/>
  <c r="M11" i="3"/>
  <c r="AK10" i="3"/>
  <c r="L10" i="3"/>
  <c r="AJ9" i="3"/>
  <c r="K9" i="3"/>
  <c r="N8" i="3"/>
  <c r="AV6" i="3"/>
  <c r="AP4" i="3"/>
  <c r="AK17" i="3"/>
  <c r="AB15" i="3"/>
  <c r="AR11" i="3"/>
  <c r="AY18" i="3"/>
  <c r="M16" i="3"/>
  <c r="AU14" i="3"/>
  <c r="AF13" i="3"/>
  <c r="Q12" i="3"/>
  <c r="AK11" i="3"/>
  <c r="L11" i="3"/>
  <c r="AJ10" i="3"/>
  <c r="K10" i="3"/>
  <c r="AI9" i="3"/>
  <c r="G9" i="3"/>
  <c r="H8" i="3"/>
  <c r="AP6" i="3"/>
  <c r="AH4" i="3"/>
  <c r="AA19" i="3"/>
  <c r="L18" i="3"/>
  <c r="U17" i="3"/>
  <c r="D16" i="3"/>
  <c r="Y14" i="3"/>
  <c r="AR10" i="3"/>
  <c r="AG12" i="3"/>
  <c r="AQ18" i="3"/>
  <c r="Y18" i="3"/>
  <c r="AH17" i="3"/>
  <c r="J17" i="3"/>
  <c r="AL16" i="3"/>
  <c r="X16" i="3"/>
  <c r="L16" i="3"/>
  <c r="AV15" i="3"/>
  <c r="AJ15" i="3"/>
  <c r="W15" i="3"/>
  <c r="I15" i="3"/>
  <c r="AT14" i="3"/>
  <c r="AG14" i="3"/>
  <c r="U14" i="3"/>
  <c r="H14" i="3"/>
  <c r="AQ13" i="3"/>
  <c r="AE13" i="3"/>
  <c r="R13" i="3"/>
  <c r="F13" i="3"/>
  <c r="AP12" i="3"/>
  <c r="AB12" i="3"/>
  <c r="P12" i="3"/>
  <c r="AZ11" i="3"/>
  <c r="AJ11" i="3"/>
  <c r="K11" i="3"/>
  <c r="AI10" i="3"/>
  <c r="J10" i="3"/>
  <c r="AE9" i="3"/>
  <c r="F9" i="3"/>
  <c r="F8" i="3"/>
  <c r="AN6" i="3"/>
  <c r="Z4" i="3"/>
  <c r="Q5" i="3"/>
  <c r="V15" i="3"/>
  <c r="G14" i="3"/>
  <c r="AO12" i="3"/>
  <c r="AI11" i="3"/>
  <c r="J11" i="3"/>
  <c r="AH10" i="3"/>
  <c r="F10" i="3"/>
  <c r="AD9" i="3"/>
  <c r="E9" i="3"/>
  <c r="AW7" i="3"/>
  <c r="AH6" i="3"/>
  <c r="R4" i="3"/>
  <c r="AQ19" i="3"/>
  <c r="AZ18" i="3"/>
  <c r="M17" i="3"/>
  <c r="AN15" i="3"/>
  <c r="AW13" i="3"/>
  <c r="T12" i="3"/>
  <c r="O9" i="3"/>
  <c r="X8" i="3"/>
  <c r="R19" i="3"/>
  <c r="AW19" i="3"/>
  <c r="Q19" i="3"/>
  <c r="AH18" i="3"/>
  <c r="AY17" i="3"/>
  <c r="S17" i="3"/>
  <c r="AA16" i="3"/>
  <c r="AF19" i="3"/>
  <c r="H19" i="3"/>
  <c r="AO18" i="3"/>
  <c r="I18" i="3"/>
  <c r="AP17" i="3"/>
  <c r="Z17" i="3"/>
  <c r="AK16" i="3"/>
  <c r="AU19" i="3"/>
  <c r="AM19" i="3"/>
  <c r="AE19" i="3"/>
  <c r="W19" i="3"/>
  <c r="O19" i="3"/>
  <c r="G19" i="3"/>
  <c r="AV18" i="3"/>
  <c r="AN18" i="3"/>
  <c r="AF18" i="3"/>
  <c r="X18" i="3"/>
  <c r="P18" i="3"/>
  <c r="H18" i="3"/>
  <c r="AW17" i="3"/>
  <c r="AO17" i="3"/>
  <c r="AG17" i="3"/>
  <c r="Y17" i="3"/>
  <c r="Q17" i="3"/>
  <c r="AV16" i="3"/>
  <c r="AJ16" i="3"/>
  <c r="W16" i="3"/>
  <c r="K16" i="3"/>
  <c r="AU15" i="3"/>
  <c r="AG15" i="3"/>
  <c r="U15" i="3"/>
  <c r="H15" i="3"/>
  <c r="AS14" i="3"/>
  <c r="AF14" i="3"/>
  <c r="R14" i="3"/>
  <c r="F14" i="3"/>
  <c r="AP13" i="3"/>
  <c r="AD13" i="3"/>
  <c r="Q13" i="3"/>
  <c r="AZ12" i="3"/>
  <c r="AN12" i="3"/>
  <c r="AA12" i="3"/>
  <c r="O12" i="3"/>
  <c r="AY11" i="3"/>
  <c r="AH11" i="3"/>
  <c r="I11" i="3"/>
  <c r="AD10" i="3"/>
  <c r="E10" i="3"/>
  <c r="AC9" i="3"/>
  <c r="D9" i="3"/>
  <c r="AU7" i="3"/>
  <c r="AF6" i="3"/>
  <c r="J4" i="3"/>
  <c r="AR18" i="3"/>
  <c r="D17" i="3"/>
  <c r="AX14" i="3"/>
  <c r="AU12" i="3"/>
  <c r="Y5" i="3"/>
  <c r="AC16" i="3"/>
  <c r="AV13" i="3"/>
  <c r="S11" i="3"/>
  <c r="Z19" i="3"/>
  <c r="AA18" i="3"/>
  <c r="Y19" i="3"/>
  <c r="R18" i="3"/>
  <c r="AI17" i="3"/>
  <c r="AK15" i="3"/>
  <c r="AN19" i="3"/>
  <c r="AW18" i="3"/>
  <c r="AG18" i="3"/>
  <c r="Q18" i="3"/>
  <c r="AX17" i="3"/>
  <c r="R17" i="3"/>
  <c r="AT15" i="3"/>
  <c r="AE14" i="3"/>
  <c r="P13" i="3"/>
  <c r="AX11" i="3"/>
  <c r="AG11" i="3"/>
  <c r="E11" i="3"/>
  <c r="AC10" i="3"/>
  <c r="D10" i="3"/>
  <c r="AB9" i="3"/>
  <c r="AZ8" i="3"/>
  <c r="AO7" i="3"/>
  <c r="Z6" i="3"/>
  <c r="AY3" i="3"/>
  <c r="K19" i="3"/>
  <c r="H12" i="3"/>
  <c r="AM9" i="3"/>
  <c r="AX18" i="3"/>
  <c r="AY16" i="3"/>
  <c r="N19" i="3"/>
  <c r="W18" i="3"/>
  <c r="AV17" i="3"/>
  <c r="AN17" i="3"/>
  <c r="AF17" i="3"/>
  <c r="X17" i="3"/>
  <c r="P17" i="3"/>
  <c r="G17" i="3"/>
  <c r="AU16" i="3"/>
  <c r="AI16" i="3"/>
  <c r="V16" i="3"/>
  <c r="H16" i="3"/>
  <c r="AS15" i="3"/>
  <c r="AF15" i="3"/>
  <c r="T15" i="3"/>
  <c r="G15" i="3"/>
  <c r="AP14" i="3"/>
  <c r="AD14" i="3"/>
  <c r="Q14" i="3"/>
  <c r="E14" i="3"/>
  <c r="AO13" i="3"/>
  <c r="AA13" i="3"/>
  <c r="O13" i="3"/>
  <c r="AY12" i="3"/>
  <c r="AM12" i="3"/>
  <c r="Z12" i="3"/>
  <c r="L12" i="3"/>
  <c r="AW11" i="3"/>
  <c r="AC11" i="3"/>
  <c r="D11" i="3"/>
  <c r="AB10" i="3"/>
  <c r="AZ9" i="3"/>
  <c r="AA9" i="3"/>
  <c r="AV8" i="3"/>
  <c r="AM7" i="3"/>
  <c r="X6" i="3"/>
  <c r="AQ3" i="3"/>
  <c r="S19" i="3"/>
  <c r="AH12" i="3"/>
  <c r="AP19" i="3"/>
  <c r="F15" i="3"/>
  <c r="AN13" i="3"/>
  <c r="Y12" i="3"/>
  <c r="AB11" i="3"/>
  <c r="AZ10" i="3"/>
  <c r="AA10" i="3"/>
  <c r="AY9" i="3"/>
  <c r="W9" i="3"/>
  <c r="AT8" i="3"/>
  <c r="AG7" i="3"/>
  <c r="P6" i="3"/>
  <c r="AI3" i="3"/>
  <c r="AI19" i="3"/>
  <c r="AS17" i="3"/>
  <c r="P16" i="3"/>
  <c r="M14" i="3"/>
  <c r="AD8" i="3"/>
  <c r="N9" i="3"/>
  <c r="AH19" i="3"/>
  <c r="S18" i="3"/>
  <c r="AG19" i="3"/>
  <c r="Z18" i="3"/>
  <c r="AQ17" i="3"/>
  <c r="N16" i="3"/>
  <c r="X19" i="3"/>
  <c r="AL19" i="3"/>
  <c r="AD19" i="3"/>
  <c r="F19" i="3"/>
  <c r="AM18" i="3"/>
  <c r="O18" i="3"/>
  <c r="AS19" i="3"/>
  <c r="AK19" i="3"/>
  <c r="AC19" i="3"/>
  <c r="U19" i="3"/>
  <c r="M19" i="3"/>
  <c r="E19" i="3"/>
  <c r="AT18" i="3"/>
  <c r="AL18" i="3"/>
  <c r="AD18" i="3"/>
  <c r="V18" i="3"/>
  <c r="N18" i="3"/>
  <c r="F18" i="3"/>
  <c r="AU17" i="3"/>
  <c r="AM17" i="3"/>
  <c r="AE17" i="3"/>
  <c r="W17" i="3"/>
  <c r="O17" i="3"/>
  <c r="F17" i="3"/>
  <c r="AT16" i="3"/>
  <c r="AF16" i="3"/>
  <c r="T16" i="3"/>
  <c r="G16" i="3"/>
  <c r="AR15" i="3"/>
  <c r="AE15" i="3"/>
  <c r="Q15" i="3"/>
  <c r="E15" i="3"/>
  <c r="AO14" i="3"/>
  <c r="AC14" i="3"/>
  <c r="P14" i="3"/>
  <c r="AY13" i="3"/>
  <c r="AM13" i="3"/>
  <c r="Z13" i="3"/>
  <c r="N13" i="3"/>
  <c r="AX12" i="3"/>
  <c r="AJ12" i="3"/>
  <c r="X12" i="3"/>
  <c r="K12" i="3"/>
  <c r="AV11" i="3"/>
  <c r="AA11" i="3"/>
  <c r="AY10" i="3"/>
  <c r="Z10" i="3"/>
  <c r="AU9" i="3"/>
  <c r="V9" i="3"/>
  <c r="AS8" i="3"/>
  <c r="AE7" i="3"/>
  <c r="H6" i="3"/>
  <c r="AA3" i="3"/>
  <c r="AY19" i="3"/>
  <c r="AJ18" i="3"/>
  <c r="AQ16" i="3"/>
  <c r="O15" i="3"/>
  <c r="W13" i="3"/>
  <c r="O7" i="3"/>
  <c r="I7" i="3"/>
  <c r="AI18" i="3"/>
  <c r="AO19" i="3"/>
  <c r="AP18" i="3"/>
  <c r="J18" i="3"/>
  <c r="AA17" i="3"/>
  <c r="AW15" i="3"/>
  <c r="AV19" i="3"/>
  <c r="P19" i="3"/>
  <c r="AT19" i="3"/>
  <c r="V19" i="3"/>
  <c r="AU18" i="3"/>
  <c r="AE18" i="3"/>
  <c r="G18" i="3"/>
  <c r="U16" i="3"/>
  <c r="AS16" i="3"/>
  <c r="AD15" i="3"/>
  <c r="O14" i="3"/>
  <c r="AW12" i="3"/>
  <c r="Z11" i="3"/>
  <c r="AX10" i="3"/>
  <c r="V10" i="3"/>
  <c r="AT9" i="3"/>
  <c r="U9" i="3"/>
  <c r="AN8" i="3"/>
  <c r="Y7" i="3"/>
  <c r="AW5" i="3"/>
  <c r="S3" i="3"/>
  <c r="AB18" i="3"/>
  <c r="J13" i="3"/>
  <c r="N15" i="3"/>
  <c r="I19" i="3"/>
  <c r="AM16" i="3"/>
  <c r="AZ19" i="3"/>
  <c r="AR19" i="3"/>
  <c r="AJ19" i="3"/>
  <c r="AB19" i="3"/>
  <c r="T19" i="3"/>
  <c r="L19" i="3"/>
  <c r="D19" i="3"/>
  <c r="AS18" i="3"/>
  <c r="AK18" i="3"/>
  <c r="AC18" i="3"/>
  <c r="U18" i="3"/>
  <c r="M18" i="3"/>
  <c r="E18" i="3"/>
  <c r="AT17" i="3"/>
  <c r="AL17" i="3"/>
  <c r="AD17" i="3"/>
  <c r="V17" i="3"/>
  <c r="N17" i="3"/>
  <c r="E17" i="3"/>
  <c r="AR16" i="3"/>
  <c r="AE16" i="3"/>
  <c r="S16" i="3"/>
  <c r="F16" i="3"/>
  <c r="AO15" i="3"/>
  <c r="AC15" i="3"/>
  <c r="P15" i="3"/>
  <c r="D15" i="3"/>
  <c r="AN14" i="3"/>
  <c r="Z14" i="3"/>
  <c r="N14" i="3"/>
  <c r="AX13" i="3"/>
  <c r="AL13" i="3"/>
  <c r="Y13" i="3"/>
  <c r="K13" i="3"/>
  <c r="AV12" i="3"/>
  <c r="AI12" i="3"/>
  <c r="W12" i="3"/>
  <c r="J12" i="3"/>
  <c r="AS11" i="3"/>
  <c r="Y11" i="3"/>
  <c r="AT10" i="3"/>
  <c r="U10" i="3"/>
  <c r="AS9" i="3"/>
  <c r="T9" i="3"/>
  <c r="AL8" i="3"/>
  <c r="W7" i="3"/>
  <c r="AO5" i="3"/>
  <c r="K3" i="3"/>
  <c r="AK8" i="3"/>
  <c r="AC8" i="3"/>
  <c r="U8" i="3"/>
  <c r="M8" i="3"/>
  <c r="E8" i="3"/>
  <c r="AT7" i="3"/>
  <c r="AL7" i="3"/>
  <c r="AD7" i="3"/>
  <c r="V7" i="3"/>
  <c r="N7" i="3"/>
  <c r="F7" i="3"/>
  <c r="AU6" i="3"/>
  <c r="AM6" i="3"/>
  <c r="AE6" i="3"/>
  <c r="W6" i="3"/>
  <c r="O6" i="3"/>
  <c r="G6" i="3"/>
  <c r="AV5" i="3"/>
  <c r="AN5" i="3"/>
  <c r="AF5" i="3"/>
  <c r="X5" i="3"/>
  <c r="P5" i="3"/>
  <c r="H5" i="3"/>
  <c r="AW4" i="3"/>
  <c r="AO4" i="3"/>
  <c r="AG4" i="3"/>
  <c r="Y4" i="3"/>
  <c r="Q4" i="3"/>
  <c r="I4" i="3"/>
  <c r="AX3" i="3"/>
  <c r="AP3" i="3"/>
  <c r="AH3" i="3"/>
  <c r="Z3" i="3"/>
  <c r="R3" i="3"/>
  <c r="J3" i="3"/>
  <c r="AR8" i="3"/>
  <c r="AJ8" i="3"/>
  <c r="AB8" i="3"/>
  <c r="T8" i="3"/>
  <c r="L8" i="3"/>
  <c r="D8" i="3"/>
  <c r="AS7" i="3"/>
  <c r="AK7" i="3"/>
  <c r="AC7" i="3"/>
  <c r="U7" i="3"/>
  <c r="M7" i="3"/>
  <c r="E7" i="3"/>
  <c r="AT6" i="3"/>
  <c r="AL6" i="3"/>
  <c r="AD6" i="3"/>
  <c r="V6" i="3"/>
  <c r="N6" i="3"/>
  <c r="F6" i="3"/>
  <c r="AU5" i="3"/>
  <c r="AM5" i="3"/>
  <c r="AE5" i="3"/>
  <c r="W5" i="3"/>
  <c r="O5" i="3"/>
  <c r="G5" i="3"/>
  <c r="AV4" i="3"/>
  <c r="AN4" i="3"/>
  <c r="AF4" i="3"/>
  <c r="X4" i="3"/>
  <c r="P4" i="3"/>
  <c r="H4" i="3"/>
  <c r="AW3" i="3"/>
  <c r="AO3" i="3"/>
  <c r="AG3" i="3"/>
  <c r="Y3" i="3"/>
  <c r="Q3" i="3"/>
  <c r="I3" i="3"/>
  <c r="AN11" i="3"/>
  <c r="AF11" i="3"/>
  <c r="X11" i="3"/>
  <c r="P11" i="3"/>
  <c r="H11" i="3"/>
  <c r="AW10" i="3"/>
  <c r="AO10" i="3"/>
  <c r="AG10" i="3"/>
  <c r="Y10" i="3"/>
  <c r="Q10" i="3"/>
  <c r="I10" i="3"/>
  <c r="AX9" i="3"/>
  <c r="AP9" i="3"/>
  <c r="AH9" i="3"/>
  <c r="Z9" i="3"/>
  <c r="R9" i="3"/>
  <c r="J9" i="3"/>
  <c r="AY8" i="3"/>
  <c r="AQ8" i="3"/>
  <c r="AI8" i="3"/>
  <c r="AA8" i="3"/>
  <c r="S8" i="3"/>
  <c r="K8" i="3"/>
  <c r="AZ7" i="3"/>
  <c r="AR7" i="3"/>
  <c r="AJ7" i="3"/>
  <c r="AB7" i="3"/>
  <c r="T7" i="3"/>
  <c r="L7" i="3"/>
  <c r="D7" i="3"/>
  <c r="AS6" i="3"/>
  <c r="AK6" i="3"/>
  <c r="AC6" i="3"/>
  <c r="U6" i="3"/>
  <c r="M6" i="3"/>
  <c r="E6" i="3"/>
  <c r="AT5" i="3"/>
  <c r="AL5" i="3"/>
  <c r="AD5" i="3"/>
  <c r="V5" i="3"/>
  <c r="N5" i="3"/>
  <c r="F5" i="3"/>
  <c r="AU4" i="3"/>
  <c r="AM4" i="3"/>
  <c r="AE4" i="3"/>
  <c r="W4" i="3"/>
  <c r="O4" i="3"/>
  <c r="G4" i="3"/>
  <c r="AV3" i="3"/>
  <c r="AN3" i="3"/>
  <c r="AF3" i="3"/>
  <c r="X3" i="3"/>
  <c r="P3" i="3"/>
  <c r="H3" i="3"/>
  <c r="I17" i="3"/>
  <c r="AX16" i="3"/>
  <c r="AP16" i="3"/>
  <c r="AH16" i="3"/>
  <c r="Z16" i="3"/>
  <c r="R16" i="3"/>
  <c r="J16" i="3"/>
  <c r="AY15" i="3"/>
  <c r="AQ15" i="3"/>
  <c r="AI15" i="3"/>
  <c r="AA15" i="3"/>
  <c r="S15" i="3"/>
  <c r="K15" i="3"/>
  <c r="AZ14" i="3"/>
  <c r="AR14" i="3"/>
  <c r="AJ14" i="3"/>
  <c r="AB14" i="3"/>
  <c r="T14" i="3"/>
  <c r="L14" i="3"/>
  <c r="D14" i="3"/>
  <c r="AS13" i="3"/>
  <c r="AK13" i="3"/>
  <c r="AC13" i="3"/>
  <c r="U13" i="3"/>
  <c r="M13" i="3"/>
  <c r="E13" i="3"/>
  <c r="AT12" i="3"/>
  <c r="AL12" i="3"/>
  <c r="AD12" i="3"/>
  <c r="V12" i="3"/>
  <c r="N12" i="3"/>
  <c r="F12" i="3"/>
  <c r="AU11" i="3"/>
  <c r="AM11" i="3"/>
  <c r="AE11" i="3"/>
  <c r="W11" i="3"/>
  <c r="O11" i="3"/>
  <c r="G11" i="3"/>
  <c r="AV10" i="3"/>
  <c r="AN10" i="3"/>
  <c r="AF10" i="3"/>
  <c r="X10" i="3"/>
  <c r="P10" i="3"/>
  <c r="H10" i="3"/>
  <c r="AW9" i="3"/>
  <c r="AO9" i="3"/>
  <c r="AG9" i="3"/>
  <c r="Y9" i="3"/>
  <c r="Q9" i="3"/>
  <c r="I9" i="3"/>
  <c r="AX8" i="3"/>
  <c r="AP8" i="3"/>
  <c r="AH8" i="3"/>
  <c r="Z8" i="3"/>
  <c r="R8" i="3"/>
  <c r="J8" i="3"/>
  <c r="AY7" i="3"/>
  <c r="AQ7" i="3"/>
  <c r="AI7" i="3"/>
  <c r="AA7" i="3"/>
  <c r="S7" i="3"/>
  <c r="K7" i="3"/>
  <c r="AZ6" i="3"/>
  <c r="AR6" i="3"/>
  <c r="AJ6" i="3"/>
  <c r="AB6" i="3"/>
  <c r="T6" i="3"/>
  <c r="L6" i="3"/>
  <c r="D6" i="3"/>
  <c r="AS5" i="3"/>
  <c r="AK5" i="3"/>
  <c r="AC5" i="3"/>
  <c r="U5" i="3"/>
  <c r="M5" i="3"/>
  <c r="E5" i="3"/>
  <c r="AT4" i="3"/>
  <c r="AL4" i="3"/>
  <c r="AD4" i="3"/>
  <c r="V4" i="3"/>
  <c r="N4" i="3"/>
  <c r="F4" i="3"/>
  <c r="AU3" i="3"/>
  <c r="AM3" i="3"/>
  <c r="AE3" i="3"/>
  <c r="W3" i="3"/>
  <c r="O3" i="3"/>
  <c r="G3" i="3"/>
  <c r="H17" i="3"/>
  <c r="AW16" i="3"/>
  <c r="AO16" i="3"/>
  <c r="AG16" i="3"/>
  <c r="Y16" i="3"/>
  <c r="Q16" i="3"/>
  <c r="I16" i="3"/>
  <c r="AX15" i="3"/>
  <c r="AP15" i="3"/>
  <c r="AH15" i="3"/>
  <c r="Z15" i="3"/>
  <c r="R15" i="3"/>
  <c r="J15" i="3"/>
  <c r="AY14" i="3"/>
  <c r="AQ14" i="3"/>
  <c r="AI14" i="3"/>
  <c r="AA14" i="3"/>
  <c r="S14" i="3"/>
  <c r="K14" i="3"/>
  <c r="AZ13" i="3"/>
  <c r="AR13" i="3"/>
  <c r="AJ13" i="3"/>
  <c r="AB13" i="3"/>
  <c r="T13" i="3"/>
  <c r="L13" i="3"/>
  <c r="D13" i="3"/>
  <c r="AS12" i="3"/>
  <c r="AK12" i="3"/>
  <c r="AC12" i="3"/>
  <c r="U12" i="3"/>
  <c r="M12" i="3"/>
  <c r="E12" i="3"/>
  <c r="AT11" i="3"/>
  <c r="AL11" i="3"/>
  <c r="AD11" i="3"/>
  <c r="V11" i="3"/>
  <c r="N11" i="3"/>
  <c r="F11" i="3"/>
  <c r="AU10" i="3"/>
  <c r="AM10" i="3"/>
  <c r="AE10" i="3"/>
  <c r="W10" i="3"/>
  <c r="O10" i="3"/>
  <c r="G10" i="3"/>
  <c r="AV9" i="3"/>
  <c r="AN9" i="3"/>
  <c r="AF9" i="3"/>
  <c r="X9" i="3"/>
  <c r="P9" i="3"/>
  <c r="H9" i="3"/>
  <c r="AW8" i="3"/>
  <c r="AO8" i="3"/>
  <c r="AG8" i="3"/>
  <c r="Y8" i="3"/>
  <c r="Q8" i="3"/>
  <c r="I8" i="3"/>
  <c r="AX7" i="3"/>
  <c r="AP7" i="3"/>
  <c r="AH7" i="3"/>
  <c r="Z7" i="3"/>
  <c r="R7" i="3"/>
  <c r="J7" i="3"/>
  <c r="AY6" i="3"/>
  <c r="AQ6" i="3"/>
  <c r="AI6" i="3"/>
  <c r="AA6" i="3"/>
  <c r="S6" i="3"/>
  <c r="K6" i="3"/>
  <c r="AZ5" i="3"/>
  <c r="AR5" i="3"/>
  <c r="AJ5" i="3"/>
  <c r="AB5" i="3"/>
  <c r="T5" i="3"/>
  <c r="L5" i="3"/>
  <c r="D5" i="3"/>
  <c r="AS4" i="3"/>
  <c r="AK4" i="3"/>
  <c r="AC4" i="3"/>
  <c r="U4" i="3"/>
  <c r="M4" i="3"/>
  <c r="E4" i="3"/>
  <c r="AT3" i="3"/>
  <c r="AL3" i="3"/>
  <c r="AD3" i="3"/>
  <c r="V3" i="3"/>
  <c r="N3" i="3"/>
  <c r="F3" i="3"/>
  <c r="R6" i="3"/>
  <c r="J6" i="3"/>
  <c r="AY5" i="3"/>
  <c r="AQ5" i="3"/>
  <c r="AI5" i="3"/>
  <c r="AA5" i="3"/>
  <c r="S5" i="3"/>
  <c r="K5" i="3"/>
  <c r="AZ4" i="3"/>
  <c r="AR4" i="3"/>
  <c r="AJ4" i="3"/>
  <c r="AB4" i="3"/>
  <c r="T4" i="3"/>
  <c r="L4" i="3"/>
  <c r="D4" i="3"/>
  <c r="AS3" i="3"/>
  <c r="AK3" i="3"/>
  <c r="AC3" i="3"/>
  <c r="U3" i="3"/>
  <c r="M3" i="3"/>
  <c r="E3" i="3"/>
  <c r="AU8" i="3"/>
  <c r="AM8" i="3"/>
  <c r="AE8" i="3"/>
  <c r="W8" i="3"/>
  <c r="O8" i="3"/>
  <c r="G8" i="3"/>
  <c r="AV7" i="3"/>
  <c r="AN7" i="3"/>
  <c r="AF7" i="3"/>
  <c r="X7" i="3"/>
  <c r="P7" i="3"/>
  <c r="H7" i="3"/>
  <c r="AW6" i="3"/>
  <c r="AO6" i="3"/>
  <c r="AG6" i="3"/>
  <c r="Y6" i="3"/>
  <c r="Q6" i="3"/>
  <c r="I6" i="3"/>
  <c r="AX5" i="3"/>
  <c r="AP5" i="3"/>
  <c r="AH5" i="3"/>
  <c r="Z5" i="3"/>
  <c r="R5" i="3"/>
  <c r="J5" i="3"/>
  <c r="AY4" i="3"/>
  <c r="AQ4" i="3"/>
  <c r="AI4" i="3"/>
  <c r="AA4" i="3"/>
  <c r="S4" i="3"/>
  <c r="K4" i="3"/>
  <c r="AZ3" i="3"/>
  <c r="AR3" i="3"/>
  <c r="AJ3" i="3"/>
  <c r="AB3" i="3"/>
  <c r="T3" i="3"/>
  <c r="L3" i="3"/>
  <c r="D3" i="3"/>
  <c r="C19" i="3"/>
  <c r="C8" i="3"/>
  <c r="C16" i="3"/>
  <c r="C18" i="3"/>
  <c r="C15" i="3"/>
  <c r="C12" i="3"/>
  <c r="C10" i="3"/>
  <c r="C9" i="3"/>
  <c r="C7" i="3"/>
  <c r="C6" i="3"/>
  <c r="C11" i="3"/>
  <c r="C17" i="3"/>
  <c r="C14" i="3"/>
  <c r="C5" i="3"/>
  <c r="C13" i="3"/>
  <c r="C4" i="3"/>
  <c r="C3" i="3"/>
  <c r="AF58" i="2"/>
  <c r="AT57" i="2"/>
  <c r="Z57" i="2"/>
  <c r="F57" i="2"/>
  <c r="V56" i="2"/>
  <c r="Z55" i="2"/>
  <c r="AF54" i="2"/>
  <c r="AR52" i="2"/>
  <c r="N50" i="2"/>
  <c r="AG47" i="2"/>
  <c r="AD60" i="2"/>
  <c r="O59" i="2"/>
  <c r="G59" i="2"/>
  <c r="AV58" i="2"/>
  <c r="AE58" i="2"/>
  <c r="N58" i="2"/>
  <c r="AS57" i="2"/>
  <c r="Y57" i="2"/>
  <c r="E57" i="2"/>
  <c r="Q56" i="2"/>
  <c r="Y55" i="2"/>
  <c r="Z54" i="2"/>
  <c r="AJ52" i="2"/>
  <c r="F50" i="2"/>
  <c r="Y47" i="2"/>
  <c r="M58" i="2"/>
  <c r="AP57" i="2"/>
  <c r="X57" i="2"/>
  <c r="AY56" i="2"/>
  <c r="P56" i="2"/>
  <c r="W55" i="2"/>
  <c r="X54" i="2"/>
  <c r="AB52" i="2"/>
  <c r="AU49" i="2"/>
  <c r="Q47" i="2"/>
  <c r="F60" i="2"/>
  <c r="AS60" i="2"/>
  <c r="AU58" i="2"/>
  <c r="R55" i="2"/>
  <c r="T52" i="2"/>
  <c r="AM49" i="2"/>
  <c r="I47" i="2"/>
  <c r="AT60" i="2"/>
  <c r="U60" i="2"/>
  <c r="AW56" i="2"/>
  <c r="AC58" i="2"/>
  <c r="I58" i="2"/>
  <c r="AN57" i="2"/>
  <c r="V57" i="2"/>
  <c r="AV56" i="2"/>
  <c r="I56" i="2"/>
  <c r="Q55" i="2"/>
  <c r="P54" i="2"/>
  <c r="L52" i="2"/>
  <c r="AE49" i="2"/>
  <c r="AX46" i="2"/>
  <c r="AL60" i="2"/>
  <c r="D61" i="2"/>
  <c r="AD58" i="2"/>
  <c r="AQ61" i="2"/>
  <c r="AB60" i="2"/>
  <c r="AS59" i="2"/>
  <c r="AK59" i="2"/>
  <c r="AC59" i="2"/>
  <c r="U59" i="2"/>
  <c r="M59" i="2"/>
  <c r="E59" i="2"/>
  <c r="AT58" i="2"/>
  <c r="AB58" i="2"/>
  <c r="H58" i="2"/>
  <c r="U57" i="2"/>
  <c r="AU56" i="2"/>
  <c r="H56" i="2"/>
  <c r="O55" i="2"/>
  <c r="J54" i="2"/>
  <c r="D52" i="2"/>
  <c r="W49" i="2"/>
  <c r="AP46" i="2"/>
  <c r="V60" i="2"/>
  <c r="AK60" i="2"/>
  <c r="F59" i="2"/>
  <c r="AJ60" i="2"/>
  <c r="AS58" i="2"/>
  <c r="Y58" i="2"/>
  <c r="G58" i="2"/>
  <c r="AM57" i="2"/>
  <c r="R57" i="2"/>
  <c r="AT56" i="2"/>
  <c r="F56" i="2"/>
  <c r="J55" i="2"/>
  <c r="H54" i="2"/>
  <c r="AS51" i="2"/>
  <c r="O49" i="2"/>
  <c r="AH46" i="2"/>
  <c r="N60" i="2"/>
  <c r="AR61" i="2"/>
  <c r="AA60" i="2"/>
  <c r="X58" i="2"/>
  <c r="AO56" i="2"/>
  <c r="AX55" i="2"/>
  <c r="I55" i="2"/>
  <c r="AY53" i="2"/>
  <c r="AK51" i="2"/>
  <c r="G49" i="2"/>
  <c r="Z46" i="2"/>
  <c r="AS61" i="2"/>
  <c r="V59" i="2"/>
  <c r="AR60" i="2"/>
  <c r="AO58" i="2"/>
  <c r="W58" i="2"/>
  <c r="F58" i="2"/>
  <c r="AK57" i="2"/>
  <c r="P57" i="2"/>
  <c r="AN56" i="2"/>
  <c r="AW55" i="2"/>
  <c r="G55" i="2"/>
  <c r="AW53" i="2"/>
  <c r="AC51" i="2"/>
  <c r="AV48" i="2"/>
  <c r="R46" i="2"/>
  <c r="U61" i="2"/>
  <c r="W59" i="2"/>
  <c r="AB61" i="2"/>
  <c r="M60" i="2"/>
  <c r="L58" i="2"/>
  <c r="AI61" i="2"/>
  <c r="T60" i="2"/>
  <c r="AX61" i="2"/>
  <c r="Z61" i="2"/>
  <c r="AY60" i="2"/>
  <c r="S60" i="2"/>
  <c r="AJ59" i="2"/>
  <c r="L59" i="2"/>
  <c r="Q57" i="2"/>
  <c r="AW61" i="2"/>
  <c r="AO61" i="2"/>
  <c r="AG61" i="2"/>
  <c r="Y61" i="2"/>
  <c r="Q61" i="2"/>
  <c r="I61" i="2"/>
  <c r="AX60" i="2"/>
  <c r="AP60" i="2"/>
  <c r="AH60" i="2"/>
  <c r="Z60" i="2"/>
  <c r="R60" i="2"/>
  <c r="J60" i="2"/>
  <c r="AY59" i="2"/>
  <c r="AQ59" i="2"/>
  <c r="AI59" i="2"/>
  <c r="AA59" i="2"/>
  <c r="S59" i="2"/>
  <c r="K59" i="2"/>
  <c r="AZ58" i="2"/>
  <c r="AN58" i="2"/>
  <c r="E58" i="2"/>
  <c r="AH57" i="2"/>
  <c r="O57" i="2"/>
  <c r="AM56" i="2"/>
  <c r="AU55" i="2"/>
  <c r="AY54" i="2"/>
  <c r="AQ53" i="2"/>
  <c r="U51" i="2"/>
  <c r="AN48" i="2"/>
  <c r="J46" i="2"/>
  <c r="AC61" i="2"/>
  <c r="AU59" i="2"/>
  <c r="AJ61" i="2"/>
  <c r="AC60" i="2"/>
  <c r="AD59" i="2"/>
  <c r="N56" i="2"/>
  <c r="S61" i="2"/>
  <c r="D60" i="2"/>
  <c r="AH61" i="2"/>
  <c r="J61" i="2"/>
  <c r="AI60" i="2"/>
  <c r="AZ59" i="2"/>
  <c r="AB59" i="2"/>
  <c r="D59" i="2"/>
  <c r="AL57" i="2"/>
  <c r="AM58" i="2"/>
  <c r="V58" i="2"/>
  <c r="D58" i="2"/>
  <c r="AG57" i="2"/>
  <c r="N57" i="2"/>
  <c r="AL56" i="2"/>
  <c r="AP55" i="2"/>
  <c r="AX54" i="2"/>
  <c r="AO53" i="2"/>
  <c r="M51" i="2"/>
  <c r="AF48" i="2"/>
  <c r="AY45" i="2"/>
  <c r="E61" i="2"/>
  <c r="AE59" i="2"/>
  <c r="T61" i="2"/>
  <c r="E60" i="2"/>
  <c r="W57" i="2"/>
  <c r="AA61" i="2"/>
  <c r="L60" i="2"/>
  <c r="AP61" i="2"/>
  <c r="R61" i="2"/>
  <c r="AQ60" i="2"/>
  <c r="K60" i="2"/>
  <c r="AR59" i="2"/>
  <c r="T59" i="2"/>
  <c r="AR58" i="2"/>
  <c r="AV61" i="2"/>
  <c r="AN61" i="2"/>
  <c r="AF61" i="2"/>
  <c r="X61" i="2"/>
  <c r="P61" i="2"/>
  <c r="H61" i="2"/>
  <c r="AW60" i="2"/>
  <c r="AO60" i="2"/>
  <c r="AG60" i="2"/>
  <c r="Y60" i="2"/>
  <c r="Q60" i="2"/>
  <c r="I60" i="2"/>
  <c r="AX59" i="2"/>
  <c r="AP59" i="2"/>
  <c r="AH59" i="2"/>
  <c r="Z59" i="2"/>
  <c r="R59" i="2"/>
  <c r="J59" i="2"/>
  <c r="AY58" i="2"/>
  <c r="U58" i="2"/>
  <c r="AX57" i="2"/>
  <c r="AF57" i="2"/>
  <c r="M57" i="2"/>
  <c r="AG56" i="2"/>
  <c r="AO55" i="2"/>
  <c r="AV54" i="2"/>
  <c r="AI53" i="2"/>
  <c r="E51" i="2"/>
  <c r="X48" i="2"/>
  <c r="AQ45" i="2"/>
  <c r="N59" i="2"/>
  <c r="AZ60" i="2"/>
  <c r="AL58" i="2"/>
  <c r="T58" i="2"/>
  <c r="AW57" i="2"/>
  <c r="J57" i="2"/>
  <c r="AF56" i="2"/>
  <c r="AM55" i="2"/>
  <c r="AQ54" i="2"/>
  <c r="AA53" i="2"/>
  <c r="AT50" i="2"/>
  <c r="P48" i="2"/>
  <c r="AI45" i="2"/>
  <c r="AZ61" i="2"/>
  <c r="AO57" i="2"/>
  <c r="K61" i="2"/>
  <c r="AU61" i="2"/>
  <c r="AM61" i="2"/>
  <c r="AE61" i="2"/>
  <c r="W61" i="2"/>
  <c r="O61" i="2"/>
  <c r="G61" i="2"/>
  <c r="AV60" i="2"/>
  <c r="AN60" i="2"/>
  <c r="AF60" i="2"/>
  <c r="X60" i="2"/>
  <c r="P60" i="2"/>
  <c r="H60" i="2"/>
  <c r="AW59" i="2"/>
  <c r="AO59" i="2"/>
  <c r="AG59" i="2"/>
  <c r="Y59" i="2"/>
  <c r="Q59" i="2"/>
  <c r="I59" i="2"/>
  <c r="AX58" i="2"/>
  <c r="AK58" i="2"/>
  <c r="Q58" i="2"/>
  <c r="AV57" i="2"/>
  <c r="AE57" i="2"/>
  <c r="I57" i="2"/>
  <c r="AD56" i="2"/>
  <c r="AH55" i="2"/>
  <c r="AP54" i="2"/>
  <c r="S53" i="2"/>
  <c r="AL50" i="2"/>
  <c r="H48" i="2"/>
  <c r="AA45" i="2"/>
  <c r="AK61" i="2"/>
  <c r="AT59" i="2"/>
  <c r="Y56" i="2"/>
  <c r="AN54" i="2"/>
  <c r="K53" i="2"/>
  <c r="AD50" i="2"/>
  <c r="AW47" i="2"/>
  <c r="S45" i="2"/>
  <c r="M61" i="2"/>
  <c r="AM59" i="2"/>
  <c r="L61" i="2"/>
  <c r="AL59" i="2"/>
  <c r="R54" i="2"/>
  <c r="AY61" i="2"/>
  <c r="AJ58" i="2"/>
  <c r="P58" i="2"/>
  <c r="AD57" i="2"/>
  <c r="H57" i="2"/>
  <c r="AG55" i="2"/>
  <c r="AT61" i="2"/>
  <c r="AL61" i="2"/>
  <c r="AD61" i="2"/>
  <c r="V61" i="2"/>
  <c r="N61" i="2"/>
  <c r="F61" i="2"/>
  <c r="AU60" i="2"/>
  <c r="AM60" i="2"/>
  <c r="AE60" i="2"/>
  <c r="W60" i="2"/>
  <c r="O60" i="2"/>
  <c r="G60" i="2"/>
  <c r="AV59" i="2"/>
  <c r="AN59" i="2"/>
  <c r="AF59" i="2"/>
  <c r="X59" i="2"/>
  <c r="P59" i="2"/>
  <c r="H59" i="2"/>
  <c r="AW58" i="2"/>
  <c r="AG58" i="2"/>
  <c r="O58" i="2"/>
  <c r="AU57" i="2"/>
  <c r="AC57" i="2"/>
  <c r="G57" i="2"/>
  <c r="X56" i="2"/>
  <c r="AE55" i="2"/>
  <c r="AH54" i="2"/>
  <c r="AZ52" i="2"/>
  <c r="V50" i="2"/>
  <c r="AO47" i="2"/>
  <c r="K45" i="2"/>
  <c r="AE56" i="2"/>
  <c r="W56" i="2"/>
  <c r="O56" i="2"/>
  <c r="G56" i="2"/>
  <c r="AV55" i="2"/>
  <c r="AN55" i="2"/>
  <c r="AF55" i="2"/>
  <c r="X55" i="2"/>
  <c r="P55" i="2"/>
  <c r="H55" i="2"/>
  <c r="AW54" i="2"/>
  <c r="AO54" i="2"/>
  <c r="AG54" i="2"/>
  <c r="Y54" i="2"/>
  <c r="Q54" i="2"/>
  <c r="I54" i="2"/>
  <c r="AX53" i="2"/>
  <c r="AP53" i="2"/>
  <c r="AH53" i="2"/>
  <c r="Z53" i="2"/>
  <c r="R53" i="2"/>
  <c r="J53" i="2"/>
  <c r="AY52" i="2"/>
  <c r="AQ52" i="2"/>
  <c r="AI52" i="2"/>
  <c r="AA52" i="2"/>
  <c r="S52" i="2"/>
  <c r="K52" i="2"/>
  <c r="AZ51" i="2"/>
  <c r="AR51" i="2"/>
  <c r="AJ51" i="2"/>
  <c r="AB51" i="2"/>
  <c r="T51" i="2"/>
  <c r="L51" i="2"/>
  <c r="D51" i="2"/>
  <c r="AS50" i="2"/>
  <c r="AK50" i="2"/>
  <c r="AC50" i="2"/>
  <c r="U50" i="2"/>
  <c r="M50" i="2"/>
  <c r="E50" i="2"/>
  <c r="AT49" i="2"/>
  <c r="AL49" i="2"/>
  <c r="AD49" i="2"/>
  <c r="V49" i="2"/>
  <c r="N49" i="2"/>
  <c r="F49" i="2"/>
  <c r="AU48" i="2"/>
  <c r="AM48" i="2"/>
  <c r="AE48" i="2"/>
  <c r="W48" i="2"/>
  <c r="O48" i="2"/>
  <c r="G48" i="2"/>
  <c r="AV47" i="2"/>
  <c r="AN47" i="2"/>
  <c r="AF47" i="2"/>
  <c r="X47" i="2"/>
  <c r="P47" i="2"/>
  <c r="H47" i="2"/>
  <c r="AW46" i="2"/>
  <c r="AO46" i="2"/>
  <c r="AG46" i="2"/>
  <c r="Y46" i="2"/>
  <c r="Q46" i="2"/>
  <c r="I46" i="2"/>
  <c r="AX45" i="2"/>
  <c r="AP45" i="2"/>
  <c r="AH45" i="2"/>
  <c r="Z45" i="2"/>
  <c r="R45" i="2"/>
  <c r="J45" i="2"/>
  <c r="AG53" i="2"/>
  <c r="Y53" i="2"/>
  <c r="Q53" i="2"/>
  <c r="I53" i="2"/>
  <c r="AX52" i="2"/>
  <c r="AP52" i="2"/>
  <c r="AH52" i="2"/>
  <c r="Z52" i="2"/>
  <c r="R52" i="2"/>
  <c r="J52" i="2"/>
  <c r="AY51" i="2"/>
  <c r="AQ51" i="2"/>
  <c r="AI51" i="2"/>
  <c r="AA51" i="2"/>
  <c r="S51" i="2"/>
  <c r="K51" i="2"/>
  <c r="AZ50" i="2"/>
  <c r="AR50" i="2"/>
  <c r="AJ50" i="2"/>
  <c r="AB50" i="2"/>
  <c r="T50" i="2"/>
  <c r="L50" i="2"/>
  <c r="D50" i="2"/>
  <c r="AS49" i="2"/>
  <c r="AK49" i="2"/>
  <c r="AC49" i="2"/>
  <c r="U49" i="2"/>
  <c r="M49" i="2"/>
  <c r="E49" i="2"/>
  <c r="AT48" i="2"/>
  <c r="AL48" i="2"/>
  <c r="AD48" i="2"/>
  <c r="V48" i="2"/>
  <c r="N48" i="2"/>
  <c r="F48" i="2"/>
  <c r="AU47" i="2"/>
  <c r="AM47" i="2"/>
  <c r="AE47" i="2"/>
  <c r="W47" i="2"/>
  <c r="O47" i="2"/>
  <c r="G47" i="2"/>
  <c r="AV46" i="2"/>
  <c r="AN46" i="2"/>
  <c r="AF46" i="2"/>
  <c r="X46" i="2"/>
  <c r="P46" i="2"/>
  <c r="H46" i="2"/>
  <c r="AW45" i="2"/>
  <c r="AO45" i="2"/>
  <c r="AG45" i="2"/>
  <c r="Y45" i="2"/>
  <c r="Q45" i="2"/>
  <c r="I45" i="2"/>
  <c r="AQ58" i="2"/>
  <c r="AI58" i="2"/>
  <c r="AA58" i="2"/>
  <c r="S58" i="2"/>
  <c r="K58" i="2"/>
  <c r="AZ57" i="2"/>
  <c r="AR57" i="2"/>
  <c r="AJ57" i="2"/>
  <c r="AB57" i="2"/>
  <c r="T57" i="2"/>
  <c r="L57" i="2"/>
  <c r="D57" i="2"/>
  <c r="AS56" i="2"/>
  <c r="AK56" i="2"/>
  <c r="AC56" i="2"/>
  <c r="U56" i="2"/>
  <c r="M56" i="2"/>
  <c r="E56" i="2"/>
  <c r="AT55" i="2"/>
  <c r="AL55" i="2"/>
  <c r="AD55" i="2"/>
  <c r="V55" i="2"/>
  <c r="N55" i="2"/>
  <c r="F55" i="2"/>
  <c r="AU54" i="2"/>
  <c r="AM54" i="2"/>
  <c r="AE54" i="2"/>
  <c r="W54" i="2"/>
  <c r="O54" i="2"/>
  <c r="G54" i="2"/>
  <c r="AV53" i="2"/>
  <c r="AN53" i="2"/>
  <c r="AF53" i="2"/>
  <c r="X53" i="2"/>
  <c r="P53" i="2"/>
  <c r="H53" i="2"/>
  <c r="AW52" i="2"/>
  <c r="AO52" i="2"/>
  <c r="AG52" i="2"/>
  <c r="Y52" i="2"/>
  <c r="Q52" i="2"/>
  <c r="I52" i="2"/>
  <c r="AX51" i="2"/>
  <c r="AP51" i="2"/>
  <c r="AH51" i="2"/>
  <c r="Z51" i="2"/>
  <c r="R51" i="2"/>
  <c r="J51" i="2"/>
  <c r="AY50" i="2"/>
  <c r="AQ50" i="2"/>
  <c r="AI50" i="2"/>
  <c r="AA50" i="2"/>
  <c r="S50" i="2"/>
  <c r="K50" i="2"/>
  <c r="AZ49" i="2"/>
  <c r="AR49" i="2"/>
  <c r="AJ49" i="2"/>
  <c r="AB49" i="2"/>
  <c r="T49" i="2"/>
  <c r="L49" i="2"/>
  <c r="D49" i="2"/>
  <c r="AS48" i="2"/>
  <c r="AK48" i="2"/>
  <c r="AC48" i="2"/>
  <c r="U48" i="2"/>
  <c r="M48" i="2"/>
  <c r="E48" i="2"/>
  <c r="AT47" i="2"/>
  <c r="AL47" i="2"/>
  <c r="AD47" i="2"/>
  <c r="V47" i="2"/>
  <c r="N47" i="2"/>
  <c r="F47" i="2"/>
  <c r="AU46" i="2"/>
  <c r="AM46" i="2"/>
  <c r="AE46" i="2"/>
  <c r="W46" i="2"/>
  <c r="O46" i="2"/>
  <c r="G46" i="2"/>
  <c r="AV45" i="2"/>
  <c r="AN45" i="2"/>
  <c r="AF45" i="2"/>
  <c r="X45" i="2"/>
  <c r="P45" i="2"/>
  <c r="H45" i="2"/>
  <c r="AP58" i="2"/>
  <c r="AH58" i="2"/>
  <c r="Z58" i="2"/>
  <c r="R58" i="2"/>
  <c r="J58" i="2"/>
  <c r="AY57" i="2"/>
  <c r="AQ57" i="2"/>
  <c r="AI57" i="2"/>
  <c r="AA57" i="2"/>
  <c r="S57" i="2"/>
  <c r="K57" i="2"/>
  <c r="AZ56" i="2"/>
  <c r="AR56" i="2"/>
  <c r="AJ56" i="2"/>
  <c r="AB56" i="2"/>
  <c r="T56" i="2"/>
  <c r="L56" i="2"/>
  <c r="D56" i="2"/>
  <c r="AS55" i="2"/>
  <c r="AK55" i="2"/>
  <c r="AC55" i="2"/>
  <c r="U55" i="2"/>
  <c r="M55" i="2"/>
  <c r="E55" i="2"/>
  <c r="AT54" i="2"/>
  <c r="AL54" i="2"/>
  <c r="AD54" i="2"/>
  <c r="V54" i="2"/>
  <c r="N54" i="2"/>
  <c r="F54" i="2"/>
  <c r="AU53" i="2"/>
  <c r="AM53" i="2"/>
  <c r="AE53" i="2"/>
  <c r="W53" i="2"/>
  <c r="O53" i="2"/>
  <c r="G53" i="2"/>
  <c r="AV52" i="2"/>
  <c r="AN52" i="2"/>
  <c r="AF52" i="2"/>
  <c r="X52" i="2"/>
  <c r="P52" i="2"/>
  <c r="H52" i="2"/>
  <c r="AW51" i="2"/>
  <c r="AO51" i="2"/>
  <c r="AG51" i="2"/>
  <c r="Y51" i="2"/>
  <c r="Q51" i="2"/>
  <c r="I51" i="2"/>
  <c r="AX50" i="2"/>
  <c r="AP50" i="2"/>
  <c r="AH50" i="2"/>
  <c r="Z50" i="2"/>
  <c r="R50" i="2"/>
  <c r="J50" i="2"/>
  <c r="AY49" i="2"/>
  <c r="AQ49" i="2"/>
  <c r="AI49" i="2"/>
  <c r="AA49" i="2"/>
  <c r="S49" i="2"/>
  <c r="K49" i="2"/>
  <c r="AZ48" i="2"/>
  <c r="AR48" i="2"/>
  <c r="AJ48" i="2"/>
  <c r="AB48" i="2"/>
  <c r="T48" i="2"/>
  <c r="L48" i="2"/>
  <c r="D48" i="2"/>
  <c r="AS47" i="2"/>
  <c r="AK47" i="2"/>
  <c r="AC47" i="2"/>
  <c r="U47" i="2"/>
  <c r="M47" i="2"/>
  <c r="E47" i="2"/>
  <c r="AT46" i="2"/>
  <c r="AL46" i="2"/>
  <c r="AD46" i="2"/>
  <c r="V46" i="2"/>
  <c r="N46" i="2"/>
  <c r="F46" i="2"/>
  <c r="AU45" i="2"/>
  <c r="AM45" i="2"/>
  <c r="AE45" i="2"/>
  <c r="W45" i="2"/>
  <c r="O45" i="2"/>
  <c r="G45" i="2"/>
  <c r="AQ56" i="2"/>
  <c r="AI56" i="2"/>
  <c r="AA56" i="2"/>
  <c r="S56" i="2"/>
  <c r="K56" i="2"/>
  <c r="AZ55" i="2"/>
  <c r="AR55" i="2"/>
  <c r="AJ55" i="2"/>
  <c r="AB55" i="2"/>
  <c r="T55" i="2"/>
  <c r="L55" i="2"/>
  <c r="D55" i="2"/>
  <c r="AS54" i="2"/>
  <c r="AK54" i="2"/>
  <c r="AC54" i="2"/>
  <c r="U54" i="2"/>
  <c r="M54" i="2"/>
  <c r="E54" i="2"/>
  <c r="AT53" i="2"/>
  <c r="AL53" i="2"/>
  <c r="AD53" i="2"/>
  <c r="V53" i="2"/>
  <c r="N53" i="2"/>
  <c r="F53" i="2"/>
  <c r="AU52" i="2"/>
  <c r="AM52" i="2"/>
  <c r="AE52" i="2"/>
  <c r="W52" i="2"/>
  <c r="O52" i="2"/>
  <c r="G52" i="2"/>
  <c r="AV51" i="2"/>
  <c r="AN51" i="2"/>
  <c r="AF51" i="2"/>
  <c r="X51" i="2"/>
  <c r="P51" i="2"/>
  <c r="H51" i="2"/>
  <c r="AW50" i="2"/>
  <c r="AO50" i="2"/>
  <c r="AG50" i="2"/>
  <c r="Y50" i="2"/>
  <c r="Q50" i="2"/>
  <c r="I50" i="2"/>
  <c r="AX49" i="2"/>
  <c r="AP49" i="2"/>
  <c r="AH49" i="2"/>
  <c r="Z49" i="2"/>
  <c r="R49" i="2"/>
  <c r="J49" i="2"/>
  <c r="AY48" i="2"/>
  <c r="AQ48" i="2"/>
  <c r="AI48" i="2"/>
  <c r="AA48" i="2"/>
  <c r="S48" i="2"/>
  <c r="K48" i="2"/>
  <c r="AZ47" i="2"/>
  <c r="AR47" i="2"/>
  <c r="AJ47" i="2"/>
  <c r="AB47" i="2"/>
  <c r="T47" i="2"/>
  <c r="L47" i="2"/>
  <c r="D47" i="2"/>
  <c r="AS46" i="2"/>
  <c r="AK46" i="2"/>
  <c r="AC46" i="2"/>
  <c r="U46" i="2"/>
  <c r="M46" i="2"/>
  <c r="E46" i="2"/>
  <c r="AT45" i="2"/>
  <c r="AL45" i="2"/>
  <c r="AD45" i="2"/>
  <c r="V45" i="2"/>
  <c r="N45" i="2"/>
  <c r="F45" i="2"/>
  <c r="AX56" i="2"/>
  <c r="AP56" i="2"/>
  <c r="AH56" i="2"/>
  <c r="Z56" i="2"/>
  <c r="R56" i="2"/>
  <c r="J56" i="2"/>
  <c r="AY55" i="2"/>
  <c r="AQ55" i="2"/>
  <c r="AI55" i="2"/>
  <c r="AA55" i="2"/>
  <c r="S55" i="2"/>
  <c r="K55" i="2"/>
  <c r="AZ54" i="2"/>
  <c r="AR54" i="2"/>
  <c r="AJ54" i="2"/>
  <c r="AB54" i="2"/>
  <c r="T54" i="2"/>
  <c r="L54" i="2"/>
  <c r="D54" i="2"/>
  <c r="AS53" i="2"/>
  <c r="AK53" i="2"/>
  <c r="AC53" i="2"/>
  <c r="U53" i="2"/>
  <c r="M53" i="2"/>
  <c r="E53" i="2"/>
  <c r="AT52" i="2"/>
  <c r="AL52" i="2"/>
  <c r="AD52" i="2"/>
  <c r="V52" i="2"/>
  <c r="N52" i="2"/>
  <c r="F52" i="2"/>
  <c r="AU51" i="2"/>
  <c r="AM51" i="2"/>
  <c r="AE51" i="2"/>
  <c r="W51" i="2"/>
  <c r="O51" i="2"/>
  <c r="G51" i="2"/>
  <c r="AV50" i="2"/>
  <c r="AN50" i="2"/>
  <c r="AF50" i="2"/>
  <c r="X50" i="2"/>
  <c r="P50" i="2"/>
  <c r="H50" i="2"/>
  <c r="AW49" i="2"/>
  <c r="AO49" i="2"/>
  <c r="AG49" i="2"/>
  <c r="Y49" i="2"/>
  <c r="Q49" i="2"/>
  <c r="I49" i="2"/>
  <c r="AX48" i="2"/>
  <c r="AP48" i="2"/>
  <c r="AH48" i="2"/>
  <c r="Z48" i="2"/>
  <c r="R48" i="2"/>
  <c r="J48" i="2"/>
  <c r="AY47" i="2"/>
  <c r="AQ47" i="2"/>
  <c r="AI47" i="2"/>
  <c r="AA47" i="2"/>
  <c r="S47" i="2"/>
  <c r="K47" i="2"/>
  <c r="AZ46" i="2"/>
  <c r="AR46" i="2"/>
  <c r="AJ46" i="2"/>
  <c r="AB46" i="2"/>
  <c r="T46" i="2"/>
  <c r="L46" i="2"/>
  <c r="D46" i="2"/>
  <c r="AS45" i="2"/>
  <c r="AK45" i="2"/>
  <c r="AC45" i="2"/>
  <c r="U45" i="2"/>
  <c r="M45" i="2"/>
  <c r="E45" i="2"/>
  <c r="AI54" i="2"/>
  <c r="AA54" i="2"/>
  <c r="S54" i="2"/>
  <c r="K54" i="2"/>
  <c r="AZ53" i="2"/>
  <c r="AR53" i="2"/>
  <c r="AJ53" i="2"/>
  <c r="AB53" i="2"/>
  <c r="T53" i="2"/>
  <c r="L53" i="2"/>
  <c r="D53" i="2"/>
  <c r="AS52" i="2"/>
  <c r="AK52" i="2"/>
  <c r="AC52" i="2"/>
  <c r="U52" i="2"/>
  <c r="M52" i="2"/>
  <c r="E52" i="2"/>
  <c r="AT51" i="2"/>
  <c r="AL51" i="2"/>
  <c r="AD51" i="2"/>
  <c r="V51" i="2"/>
  <c r="N51" i="2"/>
  <c r="F51" i="2"/>
  <c r="AU50" i="2"/>
  <c r="AM50" i="2"/>
  <c r="AE50" i="2"/>
  <c r="W50" i="2"/>
  <c r="O50" i="2"/>
  <c r="G50" i="2"/>
  <c r="AV49" i="2"/>
  <c r="AN49" i="2"/>
  <c r="AF49" i="2"/>
  <c r="X49" i="2"/>
  <c r="P49" i="2"/>
  <c r="H49" i="2"/>
  <c r="AW48" i="2"/>
  <c r="AO48" i="2"/>
  <c r="AG48" i="2"/>
  <c r="Y48" i="2"/>
  <c r="Q48" i="2"/>
  <c r="I48" i="2"/>
  <c r="AX47" i="2"/>
  <c r="AP47" i="2"/>
  <c r="AH47" i="2"/>
  <c r="Z47" i="2"/>
  <c r="R47" i="2"/>
  <c r="J47" i="2"/>
  <c r="AY46" i="2"/>
  <c r="AQ46" i="2"/>
  <c r="AI46" i="2"/>
  <c r="AA46" i="2"/>
  <c r="S46" i="2"/>
  <c r="K46" i="2"/>
  <c r="AZ45" i="2"/>
  <c r="AR45" i="2"/>
  <c r="AJ45" i="2"/>
  <c r="AB45" i="2"/>
  <c r="T45" i="2"/>
  <c r="L45" i="2"/>
  <c r="D45" i="2"/>
  <c r="C52" i="2"/>
  <c r="C60" i="2"/>
  <c r="C51" i="2"/>
  <c r="C59" i="2"/>
  <c r="C50" i="2"/>
  <c r="C58" i="2"/>
  <c r="C57" i="2"/>
  <c r="C53" i="2"/>
  <c r="C49" i="2"/>
  <c r="C56" i="2"/>
  <c r="C61" i="2"/>
  <c r="C48" i="2"/>
  <c r="C47" i="2"/>
  <c r="C55" i="2"/>
  <c r="C54" i="2"/>
  <c r="C46" i="2"/>
  <c r="C45" i="2"/>
  <c r="AU40" i="2"/>
  <c r="AH37" i="2"/>
  <c r="N40" i="2"/>
  <c r="AX38" i="2"/>
  <c r="AP38" i="2"/>
  <c r="AG38" i="2"/>
  <c r="H38" i="2"/>
  <c r="AB37" i="2"/>
  <c r="AR36" i="2"/>
  <c r="AZ35" i="2"/>
  <c r="H35" i="2"/>
  <c r="P34" i="2"/>
  <c r="T32" i="2"/>
  <c r="AP29" i="2"/>
  <c r="N27" i="2"/>
  <c r="Y39" i="2"/>
  <c r="D36" i="2"/>
  <c r="AF38" i="2"/>
  <c r="AA37" i="2"/>
  <c r="AP36" i="2"/>
  <c r="AV35" i="2"/>
  <c r="F35" i="2"/>
  <c r="N34" i="2"/>
  <c r="L32" i="2"/>
  <c r="AH29" i="2"/>
  <c r="F27" i="2"/>
  <c r="N35" i="2"/>
  <c r="AC40" i="2"/>
  <c r="AL36" i="2"/>
  <c r="AT35" i="2"/>
  <c r="D35" i="2"/>
  <c r="H34" i="2"/>
  <c r="D32" i="2"/>
  <c r="Z29" i="2"/>
  <c r="AV26" i="2"/>
  <c r="H30" i="2"/>
  <c r="AN39" i="2"/>
  <c r="AD38" i="2"/>
  <c r="X37" i="2"/>
  <c r="AJ36" i="2"/>
  <c r="AR35" i="2"/>
  <c r="AX34" i="2"/>
  <c r="F34" i="2"/>
  <c r="AT31" i="2"/>
  <c r="R29" i="2"/>
  <c r="AN26" i="2"/>
  <c r="I39" i="2"/>
  <c r="AT36" i="2"/>
  <c r="AL40" i="2"/>
  <c r="O39" i="2"/>
  <c r="AZ40" i="2"/>
  <c r="AJ40" i="2"/>
  <c r="T40" i="2"/>
  <c r="AT39" i="2"/>
  <c r="AD39" i="2"/>
  <c r="N39" i="2"/>
  <c r="F39" i="2"/>
  <c r="AN38" i="2"/>
  <c r="Z38" i="2"/>
  <c r="AY37" i="2"/>
  <c r="T37" i="2"/>
  <c r="AH36" i="2"/>
  <c r="AN35" i="2"/>
  <c r="AV34" i="2"/>
  <c r="AX33" i="2"/>
  <c r="AL31" i="2"/>
  <c r="J29" i="2"/>
  <c r="AF26" i="2"/>
  <c r="AE40" i="2"/>
  <c r="AO39" i="2"/>
  <c r="AY38" i="2"/>
  <c r="AX29" i="2"/>
  <c r="V40" i="2"/>
  <c r="M40" i="2"/>
  <c r="G39" i="2"/>
  <c r="AZ37" i="2"/>
  <c r="AR40" i="2"/>
  <c r="AB40" i="2"/>
  <c r="L40" i="2"/>
  <c r="D40" i="2"/>
  <c r="AL39" i="2"/>
  <c r="V39" i="2"/>
  <c r="AV38" i="2"/>
  <c r="Y38" i="2"/>
  <c r="AX37" i="2"/>
  <c r="S37" i="2"/>
  <c r="AD36" i="2"/>
  <c r="AL35" i="2"/>
  <c r="AT34" i="2"/>
  <c r="AV33" i="2"/>
  <c r="AD31" i="2"/>
  <c r="AZ28" i="2"/>
  <c r="X26" i="2"/>
  <c r="F36" i="2"/>
  <c r="P39" i="2"/>
  <c r="W39" i="2"/>
  <c r="AI40" i="2"/>
  <c r="AU38" i="2"/>
  <c r="AB36" i="2"/>
  <c r="AP33" i="2"/>
  <c r="V31" i="2"/>
  <c r="AR28" i="2"/>
  <c r="P26" i="2"/>
  <c r="G40" i="2"/>
  <c r="AG39" i="2"/>
  <c r="V27" i="2"/>
  <c r="AD40" i="2"/>
  <c r="AE39" i="2"/>
  <c r="F38" i="2"/>
  <c r="AA40" i="2"/>
  <c r="K40" i="2"/>
  <c r="AC39" i="2"/>
  <c r="AP34" i="2"/>
  <c r="AL38" i="2"/>
  <c r="AV37" i="2"/>
  <c r="P37" i="2"/>
  <c r="Z36" i="2"/>
  <c r="AF35" i="2"/>
  <c r="AN34" i="2"/>
  <c r="AN33" i="2"/>
  <c r="N31" i="2"/>
  <c r="AJ28" i="2"/>
  <c r="H26" i="2"/>
  <c r="O40" i="2"/>
  <c r="AH38" i="2"/>
  <c r="AD27" i="2"/>
  <c r="L35" i="2"/>
  <c r="X39" i="2"/>
  <c r="AM39" i="2"/>
  <c r="AO38" i="2"/>
  <c r="AQ40" i="2"/>
  <c r="AK39" i="2"/>
  <c r="M39" i="2"/>
  <c r="X38" i="2"/>
  <c r="AJ35" i="2"/>
  <c r="AX40" i="2"/>
  <c r="AP40" i="2"/>
  <c r="AH40" i="2"/>
  <c r="Z40" i="2"/>
  <c r="R40" i="2"/>
  <c r="J40" i="2"/>
  <c r="AZ39" i="2"/>
  <c r="AR39" i="2"/>
  <c r="AJ39" i="2"/>
  <c r="AB39" i="2"/>
  <c r="T39" i="2"/>
  <c r="L39" i="2"/>
  <c r="D39" i="2"/>
  <c r="AT38" i="2"/>
  <c r="V38" i="2"/>
  <c r="AR37" i="2"/>
  <c r="L37" i="2"/>
  <c r="V36" i="2"/>
  <c r="AD35" i="2"/>
  <c r="AL34" i="2"/>
  <c r="AH33" i="2"/>
  <c r="F31" i="2"/>
  <c r="AB28" i="2"/>
  <c r="AX25" i="2"/>
  <c r="AX36" i="2"/>
  <c r="I38" i="2"/>
  <c r="F40" i="2"/>
  <c r="AW38" i="2"/>
  <c r="C40" i="2"/>
  <c r="AK38" i="2"/>
  <c r="R38" i="2"/>
  <c r="AQ37" i="2"/>
  <c r="K37" i="2"/>
  <c r="T36" i="2"/>
  <c r="AB35" i="2"/>
  <c r="AH34" i="2"/>
  <c r="Z33" i="2"/>
  <c r="AV30" i="2"/>
  <c r="T28" i="2"/>
  <c r="AP25" i="2"/>
  <c r="W40" i="2"/>
  <c r="AW39" i="2"/>
  <c r="AQ38" i="2"/>
  <c r="AB32" i="2"/>
  <c r="AV39" i="2"/>
  <c r="E40" i="2"/>
  <c r="Z37" i="2"/>
  <c r="AY40" i="2"/>
  <c r="S40" i="2"/>
  <c r="AS39" i="2"/>
  <c r="U39" i="2"/>
  <c r="E39" i="2"/>
  <c r="R37" i="2"/>
  <c r="AW40" i="2"/>
  <c r="AO40" i="2"/>
  <c r="AG40" i="2"/>
  <c r="Y40" i="2"/>
  <c r="Q40" i="2"/>
  <c r="I40" i="2"/>
  <c r="AY39" i="2"/>
  <c r="AQ39" i="2"/>
  <c r="AI39" i="2"/>
  <c r="AA39" i="2"/>
  <c r="S39" i="2"/>
  <c r="K39" i="2"/>
  <c r="C39" i="2"/>
  <c r="AS38" i="2"/>
  <c r="Q38" i="2"/>
  <c r="AP37" i="2"/>
  <c r="J37" i="2"/>
  <c r="R36" i="2"/>
  <c r="X35" i="2"/>
  <c r="AF34" i="2"/>
  <c r="R33" i="2"/>
  <c r="AN30" i="2"/>
  <c r="L28" i="2"/>
  <c r="AH25" i="2"/>
  <c r="AM40" i="2"/>
  <c r="J38" i="2"/>
  <c r="AF37" i="2"/>
  <c r="AT40" i="2"/>
  <c r="U40" i="2"/>
  <c r="AJ38" i="2"/>
  <c r="AN37" i="2"/>
  <c r="H37" i="2"/>
  <c r="N36" i="2"/>
  <c r="V35" i="2"/>
  <c r="AD34" i="2"/>
  <c r="J33" i="2"/>
  <c r="AF30" i="2"/>
  <c r="D28" i="2"/>
  <c r="Z25" i="2"/>
  <c r="V34" i="2"/>
  <c r="H39" i="2"/>
  <c r="AK40" i="2"/>
  <c r="AF40" i="2"/>
  <c r="AP39" i="2"/>
  <c r="R39" i="2"/>
  <c r="AZ38" i="2"/>
  <c r="AR38" i="2"/>
  <c r="AJ37" i="2"/>
  <c r="D37" i="2"/>
  <c r="L36" i="2"/>
  <c r="T35" i="2"/>
  <c r="Z34" i="2"/>
  <c r="AZ32" i="2"/>
  <c r="X30" i="2"/>
  <c r="AT27" i="2"/>
  <c r="R25" i="2"/>
  <c r="Q39" i="2"/>
  <c r="AJ32" i="2"/>
  <c r="R34" i="2"/>
  <c r="AF39" i="2"/>
  <c r="AS40" i="2"/>
  <c r="AU39" i="2"/>
  <c r="P38" i="2"/>
  <c r="AV40" i="2"/>
  <c r="AN40" i="2"/>
  <c r="X40" i="2"/>
  <c r="P40" i="2"/>
  <c r="H40" i="2"/>
  <c r="AX39" i="2"/>
  <c r="AH39" i="2"/>
  <c r="Z39" i="2"/>
  <c r="J39" i="2"/>
  <c r="N38" i="2"/>
  <c r="AI37" i="2"/>
  <c r="AZ36" i="2"/>
  <c r="J36" i="2"/>
  <c r="P35" i="2"/>
  <c r="X34" i="2"/>
  <c r="AR32" i="2"/>
  <c r="P30" i="2"/>
  <c r="AL27" i="2"/>
  <c r="J25" i="2"/>
  <c r="AM38" i="2"/>
  <c r="AE38" i="2"/>
  <c r="W38" i="2"/>
  <c r="O38" i="2"/>
  <c r="G38" i="2"/>
  <c r="AW37" i="2"/>
  <c r="AO37" i="2"/>
  <c r="AG37" i="2"/>
  <c r="Y37" i="2"/>
  <c r="Q37" i="2"/>
  <c r="I37" i="2"/>
  <c r="AY36" i="2"/>
  <c r="AQ36" i="2"/>
  <c r="AI36" i="2"/>
  <c r="AA36" i="2"/>
  <c r="S36" i="2"/>
  <c r="K36" i="2"/>
  <c r="C36" i="2"/>
  <c r="AS35" i="2"/>
  <c r="AK35" i="2"/>
  <c r="AC35" i="2"/>
  <c r="U35" i="2"/>
  <c r="M35" i="2"/>
  <c r="E35" i="2"/>
  <c r="AU34" i="2"/>
  <c r="AM34" i="2"/>
  <c r="AE34" i="2"/>
  <c r="W34" i="2"/>
  <c r="O34" i="2"/>
  <c r="G34" i="2"/>
  <c r="AW33" i="2"/>
  <c r="AO33" i="2"/>
  <c r="AG33" i="2"/>
  <c r="Y33" i="2"/>
  <c r="Q33" i="2"/>
  <c r="I33" i="2"/>
  <c r="AY32" i="2"/>
  <c r="AQ32" i="2"/>
  <c r="AI32" i="2"/>
  <c r="AA32" i="2"/>
  <c r="S32" i="2"/>
  <c r="K32" i="2"/>
  <c r="C32" i="2"/>
  <c r="AS31" i="2"/>
  <c r="AK31" i="2"/>
  <c r="AC31" i="2"/>
  <c r="U31" i="2"/>
  <c r="M31" i="2"/>
  <c r="E31" i="2"/>
  <c r="AU30" i="2"/>
  <c r="AM30" i="2"/>
  <c r="AE30" i="2"/>
  <c r="W30" i="2"/>
  <c r="O30" i="2"/>
  <c r="G30" i="2"/>
  <c r="AW29" i="2"/>
  <c r="AO29" i="2"/>
  <c r="AG29" i="2"/>
  <c r="Y29" i="2"/>
  <c r="Q29" i="2"/>
  <c r="I29" i="2"/>
  <c r="AY28" i="2"/>
  <c r="AQ28" i="2"/>
  <c r="AI28" i="2"/>
  <c r="AA28" i="2"/>
  <c r="S28" i="2"/>
  <c r="K28" i="2"/>
  <c r="C28" i="2"/>
  <c r="AS27" i="2"/>
  <c r="AK27" i="2"/>
  <c r="AC27" i="2"/>
  <c r="U27" i="2"/>
  <c r="M27" i="2"/>
  <c r="E27" i="2"/>
  <c r="AU26" i="2"/>
  <c r="AM26" i="2"/>
  <c r="AE26" i="2"/>
  <c r="W26" i="2"/>
  <c r="O26" i="2"/>
  <c r="G26" i="2"/>
  <c r="AW25" i="2"/>
  <c r="AO25" i="2"/>
  <c r="AG25" i="2"/>
  <c r="Y25" i="2"/>
  <c r="Q25" i="2"/>
  <c r="I25" i="2"/>
  <c r="AF33" i="2"/>
  <c r="X33" i="2"/>
  <c r="P33" i="2"/>
  <c r="H33" i="2"/>
  <c r="AX32" i="2"/>
  <c r="AP32" i="2"/>
  <c r="AH32" i="2"/>
  <c r="Z32" i="2"/>
  <c r="R32" i="2"/>
  <c r="J32" i="2"/>
  <c r="AZ31" i="2"/>
  <c r="AR31" i="2"/>
  <c r="AJ31" i="2"/>
  <c r="AB31" i="2"/>
  <c r="T31" i="2"/>
  <c r="L31" i="2"/>
  <c r="D31" i="2"/>
  <c r="AT30" i="2"/>
  <c r="AL30" i="2"/>
  <c r="AD30" i="2"/>
  <c r="V30" i="2"/>
  <c r="N30" i="2"/>
  <c r="F30" i="2"/>
  <c r="AV29" i="2"/>
  <c r="AN29" i="2"/>
  <c r="AF29" i="2"/>
  <c r="X29" i="2"/>
  <c r="P29" i="2"/>
  <c r="H29" i="2"/>
  <c r="AX28" i="2"/>
  <c r="AP28" i="2"/>
  <c r="AH28" i="2"/>
  <c r="Z28" i="2"/>
  <c r="R28" i="2"/>
  <c r="J28" i="2"/>
  <c r="AZ27" i="2"/>
  <c r="AR27" i="2"/>
  <c r="AJ27" i="2"/>
  <c r="AB27" i="2"/>
  <c r="T27" i="2"/>
  <c r="L27" i="2"/>
  <c r="D27" i="2"/>
  <c r="AT26" i="2"/>
  <c r="AL26" i="2"/>
  <c r="AD26" i="2"/>
  <c r="V26" i="2"/>
  <c r="N26" i="2"/>
  <c r="F26" i="2"/>
  <c r="AV25" i="2"/>
  <c r="AN25" i="2"/>
  <c r="AF25" i="2"/>
  <c r="X25" i="2"/>
  <c r="P25" i="2"/>
  <c r="H25" i="2"/>
  <c r="AC38" i="2"/>
  <c r="U38" i="2"/>
  <c r="M38" i="2"/>
  <c r="E38" i="2"/>
  <c r="AU37" i="2"/>
  <c r="AM37" i="2"/>
  <c r="AE37" i="2"/>
  <c r="W37" i="2"/>
  <c r="O37" i="2"/>
  <c r="G37" i="2"/>
  <c r="AW36" i="2"/>
  <c r="AO36" i="2"/>
  <c r="AG36" i="2"/>
  <c r="Y36" i="2"/>
  <c r="Q36" i="2"/>
  <c r="I36" i="2"/>
  <c r="AY35" i="2"/>
  <c r="AQ35" i="2"/>
  <c r="AI35" i="2"/>
  <c r="AA35" i="2"/>
  <c r="S35" i="2"/>
  <c r="K35" i="2"/>
  <c r="C35" i="2"/>
  <c r="AS34" i="2"/>
  <c r="AK34" i="2"/>
  <c r="AC34" i="2"/>
  <c r="U34" i="2"/>
  <c r="M34" i="2"/>
  <c r="E34" i="2"/>
  <c r="AU33" i="2"/>
  <c r="AM33" i="2"/>
  <c r="AE33" i="2"/>
  <c r="W33" i="2"/>
  <c r="O33" i="2"/>
  <c r="G33" i="2"/>
  <c r="AW32" i="2"/>
  <c r="AO32" i="2"/>
  <c r="AG32" i="2"/>
  <c r="Y32" i="2"/>
  <c r="Q32" i="2"/>
  <c r="I32" i="2"/>
  <c r="AY31" i="2"/>
  <c r="AQ31" i="2"/>
  <c r="AI31" i="2"/>
  <c r="AA31" i="2"/>
  <c r="S31" i="2"/>
  <c r="K31" i="2"/>
  <c r="C31" i="2"/>
  <c r="AS30" i="2"/>
  <c r="AK30" i="2"/>
  <c r="AC30" i="2"/>
  <c r="U30" i="2"/>
  <c r="M30" i="2"/>
  <c r="E30" i="2"/>
  <c r="AU29" i="2"/>
  <c r="AM29" i="2"/>
  <c r="AE29" i="2"/>
  <c r="W29" i="2"/>
  <c r="O29" i="2"/>
  <c r="G29" i="2"/>
  <c r="AW28" i="2"/>
  <c r="AO28" i="2"/>
  <c r="AG28" i="2"/>
  <c r="Y28" i="2"/>
  <c r="Q28" i="2"/>
  <c r="I28" i="2"/>
  <c r="AY27" i="2"/>
  <c r="AQ27" i="2"/>
  <c r="AI27" i="2"/>
  <c r="AA27" i="2"/>
  <c r="S27" i="2"/>
  <c r="K27" i="2"/>
  <c r="C27" i="2"/>
  <c r="AS26" i="2"/>
  <c r="AK26" i="2"/>
  <c r="AC26" i="2"/>
  <c r="U26" i="2"/>
  <c r="M26" i="2"/>
  <c r="E26" i="2"/>
  <c r="AU25" i="2"/>
  <c r="AM25" i="2"/>
  <c r="AE25" i="2"/>
  <c r="W25" i="2"/>
  <c r="O25" i="2"/>
  <c r="G25" i="2"/>
  <c r="AB38" i="2"/>
  <c r="T38" i="2"/>
  <c r="L38" i="2"/>
  <c r="D38" i="2"/>
  <c r="AT37" i="2"/>
  <c r="AL37" i="2"/>
  <c r="AD37" i="2"/>
  <c r="V37" i="2"/>
  <c r="N37" i="2"/>
  <c r="F37" i="2"/>
  <c r="AV36" i="2"/>
  <c r="AN36" i="2"/>
  <c r="AF36" i="2"/>
  <c r="X36" i="2"/>
  <c r="P36" i="2"/>
  <c r="H36" i="2"/>
  <c r="AX35" i="2"/>
  <c r="AP35" i="2"/>
  <c r="AH35" i="2"/>
  <c r="Z35" i="2"/>
  <c r="R35" i="2"/>
  <c r="J35" i="2"/>
  <c r="AZ34" i="2"/>
  <c r="AR34" i="2"/>
  <c r="AJ34" i="2"/>
  <c r="AB34" i="2"/>
  <c r="T34" i="2"/>
  <c r="L34" i="2"/>
  <c r="D34" i="2"/>
  <c r="AT33" i="2"/>
  <c r="AL33" i="2"/>
  <c r="AD33" i="2"/>
  <c r="V33" i="2"/>
  <c r="N33" i="2"/>
  <c r="F33" i="2"/>
  <c r="AV32" i="2"/>
  <c r="AN32" i="2"/>
  <c r="AF32" i="2"/>
  <c r="X32" i="2"/>
  <c r="P32" i="2"/>
  <c r="H32" i="2"/>
  <c r="AX31" i="2"/>
  <c r="AP31" i="2"/>
  <c r="AH31" i="2"/>
  <c r="Z31" i="2"/>
  <c r="R31" i="2"/>
  <c r="J31" i="2"/>
  <c r="AZ30" i="2"/>
  <c r="AR30" i="2"/>
  <c r="AJ30" i="2"/>
  <c r="AB30" i="2"/>
  <c r="T30" i="2"/>
  <c r="L30" i="2"/>
  <c r="D30" i="2"/>
  <c r="AT29" i="2"/>
  <c r="AL29" i="2"/>
  <c r="AD29" i="2"/>
  <c r="V29" i="2"/>
  <c r="N29" i="2"/>
  <c r="F29" i="2"/>
  <c r="AV28" i="2"/>
  <c r="AN28" i="2"/>
  <c r="AF28" i="2"/>
  <c r="X28" i="2"/>
  <c r="P28" i="2"/>
  <c r="H28" i="2"/>
  <c r="AX27" i="2"/>
  <c r="AP27" i="2"/>
  <c r="AH27" i="2"/>
  <c r="Z27" i="2"/>
  <c r="R27" i="2"/>
  <c r="J27" i="2"/>
  <c r="AZ26" i="2"/>
  <c r="AR26" i="2"/>
  <c r="AJ26" i="2"/>
  <c r="AB26" i="2"/>
  <c r="T26" i="2"/>
  <c r="L26" i="2"/>
  <c r="D26" i="2"/>
  <c r="AT25" i="2"/>
  <c r="AL25" i="2"/>
  <c r="AD25" i="2"/>
  <c r="V25" i="2"/>
  <c r="N25" i="2"/>
  <c r="F25" i="2"/>
  <c r="AI38" i="2"/>
  <c r="AA38" i="2"/>
  <c r="S38" i="2"/>
  <c r="K38" i="2"/>
  <c r="C38" i="2"/>
  <c r="AS37" i="2"/>
  <c r="AK37" i="2"/>
  <c r="AC37" i="2"/>
  <c r="U37" i="2"/>
  <c r="M37" i="2"/>
  <c r="E37" i="2"/>
  <c r="AU36" i="2"/>
  <c r="AM36" i="2"/>
  <c r="AE36" i="2"/>
  <c r="W36" i="2"/>
  <c r="O36" i="2"/>
  <c r="G36" i="2"/>
  <c r="AW35" i="2"/>
  <c r="AO35" i="2"/>
  <c r="AG35" i="2"/>
  <c r="Y35" i="2"/>
  <c r="Q35" i="2"/>
  <c r="I35" i="2"/>
  <c r="AY34" i="2"/>
  <c r="AQ34" i="2"/>
  <c r="AI34" i="2"/>
  <c r="AA34" i="2"/>
  <c r="S34" i="2"/>
  <c r="K34" i="2"/>
  <c r="C34" i="2"/>
  <c r="AS33" i="2"/>
  <c r="AK33" i="2"/>
  <c r="AC33" i="2"/>
  <c r="U33" i="2"/>
  <c r="M33" i="2"/>
  <c r="E33" i="2"/>
  <c r="AU32" i="2"/>
  <c r="AM32" i="2"/>
  <c r="AE32" i="2"/>
  <c r="W32" i="2"/>
  <c r="O32" i="2"/>
  <c r="G32" i="2"/>
  <c r="AW31" i="2"/>
  <c r="AO31" i="2"/>
  <c r="AG31" i="2"/>
  <c r="Y31" i="2"/>
  <c r="Q31" i="2"/>
  <c r="I31" i="2"/>
  <c r="AY30" i="2"/>
  <c r="AQ30" i="2"/>
  <c r="AI30" i="2"/>
  <c r="AA30" i="2"/>
  <c r="S30" i="2"/>
  <c r="K30" i="2"/>
  <c r="C30" i="2"/>
  <c r="AS29" i="2"/>
  <c r="AK29" i="2"/>
  <c r="AC29" i="2"/>
  <c r="U29" i="2"/>
  <c r="M29" i="2"/>
  <c r="E29" i="2"/>
  <c r="AU28" i="2"/>
  <c r="AM28" i="2"/>
  <c r="AE28" i="2"/>
  <c r="W28" i="2"/>
  <c r="O28" i="2"/>
  <c r="G28" i="2"/>
  <c r="AW27" i="2"/>
  <c r="AO27" i="2"/>
  <c r="AG27" i="2"/>
  <c r="Y27" i="2"/>
  <c r="Q27" i="2"/>
  <c r="I27" i="2"/>
  <c r="AY26" i="2"/>
  <c r="AQ26" i="2"/>
  <c r="AI26" i="2"/>
  <c r="AA26" i="2"/>
  <c r="S26" i="2"/>
  <c r="K26" i="2"/>
  <c r="C26" i="2"/>
  <c r="AS25" i="2"/>
  <c r="AK25" i="2"/>
  <c r="AC25" i="2"/>
  <c r="U25" i="2"/>
  <c r="M25" i="2"/>
  <c r="E25" i="2"/>
  <c r="J34" i="2"/>
  <c r="AZ33" i="2"/>
  <c r="AR33" i="2"/>
  <c r="AJ33" i="2"/>
  <c r="AB33" i="2"/>
  <c r="T33" i="2"/>
  <c r="L33" i="2"/>
  <c r="D33" i="2"/>
  <c r="AT32" i="2"/>
  <c r="AL32" i="2"/>
  <c r="AD32" i="2"/>
  <c r="V32" i="2"/>
  <c r="N32" i="2"/>
  <c r="F32" i="2"/>
  <c r="AV31" i="2"/>
  <c r="AN31" i="2"/>
  <c r="AF31" i="2"/>
  <c r="X31" i="2"/>
  <c r="P31" i="2"/>
  <c r="H31" i="2"/>
  <c r="AX30" i="2"/>
  <c r="AP30" i="2"/>
  <c r="AH30" i="2"/>
  <c r="Z30" i="2"/>
  <c r="R30" i="2"/>
  <c r="J30" i="2"/>
  <c r="AZ29" i="2"/>
  <c r="AR29" i="2"/>
  <c r="AJ29" i="2"/>
  <c r="AB29" i="2"/>
  <c r="T29" i="2"/>
  <c r="L29" i="2"/>
  <c r="D29" i="2"/>
  <c r="AT28" i="2"/>
  <c r="AL28" i="2"/>
  <c r="AD28" i="2"/>
  <c r="V28" i="2"/>
  <c r="N28" i="2"/>
  <c r="F28" i="2"/>
  <c r="AV27" i="2"/>
  <c r="AN27" i="2"/>
  <c r="AF27" i="2"/>
  <c r="X27" i="2"/>
  <c r="P27" i="2"/>
  <c r="H27" i="2"/>
  <c r="AX26" i="2"/>
  <c r="AP26" i="2"/>
  <c r="AH26" i="2"/>
  <c r="Z26" i="2"/>
  <c r="R26" i="2"/>
  <c r="J26" i="2"/>
  <c r="AZ25" i="2"/>
  <c r="AR25" i="2"/>
  <c r="AJ25" i="2"/>
  <c r="AB25" i="2"/>
  <c r="T25" i="2"/>
  <c r="L25" i="2"/>
  <c r="D25" i="2"/>
  <c r="C37" i="2"/>
  <c r="AS36" i="2"/>
  <c r="AK36" i="2"/>
  <c r="AC36" i="2"/>
  <c r="U36" i="2"/>
  <c r="M36" i="2"/>
  <c r="E36" i="2"/>
  <c r="AU35" i="2"/>
  <c r="AM35" i="2"/>
  <c r="AE35" i="2"/>
  <c r="W35" i="2"/>
  <c r="O35" i="2"/>
  <c r="G35" i="2"/>
  <c r="AW34" i="2"/>
  <c r="AO34" i="2"/>
  <c r="AG34" i="2"/>
  <c r="Y34" i="2"/>
  <c r="Q34" i="2"/>
  <c r="I34" i="2"/>
  <c r="AY33" i="2"/>
  <c r="AQ33" i="2"/>
  <c r="AI33" i="2"/>
  <c r="AA33" i="2"/>
  <c r="S33" i="2"/>
  <c r="K33" i="2"/>
  <c r="C33" i="2"/>
  <c r="AS32" i="2"/>
  <c r="AK32" i="2"/>
  <c r="AC32" i="2"/>
  <c r="U32" i="2"/>
  <c r="M32" i="2"/>
  <c r="E32" i="2"/>
  <c r="AU31" i="2"/>
  <c r="AM31" i="2"/>
  <c r="AE31" i="2"/>
  <c r="W31" i="2"/>
  <c r="O31" i="2"/>
  <c r="G31" i="2"/>
  <c r="AW30" i="2"/>
  <c r="AO30" i="2"/>
  <c r="AG30" i="2"/>
  <c r="Y30" i="2"/>
  <c r="Q30" i="2"/>
  <c r="I30" i="2"/>
  <c r="AY29" i="2"/>
  <c r="AQ29" i="2"/>
  <c r="AI29" i="2"/>
  <c r="AA29" i="2"/>
  <c r="S29" i="2"/>
  <c r="K29" i="2"/>
  <c r="C29" i="2"/>
  <c r="AS28" i="2"/>
  <c r="AK28" i="2"/>
  <c r="AC28" i="2"/>
  <c r="U28" i="2"/>
  <c r="M28" i="2"/>
  <c r="E28" i="2"/>
  <c r="AU27" i="2"/>
  <c r="AM27" i="2"/>
  <c r="AE27" i="2"/>
  <c r="W27" i="2"/>
  <c r="O27" i="2"/>
  <c r="G27" i="2"/>
  <c r="AW26" i="2"/>
  <c r="AO26" i="2"/>
  <c r="AG26" i="2"/>
  <c r="Y26" i="2"/>
  <c r="Q26" i="2"/>
  <c r="I26" i="2"/>
  <c r="AY25" i="2"/>
  <c r="AQ25" i="2"/>
  <c r="AI25" i="2"/>
  <c r="AA25" i="2"/>
  <c r="S25" i="2"/>
  <c r="K25" i="2"/>
  <c r="C25" i="2"/>
  <c r="AL24" i="2"/>
  <c r="N24" i="2"/>
  <c r="AK24" i="2"/>
  <c r="AR24" i="2"/>
  <c r="K24" i="2"/>
  <c r="J24" i="2"/>
  <c r="AM24" i="2"/>
  <c r="AQ24" i="2"/>
  <c r="AP24" i="2"/>
  <c r="AO24" i="2"/>
  <c r="Y24" i="2"/>
  <c r="I24" i="2"/>
  <c r="AD24" i="2"/>
  <c r="S24" i="2"/>
  <c r="AH24" i="2"/>
  <c r="AW24" i="2"/>
  <c r="AG24" i="2"/>
  <c r="Q24" i="2"/>
  <c r="AU24" i="2"/>
  <c r="AE24" i="2"/>
  <c r="AY24" i="2"/>
  <c r="AA24" i="2"/>
  <c r="AX24" i="2"/>
  <c r="R24" i="2"/>
  <c r="AV24" i="2"/>
  <c r="AN24" i="2"/>
  <c r="AF24" i="2"/>
  <c r="X24" i="2"/>
  <c r="H24" i="2"/>
  <c r="W24" i="2"/>
  <c r="AI24" i="2"/>
  <c r="Z24" i="2"/>
  <c r="P24" i="2"/>
  <c r="G24" i="2"/>
  <c r="O24" i="2"/>
  <c r="F24" i="2"/>
  <c r="AT24" i="2"/>
  <c r="AS24" i="2"/>
  <c r="U24" i="2"/>
  <c r="M24" i="2"/>
  <c r="E24" i="2"/>
  <c r="V24" i="2"/>
  <c r="AC24" i="2"/>
  <c r="AZ24" i="2"/>
  <c r="AJ24" i="2"/>
  <c r="AB24" i="2"/>
  <c r="T24" i="2"/>
  <c r="L24" i="2"/>
  <c r="D24" i="2"/>
  <c r="C24" i="2"/>
  <c r="AG5" i="2"/>
  <c r="Q5" i="2"/>
  <c r="W14" i="2"/>
  <c r="J17" i="2"/>
  <c r="AP15" i="2"/>
  <c r="AN18" i="2"/>
  <c r="AM16" i="2"/>
  <c r="R14" i="2"/>
  <c r="AF12" i="2"/>
  <c r="J12" i="2"/>
  <c r="AK11" i="2"/>
  <c r="Q11" i="2"/>
  <c r="AH10" i="2"/>
  <c r="AL9" i="2"/>
  <c r="AM7" i="2"/>
  <c r="I5" i="2"/>
  <c r="AR15" i="2"/>
  <c r="AP11" i="2"/>
  <c r="AF19" i="2"/>
  <c r="AG18" i="2"/>
  <c r="AH17" i="2"/>
  <c r="F16" i="2"/>
  <c r="G13" i="2"/>
  <c r="S11" i="2"/>
  <c r="AO14" i="2"/>
  <c r="AG12" i="2"/>
  <c r="AE19" i="2"/>
  <c r="D16" i="2"/>
  <c r="AW16" i="2"/>
  <c r="AA16" i="2"/>
  <c r="O16" i="2"/>
  <c r="AC15" i="2"/>
  <c r="J15" i="2"/>
  <c r="AM14" i="2"/>
  <c r="Q14" i="2"/>
  <c r="AR13" i="2"/>
  <c r="X13" i="2"/>
  <c r="AY12" i="2"/>
  <c r="AC12" i="2"/>
  <c r="I12" i="2"/>
  <c r="AJ11" i="2"/>
  <c r="N11" i="2"/>
  <c r="AC10" i="2"/>
  <c r="AK9" i="2"/>
  <c r="AE7" i="2"/>
  <c r="AX4" i="2"/>
  <c r="AB13" i="2"/>
  <c r="N8" i="2"/>
  <c r="AW18" i="2"/>
  <c r="AX17" i="2"/>
  <c r="AC16" i="2"/>
  <c r="V14" i="2"/>
  <c r="L12" i="2"/>
  <c r="Y5" i="2"/>
  <c r="AE15" i="2"/>
  <c r="Z13" i="2"/>
  <c r="R11" i="2"/>
  <c r="AM19" i="2"/>
  <c r="AV18" i="2"/>
  <c r="P18" i="2"/>
  <c r="AO17" i="2"/>
  <c r="Y17" i="2"/>
  <c r="AD15" i="2"/>
  <c r="AN14" i="2"/>
  <c r="Y13" i="2"/>
  <c r="AD19" i="2"/>
  <c r="F19" i="2"/>
  <c r="AM18" i="2"/>
  <c r="AE18" i="2"/>
  <c r="W18" i="2"/>
  <c r="O18" i="2"/>
  <c r="G18" i="2"/>
  <c r="AV17" i="2"/>
  <c r="AN17" i="2"/>
  <c r="AF17" i="2"/>
  <c r="X17" i="2"/>
  <c r="P17" i="2"/>
  <c r="H17" i="2"/>
  <c r="AL16" i="2"/>
  <c r="AZ15" i="2"/>
  <c r="AN15" i="2"/>
  <c r="AB15" i="2"/>
  <c r="I15" i="2"/>
  <c r="AL14" i="2"/>
  <c r="P14" i="2"/>
  <c r="AQ13" i="2"/>
  <c r="W13" i="2"/>
  <c r="AX12" i="2"/>
  <c r="AB12" i="2"/>
  <c r="H12" i="2"/>
  <c r="AI11" i="2"/>
  <c r="L11" i="2"/>
  <c r="AB10" i="2"/>
  <c r="AI9" i="2"/>
  <c r="W7" i="2"/>
  <c r="AP4" i="2"/>
  <c r="AD16" i="2"/>
  <c r="AI12" i="2"/>
  <c r="AN19" i="2"/>
  <c r="AO18" i="2"/>
  <c r="AP17" i="2"/>
  <c r="Q16" i="2"/>
  <c r="AW13" i="2"/>
  <c r="AS9" i="2"/>
  <c r="S14" i="2"/>
  <c r="AJ10" i="2"/>
  <c r="W19" i="2"/>
  <c r="AF18" i="2"/>
  <c r="H18" i="2"/>
  <c r="AG17" i="2"/>
  <c r="I17" i="2"/>
  <c r="AO15" i="2"/>
  <c r="AU13" i="2"/>
  <c r="AL19" i="2"/>
  <c r="N19" i="2"/>
  <c r="AV16" i="2"/>
  <c r="AK16" i="2"/>
  <c r="Y16" i="2"/>
  <c r="N16" i="2"/>
  <c r="Z15" i="2"/>
  <c r="H15" i="2"/>
  <c r="AI14" i="2"/>
  <c r="O14" i="2"/>
  <c r="AP13" i="2"/>
  <c r="T13" i="2"/>
  <c r="AW12" i="2"/>
  <c r="AA12" i="2"/>
  <c r="E12" i="2"/>
  <c r="AH11" i="2"/>
  <c r="K11" i="2"/>
  <c r="Z10" i="2"/>
  <c r="AD9" i="2"/>
  <c r="O7" i="2"/>
  <c r="AH4" i="2"/>
  <c r="AO16" i="2"/>
  <c r="M12" i="2"/>
  <c r="X19" i="2"/>
  <c r="I18" i="2"/>
  <c r="AN16" i="2"/>
  <c r="AA13" i="2"/>
  <c r="F8" i="2"/>
  <c r="M15" i="2"/>
  <c r="AL11" i="2"/>
  <c r="AU19" i="2"/>
  <c r="G19" i="2"/>
  <c r="X18" i="2"/>
  <c r="AW17" i="2"/>
  <c r="Q17" i="2"/>
  <c r="L15" i="2"/>
  <c r="AZ12" i="2"/>
  <c r="AT19" i="2"/>
  <c r="V19" i="2"/>
  <c r="AU18" i="2"/>
  <c r="AS19" i="2"/>
  <c r="AK19" i="2"/>
  <c r="AC19" i="2"/>
  <c r="U19" i="2"/>
  <c r="M19" i="2"/>
  <c r="E19" i="2"/>
  <c r="AT18" i="2"/>
  <c r="AL18" i="2"/>
  <c r="AD18" i="2"/>
  <c r="V18" i="2"/>
  <c r="N18" i="2"/>
  <c r="F18" i="2"/>
  <c r="AU17" i="2"/>
  <c r="AM17" i="2"/>
  <c r="AE17" i="2"/>
  <c r="W17" i="2"/>
  <c r="O17" i="2"/>
  <c r="G17" i="2"/>
  <c r="AJ16" i="2"/>
  <c r="X16" i="2"/>
  <c r="M16" i="2"/>
  <c r="AX15" i="2"/>
  <c r="AM15" i="2"/>
  <c r="Y15" i="2"/>
  <c r="G15" i="2"/>
  <c r="AH14" i="2"/>
  <c r="N14" i="2"/>
  <c r="AO13" i="2"/>
  <c r="S13" i="2"/>
  <c r="AV12" i="2"/>
  <c r="Z12" i="2"/>
  <c r="D12" i="2"/>
  <c r="AG11" i="2"/>
  <c r="J11" i="2"/>
  <c r="U10" i="2"/>
  <c r="AC9" i="2"/>
  <c r="G7" i="2"/>
  <c r="Z4" i="2"/>
  <c r="AQ14" i="2"/>
  <c r="Q18" i="2"/>
  <c r="AP14" i="2"/>
  <c r="P16" i="2"/>
  <c r="AU7" i="2"/>
  <c r="L16" i="2"/>
  <c r="AW15" i="2"/>
  <c r="AL15" i="2"/>
  <c r="X15" i="2"/>
  <c r="F15" i="2"/>
  <c r="AG14" i="2"/>
  <c r="K14" i="2"/>
  <c r="AN13" i="2"/>
  <c r="R13" i="2"/>
  <c r="AS12" i="2"/>
  <c r="Y12" i="2"/>
  <c r="AZ11" i="2"/>
  <c r="AD11" i="2"/>
  <c r="I11" i="2"/>
  <c r="T10" i="2"/>
  <c r="AA9" i="2"/>
  <c r="AV6" i="2"/>
  <c r="R4" i="2"/>
  <c r="AX13" i="2"/>
  <c r="AV19" i="2"/>
  <c r="Z17" i="2"/>
  <c r="AH12" i="2"/>
  <c r="E16" i="2"/>
  <c r="K12" i="2"/>
  <c r="AJ19" i="2"/>
  <c r="D19" i="2"/>
  <c r="U18" i="2"/>
  <c r="AT17" i="2"/>
  <c r="N17" i="2"/>
  <c r="AI16" i="2"/>
  <c r="AK15" i="2"/>
  <c r="E15" i="2"/>
  <c r="AF14" i="2"/>
  <c r="AM13" i="2"/>
  <c r="Q13" i="2"/>
  <c r="AR12" i="2"/>
  <c r="X12" i="2"/>
  <c r="AY11" i="2"/>
  <c r="AC11" i="2"/>
  <c r="F11" i="2"/>
  <c r="R10" i="2"/>
  <c r="U9" i="2"/>
  <c r="AN6" i="2"/>
  <c r="J4" i="2"/>
  <c r="AT9" i="2"/>
  <c r="H19" i="2"/>
  <c r="Y18" i="2"/>
  <c r="R17" i="2"/>
  <c r="N15" i="2"/>
  <c r="AK10" i="2"/>
  <c r="AB16" i="2"/>
  <c r="AV13" i="2"/>
  <c r="AQ9" i="2"/>
  <c r="O19" i="2"/>
  <c r="AU16" i="2"/>
  <c r="AZ19" i="2"/>
  <c r="AR19" i="2"/>
  <c r="AB19" i="2"/>
  <c r="T19" i="2"/>
  <c r="L19" i="2"/>
  <c r="AS18" i="2"/>
  <c r="AK18" i="2"/>
  <c r="AC18" i="2"/>
  <c r="M18" i="2"/>
  <c r="E18" i="2"/>
  <c r="AL17" i="2"/>
  <c r="AD17" i="2"/>
  <c r="V17" i="2"/>
  <c r="F17" i="2"/>
  <c r="W16" i="2"/>
  <c r="W15" i="2"/>
  <c r="J14" i="2"/>
  <c r="AT16" i="2"/>
  <c r="K16" i="2"/>
  <c r="AV15" i="2"/>
  <c r="V15" i="2"/>
  <c r="AY14" i="2"/>
  <c r="AE14" i="2"/>
  <c r="I14" i="2"/>
  <c r="AJ13" i="2"/>
  <c r="P13" i="2"/>
  <c r="AQ12" i="2"/>
  <c r="U12" i="2"/>
  <c r="AX11" i="2"/>
  <c r="AB11" i="2"/>
  <c r="D11" i="2"/>
  <c r="M10" i="2"/>
  <c r="M9" i="2"/>
  <c r="AF6" i="2"/>
  <c r="AY3" i="2"/>
  <c r="H13" i="2"/>
  <c r="P19" i="2"/>
  <c r="AY16" i="2"/>
  <c r="AO11" i="2"/>
  <c r="D13" i="2"/>
  <c r="AY19" i="2"/>
  <c r="AQ19" i="2"/>
  <c r="AI19" i="2"/>
  <c r="AA19" i="2"/>
  <c r="S19" i="2"/>
  <c r="K19" i="2"/>
  <c r="AZ18" i="2"/>
  <c r="AR18" i="2"/>
  <c r="AJ18" i="2"/>
  <c r="AB18" i="2"/>
  <c r="T18" i="2"/>
  <c r="L18" i="2"/>
  <c r="D18" i="2"/>
  <c r="AS17" i="2"/>
  <c r="AK17" i="2"/>
  <c r="AC17" i="2"/>
  <c r="U17" i="2"/>
  <c r="M17" i="2"/>
  <c r="E17" i="2"/>
  <c r="AS16" i="2"/>
  <c r="AG16" i="2"/>
  <c r="V16" i="2"/>
  <c r="AJ15" i="2"/>
  <c r="U15" i="2"/>
  <c r="AX14" i="2"/>
  <c r="AD14" i="2"/>
  <c r="H14" i="2"/>
  <c r="AI13" i="2"/>
  <c r="O13" i="2"/>
  <c r="AP12" i="2"/>
  <c r="T12" i="2"/>
  <c r="AW11" i="2"/>
  <c r="AA11" i="2"/>
  <c r="AZ10" i="2"/>
  <c r="L10" i="2"/>
  <c r="E9" i="2"/>
  <c r="X6" i="2"/>
  <c r="AQ3" i="2"/>
  <c r="AF16" i="2"/>
  <c r="L13" i="2"/>
  <c r="AY10" i="2"/>
  <c r="P6" i="2"/>
  <c r="AI3" i="2"/>
  <c r="U16" i="2"/>
  <c r="Z11" i="2"/>
  <c r="AP19" i="2"/>
  <c r="AI18" i="2"/>
  <c r="AJ17" i="2"/>
  <c r="D17" i="2"/>
  <c r="H16" i="2"/>
  <c r="AT15" i="2"/>
  <c r="AH15" i="2"/>
  <c r="R15" i="2"/>
  <c r="AV14" i="2"/>
  <c r="Z14" i="2"/>
  <c r="F14" i="2"/>
  <c r="AG13" i="2"/>
  <c r="K13" i="2"/>
  <c r="AN12" i="2"/>
  <c r="R12" i="2"/>
  <c r="AS11" i="2"/>
  <c r="Y11" i="2"/>
  <c r="AX10" i="2"/>
  <c r="E10" i="2"/>
  <c r="AL8" i="2"/>
  <c r="H6" i="2"/>
  <c r="AA3" i="2"/>
  <c r="AF15" i="2"/>
  <c r="AP10" i="2"/>
  <c r="I16" i="2"/>
  <c r="AW14" i="2"/>
  <c r="G14" i="2"/>
  <c r="AO12" i="2"/>
  <c r="AT11" i="2"/>
  <c r="AT8" i="2"/>
  <c r="AH19" i="2"/>
  <c r="R19" i="2"/>
  <c r="AQ18" i="2"/>
  <c r="S18" i="2"/>
  <c r="AR17" i="2"/>
  <c r="T16" i="2"/>
  <c r="AQ16" i="2"/>
  <c r="AG15" i="2"/>
  <c r="Q15" i="2"/>
  <c r="Y14" i="2"/>
  <c r="AZ13" i="2"/>
  <c r="J13" i="2"/>
  <c r="Q12" i="2"/>
  <c r="AS10" i="2"/>
  <c r="S3" i="2"/>
  <c r="O15" i="2"/>
  <c r="T11" i="2"/>
  <c r="AR16" i="2"/>
  <c r="AU15" i="2"/>
  <c r="T15" i="2"/>
  <c r="AA14" i="2"/>
  <c r="AH13" i="2"/>
  <c r="S12" i="2"/>
  <c r="J10" i="2"/>
  <c r="AX19" i="2"/>
  <c r="Z19" i="2"/>
  <c r="J19" i="2"/>
  <c r="AY18" i="2"/>
  <c r="AA18" i="2"/>
  <c r="K18" i="2"/>
  <c r="AZ17" i="2"/>
  <c r="AB17" i="2"/>
  <c r="T17" i="2"/>
  <c r="L17" i="2"/>
  <c r="AE16" i="2"/>
  <c r="AS15" i="2"/>
  <c r="AU14" i="2"/>
  <c r="AF13" i="2"/>
  <c r="AK12" i="2"/>
  <c r="AR11" i="2"/>
  <c r="V11" i="2"/>
  <c r="D10" i="2"/>
  <c r="AD8" i="2"/>
  <c r="AW5" i="2"/>
  <c r="AW19" i="2"/>
  <c r="AO19" i="2"/>
  <c r="AG19" i="2"/>
  <c r="Y19" i="2"/>
  <c r="Q19" i="2"/>
  <c r="I19" i="2"/>
  <c r="AX18" i="2"/>
  <c r="AP18" i="2"/>
  <c r="AH18" i="2"/>
  <c r="Z18" i="2"/>
  <c r="R18" i="2"/>
  <c r="J18" i="2"/>
  <c r="AY17" i="2"/>
  <c r="AQ17" i="2"/>
  <c r="AI17" i="2"/>
  <c r="AA17" i="2"/>
  <c r="S17" i="2"/>
  <c r="K17" i="2"/>
  <c r="AZ16" i="2"/>
  <c r="S16" i="2"/>
  <c r="G16" i="2"/>
  <c r="P15" i="2"/>
  <c r="AT14" i="2"/>
  <c r="X14" i="2"/>
  <c r="AY13" i="2"/>
  <c r="AE13" i="2"/>
  <c r="I13" i="2"/>
  <c r="AJ12" i="2"/>
  <c r="P12" i="2"/>
  <c r="AQ11" i="2"/>
  <c r="U11" i="2"/>
  <c r="AR10" i="2"/>
  <c r="AY9" i="2"/>
  <c r="V8" i="2"/>
  <c r="AO5" i="2"/>
  <c r="K3" i="2"/>
  <c r="AQ10" i="2"/>
  <c r="AI10" i="2"/>
  <c r="AA10" i="2"/>
  <c r="S10" i="2"/>
  <c r="K10" i="2"/>
  <c r="AZ9" i="2"/>
  <c r="AR9" i="2"/>
  <c r="AJ9" i="2"/>
  <c r="AB9" i="2"/>
  <c r="T9" i="2"/>
  <c r="L9" i="2"/>
  <c r="D9" i="2"/>
  <c r="AS8" i="2"/>
  <c r="AK8" i="2"/>
  <c r="AC8" i="2"/>
  <c r="U8" i="2"/>
  <c r="M8" i="2"/>
  <c r="E8" i="2"/>
  <c r="AT7" i="2"/>
  <c r="AL7" i="2"/>
  <c r="AD7" i="2"/>
  <c r="V7" i="2"/>
  <c r="N7" i="2"/>
  <c r="F7" i="2"/>
  <c r="AU6" i="2"/>
  <c r="AM6" i="2"/>
  <c r="AE6" i="2"/>
  <c r="W6" i="2"/>
  <c r="O6" i="2"/>
  <c r="G6" i="2"/>
  <c r="AV5" i="2"/>
  <c r="AN5" i="2"/>
  <c r="AF5" i="2"/>
  <c r="X5" i="2"/>
  <c r="P5" i="2"/>
  <c r="H5" i="2"/>
  <c r="AW4" i="2"/>
  <c r="AO4" i="2"/>
  <c r="AG4" i="2"/>
  <c r="Y4" i="2"/>
  <c r="Q4" i="2"/>
  <c r="I4" i="2"/>
  <c r="AX3" i="2"/>
  <c r="AP3" i="2"/>
  <c r="AH3" i="2"/>
  <c r="Z3" i="2"/>
  <c r="R3" i="2"/>
  <c r="J3" i="2"/>
  <c r="S9" i="2"/>
  <c r="K9" i="2"/>
  <c r="AZ8" i="2"/>
  <c r="AR8" i="2"/>
  <c r="AJ8" i="2"/>
  <c r="AB8" i="2"/>
  <c r="T8" i="2"/>
  <c r="L8" i="2"/>
  <c r="D8" i="2"/>
  <c r="AS7" i="2"/>
  <c r="AK7" i="2"/>
  <c r="AC7" i="2"/>
  <c r="U7" i="2"/>
  <c r="M7" i="2"/>
  <c r="E7" i="2"/>
  <c r="AT6" i="2"/>
  <c r="AL6" i="2"/>
  <c r="AD6" i="2"/>
  <c r="V6" i="2"/>
  <c r="N6" i="2"/>
  <c r="F6" i="2"/>
  <c r="AU5" i="2"/>
  <c r="AM5" i="2"/>
  <c r="AE5" i="2"/>
  <c r="W5" i="2"/>
  <c r="O5" i="2"/>
  <c r="G5" i="2"/>
  <c r="AV4" i="2"/>
  <c r="AN4" i="2"/>
  <c r="AF4" i="2"/>
  <c r="X4" i="2"/>
  <c r="P4" i="2"/>
  <c r="H4" i="2"/>
  <c r="AW3" i="2"/>
  <c r="AO3" i="2"/>
  <c r="AG3" i="2"/>
  <c r="Y3" i="2"/>
  <c r="Q3" i="2"/>
  <c r="I3" i="2"/>
  <c r="D15" i="2"/>
  <c r="AS14" i="2"/>
  <c r="AK14" i="2"/>
  <c r="AC14" i="2"/>
  <c r="U14" i="2"/>
  <c r="M14" i="2"/>
  <c r="E14" i="2"/>
  <c r="AT13" i="2"/>
  <c r="AL13" i="2"/>
  <c r="AD13" i="2"/>
  <c r="V13" i="2"/>
  <c r="N13" i="2"/>
  <c r="F13" i="2"/>
  <c r="AU12" i="2"/>
  <c r="AM12" i="2"/>
  <c r="AE12" i="2"/>
  <c r="W12" i="2"/>
  <c r="O12" i="2"/>
  <c r="G12" i="2"/>
  <c r="AV11" i="2"/>
  <c r="AN11" i="2"/>
  <c r="AF11" i="2"/>
  <c r="X11" i="2"/>
  <c r="P11" i="2"/>
  <c r="H11" i="2"/>
  <c r="AW10" i="2"/>
  <c r="AO10" i="2"/>
  <c r="AG10" i="2"/>
  <c r="Y10" i="2"/>
  <c r="Q10" i="2"/>
  <c r="I10" i="2"/>
  <c r="AX9" i="2"/>
  <c r="AP9" i="2"/>
  <c r="AH9" i="2"/>
  <c r="Z9" i="2"/>
  <c r="R9" i="2"/>
  <c r="J9" i="2"/>
  <c r="AY8" i="2"/>
  <c r="AQ8" i="2"/>
  <c r="AI8" i="2"/>
  <c r="AA8" i="2"/>
  <c r="S8" i="2"/>
  <c r="K8" i="2"/>
  <c r="AZ7" i="2"/>
  <c r="AR7" i="2"/>
  <c r="AJ7" i="2"/>
  <c r="AB7" i="2"/>
  <c r="T7" i="2"/>
  <c r="L7" i="2"/>
  <c r="D7" i="2"/>
  <c r="AS6" i="2"/>
  <c r="AK6" i="2"/>
  <c r="AC6" i="2"/>
  <c r="U6" i="2"/>
  <c r="M6" i="2"/>
  <c r="E6" i="2"/>
  <c r="AT5" i="2"/>
  <c r="AL5" i="2"/>
  <c r="AD5" i="2"/>
  <c r="V5" i="2"/>
  <c r="N5" i="2"/>
  <c r="F5" i="2"/>
  <c r="AU4" i="2"/>
  <c r="AM4" i="2"/>
  <c r="AE4" i="2"/>
  <c r="W4" i="2"/>
  <c r="O4" i="2"/>
  <c r="G4" i="2"/>
  <c r="AV3" i="2"/>
  <c r="AN3" i="2"/>
  <c r="AF3" i="2"/>
  <c r="X3" i="2"/>
  <c r="P3" i="2"/>
  <c r="H3" i="2"/>
  <c r="AX16" i="2"/>
  <c r="AP16" i="2"/>
  <c r="AH16" i="2"/>
  <c r="Z16" i="2"/>
  <c r="R16" i="2"/>
  <c r="J16" i="2"/>
  <c r="AY15" i="2"/>
  <c r="AQ15" i="2"/>
  <c r="AI15" i="2"/>
  <c r="AA15" i="2"/>
  <c r="S15" i="2"/>
  <c r="K15" i="2"/>
  <c r="AZ14" i="2"/>
  <c r="AR14" i="2"/>
  <c r="AJ14" i="2"/>
  <c r="AB14" i="2"/>
  <c r="T14" i="2"/>
  <c r="L14" i="2"/>
  <c r="D14" i="2"/>
  <c r="AS13" i="2"/>
  <c r="AK13" i="2"/>
  <c r="AC13" i="2"/>
  <c r="U13" i="2"/>
  <c r="M13" i="2"/>
  <c r="E13" i="2"/>
  <c r="AT12" i="2"/>
  <c r="AL12" i="2"/>
  <c r="AD12" i="2"/>
  <c r="V12" i="2"/>
  <c r="N12" i="2"/>
  <c r="F12" i="2"/>
  <c r="AU11" i="2"/>
  <c r="AM11" i="2"/>
  <c r="AE11" i="2"/>
  <c r="W11" i="2"/>
  <c r="O11" i="2"/>
  <c r="G11" i="2"/>
  <c r="AV10" i="2"/>
  <c r="AN10" i="2"/>
  <c r="AF10" i="2"/>
  <c r="X10" i="2"/>
  <c r="P10" i="2"/>
  <c r="H10" i="2"/>
  <c r="AW9" i="2"/>
  <c r="AO9" i="2"/>
  <c r="AG9" i="2"/>
  <c r="Y9" i="2"/>
  <c r="Q9" i="2"/>
  <c r="I9" i="2"/>
  <c r="AX8" i="2"/>
  <c r="AP8" i="2"/>
  <c r="AH8" i="2"/>
  <c r="Z8" i="2"/>
  <c r="R8" i="2"/>
  <c r="J8" i="2"/>
  <c r="AY7" i="2"/>
  <c r="AQ7" i="2"/>
  <c r="AI7" i="2"/>
  <c r="AA7" i="2"/>
  <c r="S7" i="2"/>
  <c r="K7" i="2"/>
  <c r="AZ6" i="2"/>
  <c r="AR6" i="2"/>
  <c r="AJ6" i="2"/>
  <c r="AB6" i="2"/>
  <c r="T6" i="2"/>
  <c r="L6" i="2"/>
  <c r="D6" i="2"/>
  <c r="AS5" i="2"/>
  <c r="AK5" i="2"/>
  <c r="AC5" i="2"/>
  <c r="U5" i="2"/>
  <c r="M5" i="2"/>
  <c r="E5" i="2"/>
  <c r="AT4" i="2"/>
  <c r="AL4" i="2"/>
  <c r="AD4" i="2"/>
  <c r="V4" i="2"/>
  <c r="N4" i="2"/>
  <c r="F4" i="2"/>
  <c r="AU3" i="2"/>
  <c r="AM3" i="2"/>
  <c r="AE3" i="2"/>
  <c r="W3" i="2"/>
  <c r="O3" i="2"/>
  <c r="G3" i="2"/>
  <c r="AU10" i="2"/>
  <c r="AM10" i="2"/>
  <c r="AE10" i="2"/>
  <c r="W10" i="2"/>
  <c r="O10" i="2"/>
  <c r="G10" i="2"/>
  <c r="AV9" i="2"/>
  <c r="AN9" i="2"/>
  <c r="AF9" i="2"/>
  <c r="X9" i="2"/>
  <c r="P9" i="2"/>
  <c r="H9" i="2"/>
  <c r="AW8" i="2"/>
  <c r="AO8" i="2"/>
  <c r="AG8" i="2"/>
  <c r="Y8" i="2"/>
  <c r="Q8" i="2"/>
  <c r="I8" i="2"/>
  <c r="AX7" i="2"/>
  <c r="AP7" i="2"/>
  <c r="AH7" i="2"/>
  <c r="Z7" i="2"/>
  <c r="R7" i="2"/>
  <c r="J7" i="2"/>
  <c r="AY6" i="2"/>
  <c r="AQ6" i="2"/>
  <c r="AI6" i="2"/>
  <c r="AA6" i="2"/>
  <c r="S6" i="2"/>
  <c r="K6" i="2"/>
  <c r="AZ5" i="2"/>
  <c r="AR5" i="2"/>
  <c r="AJ5" i="2"/>
  <c r="AB5" i="2"/>
  <c r="T5" i="2"/>
  <c r="L5" i="2"/>
  <c r="D5" i="2"/>
  <c r="AS4" i="2"/>
  <c r="AK4" i="2"/>
  <c r="AC4" i="2"/>
  <c r="U4" i="2"/>
  <c r="M4" i="2"/>
  <c r="E4" i="2"/>
  <c r="AT3" i="2"/>
  <c r="AL3" i="2"/>
  <c r="AD3" i="2"/>
  <c r="V3" i="2"/>
  <c r="N3" i="2"/>
  <c r="F3" i="2"/>
  <c r="M11" i="2"/>
  <c r="E11" i="2"/>
  <c r="AT10" i="2"/>
  <c r="AL10" i="2"/>
  <c r="AD10" i="2"/>
  <c r="V10" i="2"/>
  <c r="N10" i="2"/>
  <c r="F10" i="2"/>
  <c r="AU9" i="2"/>
  <c r="AM9" i="2"/>
  <c r="AE9" i="2"/>
  <c r="W9" i="2"/>
  <c r="O9" i="2"/>
  <c r="G9" i="2"/>
  <c r="AV8" i="2"/>
  <c r="AN8" i="2"/>
  <c r="AF8" i="2"/>
  <c r="X8" i="2"/>
  <c r="P8" i="2"/>
  <c r="H8" i="2"/>
  <c r="AW7" i="2"/>
  <c r="AO7" i="2"/>
  <c r="AG7" i="2"/>
  <c r="Y7" i="2"/>
  <c r="Q7" i="2"/>
  <c r="I7" i="2"/>
  <c r="AX6" i="2"/>
  <c r="AP6" i="2"/>
  <c r="AH6" i="2"/>
  <c r="Z6" i="2"/>
  <c r="R6" i="2"/>
  <c r="J6" i="2"/>
  <c r="AY5" i="2"/>
  <c r="AQ5" i="2"/>
  <c r="AI5" i="2"/>
  <c r="AA5" i="2"/>
  <c r="S5" i="2"/>
  <c r="K5" i="2"/>
  <c r="AZ4" i="2"/>
  <c r="AR4" i="2"/>
  <c r="AJ4" i="2"/>
  <c r="AB4" i="2"/>
  <c r="T4" i="2"/>
  <c r="L4" i="2"/>
  <c r="D4" i="2"/>
  <c r="AS3" i="2"/>
  <c r="AK3" i="2"/>
  <c r="AC3" i="2"/>
  <c r="U3" i="2"/>
  <c r="M3" i="2"/>
  <c r="E3" i="2"/>
  <c r="V9" i="2"/>
  <c r="N9" i="2"/>
  <c r="F9" i="2"/>
  <c r="AU8" i="2"/>
  <c r="AM8" i="2"/>
  <c r="AE8" i="2"/>
  <c r="W8" i="2"/>
  <c r="O8" i="2"/>
  <c r="G8" i="2"/>
  <c r="AV7" i="2"/>
  <c r="AN7" i="2"/>
  <c r="AF7" i="2"/>
  <c r="X7" i="2"/>
  <c r="P7" i="2"/>
  <c r="H7" i="2"/>
  <c r="AW6" i="2"/>
  <c r="AO6" i="2"/>
  <c r="AG6" i="2"/>
  <c r="Y6" i="2"/>
  <c r="Q6" i="2"/>
  <c r="I6" i="2"/>
  <c r="AX5" i="2"/>
  <c r="AP5" i="2"/>
  <c r="AH5" i="2"/>
  <c r="Z5" i="2"/>
  <c r="R5" i="2"/>
  <c r="J5" i="2"/>
  <c r="AY4" i="2"/>
  <c r="AQ4" i="2"/>
  <c r="AI4" i="2"/>
  <c r="AA4" i="2"/>
  <c r="S4" i="2"/>
  <c r="K4" i="2"/>
  <c r="AZ3" i="2"/>
  <c r="AR3" i="2"/>
  <c r="AJ3" i="2"/>
  <c r="AB3" i="2"/>
  <c r="T3" i="2"/>
  <c r="L3" i="2"/>
  <c r="D3" i="2"/>
  <c r="C18" i="2"/>
  <c r="C10" i="2"/>
  <c r="C9" i="2"/>
  <c r="C17" i="2"/>
  <c r="C14" i="2"/>
  <c r="C13" i="2"/>
  <c r="C19" i="2"/>
  <c r="C11" i="2"/>
  <c r="C8" i="2"/>
  <c r="C16" i="2"/>
  <c r="C7" i="2"/>
  <c r="C6" i="2"/>
  <c r="C5" i="2"/>
  <c r="C15" i="2"/>
  <c r="C12" i="2"/>
  <c r="C4" i="2"/>
  <c r="C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<sst xmlns="http://schemas.openxmlformats.org/spreadsheetml/2006/main" count="120" uniqueCount="74">
  <si>
    <t xml:space="preserve">Report 4 </t>
  </si>
  <si>
    <t>Palmeri Claudio N°2062671</t>
  </si>
  <si>
    <t>how the parameters influences them.</t>
  </si>
  <si>
    <r>
      <t xml:space="preserve">The </t>
    </r>
    <r>
      <rPr>
        <b/>
        <sz val="11"/>
        <color theme="1"/>
        <rFont val="Calibri"/>
        <family val="2"/>
        <scheme val="minor"/>
      </rPr>
      <t>Black-Scholes model</t>
    </r>
    <r>
      <rPr>
        <sz val="11"/>
        <color theme="1"/>
        <rFont val="Calibri"/>
        <family val="2"/>
        <scheme val="minor"/>
      </rPr>
      <t xml:space="preserve"> operates in </t>
    </r>
    <r>
      <rPr>
        <b/>
        <sz val="11"/>
        <color theme="1"/>
        <rFont val="Calibri"/>
        <family val="2"/>
        <scheme val="minor"/>
      </rPr>
      <t>continuous time</t>
    </r>
    <r>
      <rPr>
        <sz val="11"/>
        <color theme="1"/>
        <rFont val="Calibri"/>
        <family val="2"/>
        <scheme val="minor"/>
      </rPr>
      <t>.</t>
    </r>
  </si>
  <si>
    <t>Firstly we need to calculate the factors:</t>
  </si>
  <si>
    <t>The Black-Scholes model</t>
  </si>
  <si>
    <t>The aformentioned parameters are:</t>
  </si>
  <si>
    <t>K=100 strike price</t>
  </si>
  <si>
    <t>r=0.01 interest rate</t>
  </si>
  <si>
    <t>Greeks</t>
  </si>
  <si>
    <t>Delta</t>
  </si>
  <si>
    <t>S</t>
  </si>
  <si>
    <t>T</t>
  </si>
  <si>
    <t>vol=0.1</t>
  </si>
  <si>
    <t>vol=0.2</t>
  </si>
  <si>
    <t>vol=0.4</t>
  </si>
  <si>
    <t xml:space="preserve">vol=20%,10%,40% </t>
  </si>
  <si>
    <t>Tau=0.1,0.2,…,4.9,5 Time to maturity</t>
  </si>
  <si>
    <t>Gamma</t>
  </si>
  <si>
    <t>Rho</t>
  </si>
  <si>
    <t xml:space="preserve">Delta=N(d1) </t>
  </si>
  <si>
    <t>Theta</t>
  </si>
  <si>
    <r>
      <t xml:space="preserve">Then the </t>
    </r>
    <r>
      <rPr>
        <b/>
        <sz val="11"/>
        <color theme="1"/>
        <rFont val="Calibri"/>
        <family val="2"/>
        <scheme val="minor"/>
      </rPr>
      <t>price of a call option at time 0&lt;=t&lt;=Tau</t>
    </r>
    <r>
      <rPr>
        <sz val="11"/>
        <color theme="1"/>
        <rFont val="Calibri"/>
        <family val="2"/>
        <scheme val="minor"/>
      </rPr>
      <t xml:space="preserve"> is given by the formula:</t>
    </r>
  </si>
  <si>
    <r>
      <t xml:space="preserve">price(t)=S*N(d1)-Ke^(-r*(Tau-t))*N(d2) </t>
    </r>
    <r>
      <rPr>
        <sz val="11"/>
        <color theme="1"/>
        <rFont val="Calibri"/>
        <family val="2"/>
        <scheme val="minor"/>
      </rPr>
      <t>where</t>
    </r>
    <r>
      <rPr>
        <b/>
        <sz val="11"/>
        <color theme="1"/>
        <rFont val="Calibri"/>
        <family val="2"/>
        <scheme val="minor"/>
      </rPr>
      <t xml:space="preserve"> N(x)=Prob(N(0.1)&lt;=x)</t>
    </r>
  </si>
  <si>
    <t>d1=(ln(S/K)+(Tau-t)(r+0.5vol^2))/(vol*sqrt(Tau-t))</t>
  </si>
  <si>
    <t>d2=d1-vol*sqrt(Tau-t)</t>
  </si>
  <si>
    <t>Gamma=phi(d1)/(S*vol*sqrt(Tau-t)) where phi(x)=exp(-x*x/2)/sqrt(2*pi)</t>
  </si>
  <si>
    <t>Rho=K*(Tau-t)*exp(-r*(Tau-t))*N(d2)</t>
  </si>
  <si>
    <t xml:space="preserve">price with respect to S) </t>
  </si>
  <si>
    <t>Theta=-(-S*phi(d1)/(2*sqrt(Tau-t))-r*K*exp(-r*(Tau-t))*N(d2)</t>
  </si>
  <si>
    <t xml:space="preserve">the Bell curve) </t>
  </si>
  <si>
    <t>Vega</t>
  </si>
  <si>
    <t>Vega=S*phi(d1)*sqrt(Tau-t)</t>
  </si>
  <si>
    <t xml:space="preserve">S=60,65,…,135,140 underlying price </t>
  </si>
  <si>
    <r>
      <t xml:space="preserve">The </t>
    </r>
    <r>
      <rPr>
        <b/>
        <sz val="11"/>
        <color theme="1"/>
        <rFont val="Calibri"/>
        <family val="2"/>
        <scheme val="minor"/>
      </rPr>
      <t>objective</t>
    </r>
    <r>
      <rPr>
        <sz val="11"/>
        <color theme="1"/>
        <rFont val="Calibri"/>
        <family val="2"/>
        <scheme val="minor"/>
      </rPr>
      <t xml:space="preserve"> of this report is to </t>
    </r>
    <r>
      <rPr>
        <b/>
        <sz val="11"/>
        <color theme="1"/>
        <rFont val="Calibri"/>
        <family val="2"/>
        <scheme val="minor"/>
      </rPr>
      <t>plot the behaviour</t>
    </r>
    <r>
      <rPr>
        <sz val="11"/>
        <color theme="1"/>
        <rFont val="Calibri"/>
        <family val="2"/>
        <scheme val="minor"/>
      </rPr>
      <t xml:space="preserve"> of the </t>
    </r>
    <r>
      <rPr>
        <b/>
        <sz val="11"/>
        <color theme="1"/>
        <rFont val="Calibri"/>
        <family val="2"/>
        <scheme val="minor"/>
      </rPr>
      <t>5 Greeks</t>
    </r>
    <r>
      <rPr>
        <sz val="11"/>
        <color theme="1"/>
        <rFont val="Calibri"/>
        <family val="2"/>
        <scheme val="minor"/>
      </rPr>
      <t xml:space="preserve"> that we studied in class and observing </t>
    </r>
  </si>
  <si>
    <r>
      <t xml:space="preserve">Both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r </t>
    </r>
    <r>
      <rPr>
        <sz val="11"/>
        <color theme="1"/>
        <rFont val="Calibri"/>
        <family val="2"/>
        <scheme val="minor"/>
      </rPr>
      <t>will remain</t>
    </r>
    <r>
      <rPr>
        <b/>
        <sz val="11"/>
        <color theme="1"/>
        <rFont val="Calibri"/>
        <family val="2"/>
        <scheme val="minor"/>
      </rPr>
      <t xml:space="preserve"> fixed</t>
    </r>
    <r>
      <rPr>
        <sz val="11"/>
        <color theme="1"/>
        <rFont val="Calibri"/>
        <family val="2"/>
        <scheme val="minor"/>
      </rPr>
      <t xml:space="preserve"> during these report; </t>
    </r>
    <r>
      <rPr>
        <b/>
        <sz val="11"/>
        <color theme="1"/>
        <rFont val="Calibri"/>
        <family val="2"/>
        <scheme val="minor"/>
      </rPr>
      <t xml:space="preserve">S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Tau</t>
    </r>
    <r>
      <rPr>
        <sz val="11"/>
        <color theme="1"/>
        <rFont val="Calibri"/>
        <family val="2"/>
        <scheme val="minor"/>
      </rPr>
      <t xml:space="preserve"> will be used to </t>
    </r>
    <r>
      <rPr>
        <b/>
        <sz val="11"/>
        <color theme="1"/>
        <rFont val="Calibri"/>
        <family val="2"/>
        <scheme val="minor"/>
      </rPr>
      <t>plot 3</t>
    </r>
    <r>
      <rPr>
        <sz val="11"/>
        <color theme="1"/>
        <rFont val="Calibri"/>
        <family val="2"/>
        <scheme val="minor"/>
      </rPr>
      <t xml:space="preserve"> (one for </t>
    </r>
    <r>
      <rPr>
        <b/>
        <sz val="11"/>
        <color theme="1"/>
        <rFont val="Calibri"/>
        <family val="2"/>
        <scheme val="minor"/>
      </rPr>
      <t>each volatility</t>
    </r>
    <r>
      <rPr>
        <sz val="11"/>
        <color theme="1"/>
        <rFont val="Calibri"/>
        <family val="2"/>
        <scheme val="minor"/>
      </rPr>
      <t xml:space="preserve"> </t>
    </r>
  </si>
  <si>
    <r>
      <t xml:space="preserve">value) </t>
    </r>
    <r>
      <rPr>
        <b/>
        <sz val="11"/>
        <color theme="1"/>
        <rFont val="Calibri"/>
        <family val="2"/>
        <scheme val="minor"/>
      </rPr>
      <t>3D graphs</t>
    </r>
    <r>
      <rPr>
        <sz val="11"/>
        <color theme="1"/>
        <rFont val="Calibri"/>
        <family val="2"/>
        <scheme val="minor"/>
      </rPr>
      <t xml:space="preserve"> for each </t>
    </r>
    <r>
      <rPr>
        <b/>
        <sz val="11"/>
        <color theme="1"/>
        <rFont val="Calibri"/>
        <family val="2"/>
        <scheme val="minor"/>
      </rPr>
      <t>greek</t>
    </r>
    <r>
      <rPr>
        <sz val="11"/>
        <color theme="1"/>
        <rFont val="Calibri"/>
        <family val="2"/>
        <scheme val="minor"/>
      </rPr>
      <t>.</t>
    </r>
  </si>
  <si>
    <r>
      <t xml:space="preserve">We will only focus on </t>
    </r>
    <r>
      <rPr>
        <b/>
        <sz val="11"/>
        <color theme="1"/>
        <rFont val="Calibri"/>
        <family val="2"/>
        <scheme val="minor"/>
      </rPr>
      <t>Call options</t>
    </r>
    <r>
      <rPr>
        <sz val="11"/>
        <color theme="1"/>
        <rFont val="Calibri"/>
        <family val="2"/>
        <scheme val="minor"/>
      </rPr>
      <t>.</t>
    </r>
  </si>
  <si>
    <r>
      <t xml:space="preserve">These are the </t>
    </r>
    <r>
      <rPr>
        <b/>
        <sz val="11"/>
        <color theme="1"/>
        <rFont val="Calibri"/>
        <family val="2"/>
        <scheme val="minor"/>
      </rPr>
      <t>3D plots</t>
    </r>
    <r>
      <rPr>
        <sz val="11"/>
        <color theme="1"/>
        <rFont val="Calibri"/>
        <family val="2"/>
        <scheme val="minor"/>
      </rPr>
      <t xml:space="preserve"> that I obtained for </t>
    </r>
    <r>
      <rPr>
        <b/>
        <sz val="11"/>
        <color theme="1"/>
        <rFont val="Calibri"/>
        <family val="2"/>
        <scheme val="minor"/>
      </rPr>
      <t>vol=10%,20%,40%</t>
    </r>
    <r>
      <rPr>
        <sz val="11"/>
        <color theme="1"/>
        <rFont val="Calibri"/>
        <family val="2"/>
        <scheme val="minor"/>
      </rPr>
      <t xml:space="preserve"> respectively:</t>
    </r>
  </si>
  <si>
    <r>
      <t xml:space="preserve">I can </t>
    </r>
    <r>
      <rPr>
        <b/>
        <sz val="11"/>
        <color theme="1"/>
        <rFont val="Calibri"/>
        <family val="2"/>
        <scheme val="minor"/>
      </rPr>
      <t>observe</t>
    </r>
    <r>
      <rPr>
        <sz val="11"/>
        <color theme="1"/>
        <rFont val="Calibri"/>
        <family val="2"/>
        <scheme val="minor"/>
      </rPr>
      <t xml:space="preserve"> the follwing things:</t>
    </r>
  </si>
  <si>
    <r>
      <t xml:space="preserve">1)If I </t>
    </r>
    <r>
      <rPr>
        <b/>
        <sz val="11"/>
        <color theme="1"/>
        <rFont val="Calibri"/>
        <family val="2"/>
        <scheme val="minor"/>
      </rPr>
      <t>fix</t>
    </r>
    <r>
      <rPr>
        <sz val="11"/>
        <color theme="1"/>
        <rFont val="Calibri"/>
        <family val="2"/>
        <scheme val="minor"/>
      </rPr>
      <t xml:space="preserve"> the initial price</t>
    </r>
    <r>
      <rPr>
        <b/>
        <sz val="11"/>
        <color theme="1"/>
        <rFont val="Calibri"/>
        <family val="2"/>
        <scheme val="minor"/>
      </rPr>
      <t xml:space="preserve"> S</t>
    </r>
    <r>
      <rPr>
        <sz val="11"/>
        <color theme="1"/>
        <rFont val="Calibri"/>
        <family val="2"/>
        <scheme val="minor"/>
      </rPr>
      <t xml:space="preserve">, I can see that </t>
    </r>
    <r>
      <rPr>
        <b/>
        <sz val="11"/>
        <color theme="1"/>
        <rFont val="Calibri"/>
        <family val="2"/>
        <scheme val="minor"/>
      </rPr>
      <t>Delta grows with the maturity time Tau if and only if S&lt;=K</t>
    </r>
    <r>
      <rPr>
        <sz val="11"/>
        <color theme="1"/>
        <rFont val="Calibri"/>
        <family val="2"/>
        <scheme val="minor"/>
      </rPr>
      <t>,</t>
    </r>
  </si>
  <si>
    <r>
      <t xml:space="preserve">2) If I </t>
    </r>
    <r>
      <rPr>
        <b/>
        <sz val="11"/>
        <color theme="1"/>
        <rFont val="Calibri"/>
        <family val="2"/>
        <scheme val="minor"/>
      </rPr>
      <t>fix</t>
    </r>
    <r>
      <rPr>
        <sz val="11"/>
        <color theme="1"/>
        <rFont val="Calibri"/>
        <family val="2"/>
        <scheme val="minor"/>
      </rPr>
      <t xml:space="preserve"> the maturity time </t>
    </r>
    <r>
      <rPr>
        <b/>
        <sz val="11"/>
        <color theme="1"/>
        <rFont val="Calibri"/>
        <family val="2"/>
        <scheme val="minor"/>
      </rPr>
      <t>Tau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Delta grows as the initial price grows</t>
    </r>
    <r>
      <rPr>
        <sz val="11"/>
        <color theme="1"/>
        <rFont val="Calibri"/>
        <family val="2"/>
        <scheme val="minor"/>
      </rPr>
      <t xml:space="preserve">. We can also see that for </t>
    </r>
    <r>
      <rPr>
        <b/>
        <sz val="11"/>
        <color theme="1"/>
        <rFont val="Calibri"/>
        <family val="2"/>
        <scheme val="minor"/>
      </rPr>
      <t>lower</t>
    </r>
    <r>
      <rPr>
        <sz val="11"/>
        <color theme="1"/>
        <rFont val="Calibri"/>
        <family val="2"/>
        <scheme val="minor"/>
      </rPr>
      <t xml:space="preserve"> values</t>
    </r>
  </si>
  <si>
    <r>
      <rPr>
        <b/>
        <sz val="11"/>
        <color theme="1"/>
        <rFont val="Calibri"/>
        <family val="2"/>
        <scheme val="minor"/>
      </rPr>
      <t xml:space="preserve">large </t>
    </r>
    <r>
      <rPr>
        <sz val="11"/>
        <color theme="1"/>
        <rFont val="Calibri"/>
        <family val="2"/>
        <scheme val="minor"/>
      </rPr>
      <t>we have a more</t>
    </r>
    <r>
      <rPr>
        <b/>
        <sz val="11"/>
        <color theme="1"/>
        <rFont val="Calibri"/>
        <family val="2"/>
        <scheme val="minor"/>
      </rPr>
      <t xml:space="preserve"> linear growth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</si>
  <si>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Gamma</t>
    </r>
    <r>
      <rPr>
        <sz val="11"/>
        <color theme="1"/>
        <rFont val="Calibri"/>
        <family val="2"/>
        <scheme val="minor"/>
      </rPr>
      <t xml:space="preserve"> the </t>
    </r>
    <r>
      <rPr>
        <b/>
        <sz val="11"/>
        <color theme="1"/>
        <rFont val="Calibri"/>
        <family val="2"/>
        <scheme val="minor"/>
      </rPr>
      <t>partial derivative of Delta</t>
    </r>
    <r>
      <rPr>
        <sz val="11"/>
        <color theme="1"/>
        <rFont val="Calibri"/>
        <family val="2"/>
        <scheme val="minor"/>
      </rPr>
      <t xml:space="preserve"> with respect to</t>
    </r>
    <r>
      <rPr>
        <b/>
        <sz val="11"/>
        <color theme="1"/>
        <rFont val="Calibri"/>
        <family val="2"/>
        <scheme val="minor"/>
      </rPr>
      <t xml:space="preserve"> S</t>
    </r>
    <r>
      <rPr>
        <sz val="11"/>
        <color theme="1"/>
        <rFont val="Calibri"/>
        <family val="2"/>
        <scheme val="minor"/>
      </rPr>
      <t xml:space="preserve"> (equivalently the second partial derivative of the</t>
    </r>
  </si>
  <si>
    <r>
      <t xml:space="preserve">I can </t>
    </r>
    <r>
      <rPr>
        <b/>
        <sz val="11"/>
        <color theme="1"/>
        <rFont val="Calibri"/>
        <family val="2"/>
        <scheme val="minor"/>
      </rPr>
      <t>observe</t>
    </r>
    <r>
      <rPr>
        <sz val="11"/>
        <color theme="1"/>
        <rFont val="Calibri"/>
        <family val="2"/>
        <scheme val="minor"/>
      </rPr>
      <t xml:space="preserve"> the following things:</t>
    </r>
  </si>
  <si>
    <r>
      <t xml:space="preserve">1) If I </t>
    </r>
    <r>
      <rPr>
        <b/>
        <sz val="11"/>
        <color theme="1"/>
        <rFont val="Calibri"/>
        <family val="2"/>
        <scheme val="minor"/>
      </rPr>
      <t>fix</t>
    </r>
    <r>
      <rPr>
        <sz val="11"/>
        <color theme="1"/>
        <rFont val="Calibri"/>
        <family val="2"/>
        <scheme val="minor"/>
      </rPr>
      <t xml:space="preserve"> the initial price </t>
    </r>
    <r>
      <rPr>
        <b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Gamma grows with Tau if and only if S is far enough from the strike price K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</si>
  <si>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otherwise</t>
    </r>
    <r>
      <rPr>
        <sz val="11"/>
        <color theme="1"/>
        <rFont val="Calibri"/>
        <family val="2"/>
        <scheme val="minor"/>
      </rPr>
      <t xml:space="preserve"> it </t>
    </r>
    <r>
      <rPr>
        <b/>
        <sz val="11"/>
        <color theme="1"/>
        <rFont val="Calibri"/>
        <family val="2"/>
        <scheme val="minor"/>
      </rPr>
      <t>decreases as Tau grows</t>
    </r>
    <r>
      <rPr>
        <sz val="11"/>
        <color theme="1"/>
        <rFont val="Calibri"/>
        <family val="2"/>
        <scheme val="minor"/>
      </rPr>
      <t xml:space="preserve">.  </t>
    </r>
  </si>
  <si>
    <r>
      <t xml:space="preserve">of </t>
    </r>
    <r>
      <rPr>
        <b/>
        <sz val="11"/>
        <color theme="1"/>
        <rFont val="Calibri"/>
        <family val="2"/>
        <scheme val="minor"/>
      </rPr>
      <t>Tau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Delta</t>
    </r>
    <r>
      <rPr>
        <sz val="11"/>
        <color theme="1"/>
        <rFont val="Calibri"/>
        <family val="2"/>
        <scheme val="minor"/>
      </rPr>
      <t xml:space="preserve"> has a very </t>
    </r>
    <r>
      <rPr>
        <b/>
        <sz val="11"/>
        <color theme="1"/>
        <rFont val="Calibri"/>
        <family val="2"/>
        <scheme val="minor"/>
      </rPr>
      <t>big jump</t>
    </r>
    <r>
      <rPr>
        <sz val="11"/>
        <color theme="1"/>
        <rFont val="Calibri"/>
        <family val="2"/>
        <scheme val="minor"/>
      </rPr>
      <t xml:space="preserve"> in values when we are </t>
    </r>
    <r>
      <rPr>
        <b/>
        <sz val="11"/>
        <color theme="1"/>
        <rFont val="Calibri"/>
        <family val="2"/>
        <scheme val="minor"/>
      </rPr>
      <t>around the strike price</t>
    </r>
    <r>
      <rPr>
        <sz val="11"/>
        <color theme="1"/>
        <rFont val="Calibri"/>
        <family val="2"/>
        <scheme val="minor"/>
      </rPr>
      <t xml:space="preserve">. </t>
    </r>
    <r>
      <rPr>
        <b/>
        <sz val="11"/>
        <color theme="1"/>
        <rFont val="Calibri"/>
        <family val="2"/>
        <scheme val="minor"/>
      </rPr>
      <t>Otherwise</t>
    </r>
    <r>
      <rPr>
        <sz val="11"/>
        <color theme="1"/>
        <rFont val="Calibri"/>
        <family val="2"/>
        <scheme val="minor"/>
      </rPr>
      <t xml:space="preserve"> when </t>
    </r>
    <r>
      <rPr>
        <b/>
        <sz val="11"/>
        <color theme="1"/>
        <rFont val="Calibri"/>
        <family val="2"/>
        <scheme val="minor"/>
      </rPr>
      <t xml:space="preserve">Tau </t>
    </r>
    <r>
      <rPr>
        <sz val="11"/>
        <color theme="1"/>
        <rFont val="Calibri"/>
        <family val="2"/>
        <scheme val="minor"/>
      </rPr>
      <t xml:space="preserve">is </t>
    </r>
  </si>
  <si>
    <r>
      <rPr>
        <b/>
        <sz val="11"/>
        <color theme="1"/>
        <rFont val="Calibri"/>
        <family val="2"/>
        <scheme val="minor"/>
      </rPr>
      <t>Otherwise</t>
    </r>
    <r>
      <rPr>
        <sz val="11"/>
        <color theme="1"/>
        <rFont val="Calibri"/>
        <family val="2"/>
        <scheme val="minor"/>
      </rPr>
      <t xml:space="preserve"> it will </t>
    </r>
    <r>
      <rPr>
        <b/>
        <sz val="11"/>
        <color theme="1"/>
        <rFont val="Calibri"/>
        <family val="2"/>
        <scheme val="minor"/>
      </rPr>
      <t>decrease as T increases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</si>
  <si>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Delta</t>
    </r>
    <r>
      <rPr>
        <sz val="11"/>
        <color theme="1"/>
        <rFont val="Calibri"/>
        <family val="2"/>
        <scheme val="minor"/>
      </rPr>
      <t xml:space="preserve"> is the </t>
    </r>
    <r>
      <rPr>
        <b/>
        <sz val="11"/>
        <color theme="1"/>
        <rFont val="Calibri"/>
        <family val="2"/>
        <scheme val="minor"/>
      </rPr>
      <t>partial derivative</t>
    </r>
    <r>
      <rPr>
        <sz val="11"/>
        <color theme="1"/>
        <rFont val="Calibri"/>
        <family val="2"/>
        <scheme val="minor"/>
      </rPr>
      <t xml:space="preserve"> of the</t>
    </r>
    <r>
      <rPr>
        <b/>
        <sz val="11"/>
        <color theme="1"/>
        <rFont val="Calibri"/>
        <family val="2"/>
        <scheme val="minor"/>
      </rPr>
      <t xml:space="preserve"> price</t>
    </r>
    <r>
      <rPr>
        <sz val="11"/>
        <color theme="1"/>
        <rFont val="Calibri"/>
        <family val="2"/>
        <scheme val="minor"/>
      </rPr>
      <t xml:space="preserve"> with respect to </t>
    </r>
    <r>
      <rPr>
        <b/>
        <sz val="11"/>
        <color theme="1"/>
        <rFont val="Calibri"/>
        <family val="2"/>
        <scheme val="minor"/>
      </rPr>
      <t>S</t>
    </r>
  </si>
  <si>
    <r>
      <rPr>
        <b/>
        <sz val="11"/>
        <color theme="1"/>
        <rFont val="Calibri"/>
        <family val="2"/>
        <scheme val="minor"/>
      </rPr>
      <t>Rho</t>
    </r>
    <r>
      <rPr>
        <sz val="11"/>
        <color theme="1"/>
        <rFont val="Calibri"/>
        <family val="2"/>
        <scheme val="minor"/>
      </rPr>
      <t xml:space="preserve"> is the</t>
    </r>
    <r>
      <rPr>
        <b/>
        <sz val="11"/>
        <color theme="1"/>
        <rFont val="Calibri"/>
        <family val="2"/>
        <scheme val="minor"/>
      </rPr>
      <t xml:space="preserve"> partial derivative of the price </t>
    </r>
    <r>
      <rPr>
        <sz val="11"/>
        <color theme="1"/>
        <rFont val="Calibri"/>
        <family val="2"/>
        <scheme val="minor"/>
      </rPr>
      <t>with respect to the interest rate</t>
    </r>
    <r>
      <rPr>
        <b/>
        <sz val="11"/>
        <color theme="1"/>
        <rFont val="Calibri"/>
        <family val="2"/>
        <scheme val="minor"/>
      </rPr>
      <t xml:space="preserve"> r</t>
    </r>
    <r>
      <rPr>
        <sz val="11"/>
        <color theme="1"/>
        <rFont val="Calibri"/>
        <family val="2"/>
        <scheme val="minor"/>
      </rPr>
      <t>.</t>
    </r>
  </si>
  <si>
    <r>
      <t xml:space="preserve">These are the </t>
    </r>
    <r>
      <rPr>
        <b/>
        <sz val="11"/>
        <color theme="1"/>
        <rFont val="Calibri"/>
        <family val="2"/>
        <scheme val="minor"/>
      </rPr>
      <t>3D plots</t>
    </r>
    <r>
      <rPr>
        <sz val="11"/>
        <color theme="1"/>
        <rFont val="Calibri"/>
        <family val="2"/>
        <scheme val="minor"/>
      </rPr>
      <t xml:space="preserve"> that I obtained for </t>
    </r>
    <r>
      <rPr>
        <b/>
        <sz val="11"/>
        <color theme="1"/>
        <rFont val="Calibri"/>
        <family val="2"/>
        <scheme val="minor"/>
      </rPr>
      <t xml:space="preserve">vol=10%,20%,40% </t>
    </r>
    <r>
      <rPr>
        <sz val="11"/>
        <color theme="1"/>
        <rFont val="Calibri"/>
        <family val="2"/>
        <scheme val="minor"/>
      </rPr>
      <t>respectively:</t>
    </r>
  </si>
  <si>
    <r>
      <t xml:space="preserve">1) If I </t>
    </r>
    <r>
      <rPr>
        <b/>
        <sz val="11"/>
        <color theme="1"/>
        <rFont val="Calibri"/>
        <family val="2"/>
        <scheme val="minor"/>
      </rPr>
      <t>fix</t>
    </r>
    <r>
      <rPr>
        <sz val="11"/>
        <color theme="1"/>
        <rFont val="Calibri"/>
        <family val="2"/>
        <scheme val="minor"/>
      </rPr>
      <t xml:space="preserve"> the initial price </t>
    </r>
    <r>
      <rPr>
        <b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Rho grows as the maturity time increases</t>
    </r>
    <r>
      <rPr>
        <sz val="11"/>
        <color theme="1"/>
        <rFont val="Calibri"/>
        <family val="2"/>
        <scheme val="minor"/>
      </rPr>
      <t xml:space="preserve">. The </t>
    </r>
    <r>
      <rPr>
        <b/>
        <sz val="11"/>
        <color theme="1"/>
        <rFont val="Calibri"/>
        <family val="2"/>
        <scheme val="minor"/>
      </rPr>
      <t>higher the initial price</t>
    </r>
    <r>
      <rPr>
        <sz val="11"/>
        <color theme="1"/>
        <rFont val="Calibri"/>
        <family val="2"/>
        <scheme val="minor"/>
      </rPr>
      <t xml:space="preserve"> </t>
    </r>
  </si>
  <si>
    <r>
      <t xml:space="preserve">the </t>
    </r>
    <r>
      <rPr>
        <b/>
        <sz val="11"/>
        <color theme="1"/>
        <rFont val="Calibri"/>
        <family val="2"/>
        <scheme val="minor"/>
      </rPr>
      <t>more prominent</t>
    </r>
    <r>
      <rPr>
        <sz val="11"/>
        <color theme="1"/>
        <rFont val="Calibri"/>
        <family val="2"/>
        <scheme val="minor"/>
      </rPr>
      <t xml:space="preserve"> this</t>
    </r>
    <r>
      <rPr>
        <b/>
        <sz val="11"/>
        <color theme="1"/>
        <rFont val="Calibri"/>
        <family val="2"/>
        <scheme val="minor"/>
      </rPr>
      <t xml:space="preserve"> increase </t>
    </r>
    <r>
      <rPr>
        <sz val="11"/>
        <color theme="1"/>
        <rFont val="Calibri"/>
        <family val="2"/>
        <scheme val="minor"/>
      </rPr>
      <t>is.</t>
    </r>
  </si>
  <si>
    <r>
      <t xml:space="preserve">2) If I </t>
    </r>
    <r>
      <rPr>
        <b/>
        <sz val="11"/>
        <color theme="1"/>
        <rFont val="Calibri"/>
        <family val="2"/>
        <scheme val="minor"/>
      </rPr>
      <t>fix</t>
    </r>
    <r>
      <rPr>
        <sz val="11"/>
        <color theme="1"/>
        <rFont val="Calibri"/>
        <family val="2"/>
        <scheme val="minor"/>
      </rPr>
      <t xml:space="preserve"> the maturity time </t>
    </r>
    <r>
      <rPr>
        <b/>
        <sz val="11"/>
        <color theme="1"/>
        <rFont val="Calibri"/>
        <family val="2"/>
        <scheme val="minor"/>
      </rPr>
      <t>Tau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Rho grows as the initial price increases</t>
    </r>
    <r>
      <rPr>
        <sz val="11"/>
        <color theme="1"/>
        <rFont val="Calibri"/>
        <family val="2"/>
        <scheme val="minor"/>
      </rPr>
      <t>.</t>
    </r>
  </si>
  <si>
    <r>
      <t xml:space="preserve">(i.e. increasing the volatility makes the </t>
    </r>
    <r>
      <rPr>
        <b/>
        <sz val="11"/>
        <color theme="1"/>
        <rFont val="Calibri"/>
        <family val="2"/>
        <scheme val="minor"/>
      </rPr>
      <t>lower values higher</t>
    </r>
    <r>
      <rPr>
        <sz val="11"/>
        <color theme="1"/>
        <rFont val="Calibri"/>
        <family val="2"/>
        <scheme val="minor"/>
      </rPr>
      <t xml:space="preserve"> and the</t>
    </r>
    <r>
      <rPr>
        <b/>
        <sz val="11"/>
        <color theme="1"/>
        <rFont val="Calibri"/>
        <family val="2"/>
        <scheme val="minor"/>
      </rPr>
      <t xml:space="preserve"> higher values lower</t>
    </r>
    <r>
      <rPr>
        <sz val="11"/>
        <color theme="1"/>
        <rFont val="Calibri"/>
        <family val="2"/>
        <scheme val="minor"/>
      </rPr>
      <t xml:space="preserve"> when we fix Tau)</t>
    </r>
  </si>
  <si>
    <r>
      <rPr>
        <b/>
        <sz val="11"/>
        <color theme="1"/>
        <rFont val="Calibri"/>
        <family val="2"/>
        <scheme val="minor"/>
      </rPr>
      <t>Theta</t>
    </r>
    <r>
      <rPr>
        <sz val="11"/>
        <color theme="1"/>
        <rFont val="Calibri"/>
        <family val="2"/>
        <scheme val="minor"/>
      </rPr>
      <t xml:space="preserve"> is the </t>
    </r>
    <r>
      <rPr>
        <b/>
        <sz val="11"/>
        <color theme="1"/>
        <rFont val="Calibri"/>
        <family val="2"/>
        <scheme val="minor"/>
      </rPr>
      <t>partial derivative of the price</t>
    </r>
    <r>
      <rPr>
        <sz val="11"/>
        <color theme="1"/>
        <rFont val="Calibri"/>
        <family val="2"/>
        <scheme val="minor"/>
      </rPr>
      <t xml:space="preserve"> with respect to the time</t>
    </r>
    <r>
      <rPr>
        <b/>
        <sz val="11"/>
        <color theme="1"/>
        <rFont val="Calibri"/>
        <family val="2"/>
        <scheme val="minor"/>
      </rPr>
      <t xml:space="preserve"> t</t>
    </r>
  </si>
  <si>
    <r>
      <t xml:space="preserve">1)This is the </t>
    </r>
    <r>
      <rPr>
        <b/>
        <sz val="11"/>
        <color theme="1"/>
        <rFont val="Calibri"/>
        <family val="2"/>
        <scheme val="minor"/>
      </rPr>
      <t>only Greek</t>
    </r>
    <r>
      <rPr>
        <sz val="11"/>
        <color theme="1"/>
        <rFont val="Calibri"/>
        <family val="2"/>
        <scheme val="minor"/>
      </rPr>
      <t xml:space="preserve"> that assumes values</t>
    </r>
    <r>
      <rPr>
        <b/>
        <sz val="11"/>
        <color theme="1"/>
        <rFont val="Calibri"/>
        <family val="2"/>
        <scheme val="minor"/>
      </rPr>
      <t xml:space="preserve"> lower than 0</t>
    </r>
    <r>
      <rPr>
        <sz val="11"/>
        <color theme="1"/>
        <rFont val="Calibri"/>
        <family val="2"/>
        <scheme val="minor"/>
      </rPr>
      <t>.</t>
    </r>
  </si>
  <si>
    <r>
      <t xml:space="preserve">2) If I </t>
    </r>
    <r>
      <rPr>
        <b/>
        <sz val="11"/>
        <color theme="1"/>
        <rFont val="Calibri"/>
        <family val="2"/>
        <scheme val="minor"/>
      </rPr>
      <t>fix</t>
    </r>
    <r>
      <rPr>
        <sz val="11"/>
        <color theme="1"/>
        <rFont val="Calibri"/>
        <family val="2"/>
        <scheme val="minor"/>
      </rPr>
      <t xml:space="preserve"> the initial price</t>
    </r>
    <r>
      <rPr>
        <b/>
        <sz val="11"/>
        <color theme="1"/>
        <rFont val="Calibri"/>
        <family val="2"/>
        <scheme val="minor"/>
      </rPr>
      <t xml:space="preserve"> 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Theta</t>
    </r>
    <r>
      <rPr>
        <sz val="11"/>
        <color theme="1"/>
        <rFont val="Calibri"/>
        <family val="2"/>
        <scheme val="minor"/>
      </rPr>
      <t xml:space="preserve"> behaves in the </t>
    </r>
    <r>
      <rPr>
        <b/>
        <sz val="11"/>
        <color theme="1"/>
        <rFont val="Calibri"/>
        <family val="2"/>
        <scheme val="minor"/>
      </rPr>
      <t>same</t>
    </r>
    <r>
      <rPr>
        <sz val="11"/>
        <color theme="1"/>
        <rFont val="Calibri"/>
        <family val="2"/>
        <scheme val="minor"/>
      </rPr>
      <t xml:space="preserve"> (but </t>
    </r>
    <r>
      <rPr>
        <b/>
        <sz val="11"/>
        <color theme="1"/>
        <rFont val="Calibri"/>
        <family val="2"/>
        <scheme val="minor"/>
      </rPr>
      <t>mirrored</t>
    </r>
    <r>
      <rPr>
        <sz val="11"/>
        <color theme="1"/>
        <rFont val="Calibri"/>
        <family val="2"/>
        <scheme val="minor"/>
      </rPr>
      <t xml:space="preserve"> on the plane</t>
    </r>
    <r>
      <rPr>
        <b/>
        <sz val="11"/>
        <color theme="1"/>
        <rFont val="Calibri"/>
        <family val="2"/>
        <scheme val="minor"/>
      </rPr>
      <t xml:space="preserve"> z=0</t>
    </r>
    <r>
      <rPr>
        <sz val="11"/>
        <color theme="1"/>
        <rFont val="Calibri"/>
        <family val="2"/>
        <scheme val="minor"/>
      </rPr>
      <t xml:space="preserve">) of </t>
    </r>
    <r>
      <rPr>
        <b/>
        <sz val="11"/>
        <color theme="1"/>
        <rFont val="Calibri"/>
        <family val="2"/>
        <scheme val="minor"/>
      </rPr>
      <t>Gamma</t>
    </r>
  </si>
  <si>
    <r>
      <rPr>
        <b/>
        <sz val="11"/>
        <color theme="1"/>
        <rFont val="Calibri"/>
        <family val="2"/>
        <scheme val="minor"/>
      </rPr>
      <t>higher initial prices is lower</t>
    </r>
    <r>
      <rPr>
        <sz val="11"/>
        <color theme="1"/>
        <rFont val="Calibri"/>
        <family val="2"/>
        <scheme val="minor"/>
      </rPr>
      <t xml:space="preserve"> (thus higher in absolute value) than the </t>
    </r>
    <r>
      <rPr>
        <b/>
        <sz val="11"/>
        <color theme="1"/>
        <rFont val="Calibri"/>
        <family val="2"/>
        <scheme val="minor"/>
      </rPr>
      <t>other</t>
    </r>
    <r>
      <rPr>
        <sz val="11"/>
        <color theme="1"/>
        <rFont val="Calibri"/>
        <family val="2"/>
        <scheme val="minor"/>
      </rPr>
      <t xml:space="preserve"> tail.</t>
    </r>
  </si>
  <si>
    <r>
      <t xml:space="preserve">3) An </t>
    </r>
    <r>
      <rPr>
        <b/>
        <sz val="11"/>
        <color theme="1"/>
        <rFont val="Calibri"/>
        <family val="2"/>
        <scheme val="minor"/>
      </rPr>
      <t>increase in the volatility</t>
    </r>
    <r>
      <rPr>
        <sz val="11"/>
        <color theme="1"/>
        <rFont val="Calibri"/>
        <family val="2"/>
        <scheme val="minor"/>
      </rPr>
      <t xml:space="preserve"> has </t>
    </r>
    <r>
      <rPr>
        <b/>
        <sz val="11"/>
        <color theme="1"/>
        <rFont val="Calibri"/>
        <family val="2"/>
        <scheme val="minor"/>
      </rPr>
      <t>2 effects</t>
    </r>
    <r>
      <rPr>
        <sz val="11"/>
        <color theme="1"/>
        <rFont val="Calibri"/>
        <family val="2"/>
        <scheme val="minor"/>
      </rPr>
      <t xml:space="preserve">: it makes </t>
    </r>
    <r>
      <rPr>
        <b/>
        <sz val="11"/>
        <color theme="1"/>
        <rFont val="Calibri"/>
        <family val="2"/>
        <scheme val="minor"/>
      </rPr>
      <t>1) more prominent and 2) less prominent</t>
    </r>
    <r>
      <rPr>
        <sz val="11"/>
        <color theme="1"/>
        <rFont val="Calibri"/>
        <family val="2"/>
        <scheme val="minor"/>
      </rPr>
      <t>.</t>
    </r>
  </si>
  <si>
    <r>
      <t xml:space="preserve">3) </t>
    </r>
    <r>
      <rPr>
        <b/>
        <sz val="11"/>
        <color theme="1"/>
        <rFont val="Calibri"/>
        <family val="2"/>
        <scheme val="minor"/>
      </rPr>
      <t>Increasing the volatility</t>
    </r>
    <r>
      <rPr>
        <sz val="11"/>
        <color theme="1"/>
        <rFont val="Calibri"/>
        <family val="2"/>
        <scheme val="minor"/>
      </rPr>
      <t xml:space="preserve"> has </t>
    </r>
    <r>
      <rPr>
        <b/>
        <sz val="11"/>
        <color theme="1"/>
        <rFont val="Calibri"/>
        <family val="2"/>
        <scheme val="minor"/>
      </rPr>
      <t>2 effects</t>
    </r>
    <r>
      <rPr>
        <sz val="11"/>
        <color theme="1"/>
        <rFont val="Calibri"/>
        <family val="2"/>
        <scheme val="minor"/>
      </rPr>
      <t xml:space="preserve">: it makes </t>
    </r>
    <r>
      <rPr>
        <b/>
        <sz val="11"/>
        <color theme="1"/>
        <rFont val="Calibri"/>
        <family val="2"/>
        <scheme val="minor"/>
      </rPr>
      <t>1) more prominent</t>
    </r>
    <r>
      <rPr>
        <sz val="11"/>
        <color theme="1"/>
        <rFont val="Calibri"/>
        <family val="2"/>
        <scheme val="minor"/>
      </rPr>
      <t xml:space="preserve"> and makes the aformentioned </t>
    </r>
  </si>
  <si>
    <r>
      <t xml:space="preserve">3) Having </t>
    </r>
    <r>
      <rPr>
        <b/>
        <sz val="11"/>
        <color theme="1"/>
        <rFont val="Calibri"/>
        <family val="2"/>
        <scheme val="minor"/>
      </rPr>
      <t>more volatility</t>
    </r>
    <r>
      <rPr>
        <sz val="11"/>
        <color theme="1"/>
        <rFont val="Calibri"/>
        <family val="2"/>
        <scheme val="minor"/>
      </rPr>
      <t xml:space="preserve"> causes </t>
    </r>
    <r>
      <rPr>
        <b/>
        <sz val="11"/>
        <color theme="1"/>
        <rFont val="Calibri"/>
        <family val="2"/>
        <scheme val="minor"/>
      </rPr>
      <t>2 effects</t>
    </r>
    <r>
      <rPr>
        <sz val="11"/>
        <color theme="1"/>
        <rFont val="Calibri"/>
        <family val="2"/>
        <scheme val="minor"/>
      </rPr>
      <t xml:space="preserve">: it makes </t>
    </r>
    <r>
      <rPr>
        <b/>
        <sz val="11"/>
        <color theme="1"/>
        <rFont val="Calibri"/>
        <family val="2"/>
        <scheme val="minor"/>
      </rPr>
      <t>1) more prominent</t>
    </r>
    <r>
      <rPr>
        <sz val="11"/>
        <color theme="1"/>
        <rFont val="Calibri"/>
        <family val="2"/>
        <scheme val="minor"/>
      </rPr>
      <t xml:space="preserve"> and it </t>
    </r>
    <r>
      <rPr>
        <b/>
        <sz val="11"/>
        <color theme="1"/>
        <rFont val="Calibri"/>
        <family val="2"/>
        <scheme val="minor"/>
      </rPr>
      <t>squeezes the effects of 2)</t>
    </r>
  </si>
  <si>
    <r>
      <t>4)</t>
    </r>
    <r>
      <rPr>
        <b/>
        <sz val="11"/>
        <color theme="1"/>
        <rFont val="Calibri"/>
        <family val="2"/>
        <scheme val="minor"/>
      </rPr>
      <t>Increasing the volatility</t>
    </r>
    <r>
      <rPr>
        <sz val="11"/>
        <color theme="1"/>
        <rFont val="Calibri"/>
        <family val="2"/>
        <scheme val="minor"/>
      </rPr>
      <t xml:space="preserve"> has 2 effects: </t>
    </r>
    <r>
      <rPr>
        <b/>
        <sz val="11"/>
        <color theme="1"/>
        <rFont val="Calibri"/>
        <family val="2"/>
        <scheme val="minor"/>
      </rPr>
      <t>1) is more prominen</t>
    </r>
    <r>
      <rPr>
        <sz val="11"/>
        <color theme="1"/>
        <rFont val="Calibri"/>
        <family val="2"/>
        <scheme val="minor"/>
      </rPr>
      <t xml:space="preserve">t and it </t>
    </r>
    <r>
      <rPr>
        <b/>
        <sz val="11"/>
        <color theme="1"/>
        <rFont val="Calibri"/>
        <family val="2"/>
        <scheme val="minor"/>
      </rPr>
      <t>exacerbates the shape of our function</t>
    </r>
    <r>
      <rPr>
        <sz val="11"/>
        <color theme="1"/>
        <rFont val="Calibri"/>
        <family val="2"/>
        <scheme val="minor"/>
      </rPr>
      <t xml:space="preserve"> </t>
    </r>
  </si>
  <si>
    <r>
      <t>when Tau is fixed (i.e. makes the</t>
    </r>
    <r>
      <rPr>
        <b/>
        <sz val="11"/>
        <color theme="1"/>
        <rFont val="Calibri"/>
        <family val="2"/>
        <scheme val="minor"/>
      </rPr>
      <t xml:space="preserve"> higher values higher</t>
    </r>
    <r>
      <rPr>
        <sz val="11"/>
        <color theme="1"/>
        <rFont val="Calibri"/>
        <family val="2"/>
        <scheme val="minor"/>
      </rPr>
      <t xml:space="preserve">, the </t>
    </r>
    <r>
      <rPr>
        <b/>
        <sz val="11"/>
        <color theme="1"/>
        <rFont val="Calibri"/>
        <family val="2"/>
        <scheme val="minor"/>
      </rPr>
      <t>lower values lower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reducing the variance</t>
    </r>
    <r>
      <rPr>
        <sz val="11"/>
        <color theme="1"/>
        <rFont val="Calibri"/>
        <family val="2"/>
        <scheme val="minor"/>
      </rPr>
      <t xml:space="preserve"> of </t>
    </r>
  </si>
  <si>
    <r>
      <t xml:space="preserve">2) If I </t>
    </r>
    <r>
      <rPr>
        <b/>
        <sz val="11"/>
        <color theme="1"/>
        <rFont val="Calibri"/>
        <family val="2"/>
        <scheme val="minor"/>
      </rPr>
      <t xml:space="preserve">fix </t>
    </r>
    <r>
      <rPr>
        <sz val="11"/>
        <color theme="1"/>
        <rFont val="Calibri"/>
        <family val="2"/>
        <scheme val="minor"/>
      </rPr>
      <t xml:space="preserve">the time to maturity </t>
    </r>
    <r>
      <rPr>
        <b/>
        <sz val="11"/>
        <color theme="1"/>
        <rFont val="Calibri"/>
        <family val="2"/>
        <scheme val="minor"/>
      </rPr>
      <t>Tau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Gamma follows a Bell curve with maximum value found at S=K</t>
    </r>
  </si>
  <si>
    <r>
      <t xml:space="preserve">3)If I </t>
    </r>
    <r>
      <rPr>
        <b/>
        <sz val="11"/>
        <color theme="1"/>
        <rFont val="Calibri"/>
        <family val="2"/>
        <scheme val="minor"/>
      </rPr>
      <t>fix</t>
    </r>
    <r>
      <rPr>
        <sz val="11"/>
        <color theme="1"/>
        <rFont val="Calibri"/>
        <family val="2"/>
        <scheme val="minor"/>
      </rPr>
      <t xml:space="preserve"> the maturity time </t>
    </r>
    <r>
      <rPr>
        <b/>
        <sz val="11"/>
        <color theme="1"/>
        <rFont val="Calibri"/>
        <family val="2"/>
        <scheme val="minor"/>
      </rPr>
      <t>Tau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Theta assumes the shape of a Bell curve</t>
    </r>
    <r>
      <rPr>
        <sz val="11"/>
        <color theme="1"/>
        <rFont val="Calibri"/>
        <family val="2"/>
        <scheme val="minor"/>
      </rPr>
      <t xml:space="preserve"> where the </t>
    </r>
    <r>
      <rPr>
        <b/>
        <sz val="11"/>
        <color theme="1"/>
        <rFont val="Calibri"/>
        <family val="2"/>
        <scheme val="minor"/>
      </rPr>
      <t>tail</t>
    </r>
    <r>
      <rPr>
        <sz val="11"/>
        <color theme="1"/>
        <rFont val="Calibri"/>
        <family val="2"/>
        <scheme val="minor"/>
      </rPr>
      <t xml:space="preserve"> composed by the </t>
    </r>
  </si>
  <si>
    <r>
      <rPr>
        <b/>
        <sz val="11"/>
        <color theme="1"/>
        <rFont val="Calibri"/>
        <family val="2"/>
        <scheme val="minor"/>
      </rPr>
      <t>Vega</t>
    </r>
    <r>
      <rPr>
        <sz val="11"/>
        <color theme="1"/>
        <rFont val="Calibri"/>
        <family val="2"/>
        <scheme val="minor"/>
      </rPr>
      <t xml:space="preserve"> is the </t>
    </r>
    <r>
      <rPr>
        <b/>
        <sz val="11"/>
        <color theme="1"/>
        <rFont val="Calibri"/>
        <family val="2"/>
        <scheme val="minor"/>
      </rPr>
      <t>partial derivative of the price</t>
    </r>
    <r>
      <rPr>
        <sz val="11"/>
        <color theme="1"/>
        <rFont val="Calibri"/>
        <family val="2"/>
        <scheme val="minor"/>
      </rPr>
      <t xml:space="preserve"> with respect to the </t>
    </r>
    <r>
      <rPr>
        <b/>
        <sz val="11"/>
        <color theme="1"/>
        <rFont val="Calibri"/>
        <family val="2"/>
        <scheme val="minor"/>
      </rPr>
      <t>volatility</t>
    </r>
    <r>
      <rPr>
        <sz val="11"/>
        <color theme="1"/>
        <rFont val="Calibri"/>
        <family val="2"/>
        <scheme val="minor"/>
      </rPr>
      <t>.</t>
    </r>
  </si>
  <si>
    <r>
      <t xml:space="preserve">1) If I </t>
    </r>
    <r>
      <rPr>
        <b/>
        <sz val="11"/>
        <color theme="1"/>
        <rFont val="Calibri"/>
        <family val="2"/>
        <scheme val="minor"/>
      </rPr>
      <t>fix</t>
    </r>
    <r>
      <rPr>
        <sz val="11"/>
        <color theme="1"/>
        <rFont val="Calibri"/>
        <family val="2"/>
        <scheme val="minor"/>
      </rPr>
      <t xml:space="preserve"> the initial price</t>
    </r>
    <r>
      <rPr>
        <b/>
        <sz val="11"/>
        <color theme="1"/>
        <rFont val="Calibri"/>
        <family val="2"/>
        <scheme val="minor"/>
      </rPr>
      <t xml:space="preserve"> 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Vega grows as the time to maturity Tau increases</t>
    </r>
    <r>
      <rPr>
        <sz val="11"/>
        <color theme="1"/>
        <rFont val="Calibri"/>
        <family val="2"/>
        <scheme val="minor"/>
      </rPr>
      <t>.</t>
    </r>
  </si>
  <si>
    <r>
      <t xml:space="preserve">2) If I </t>
    </r>
    <r>
      <rPr>
        <b/>
        <sz val="11"/>
        <color theme="1"/>
        <rFont val="Calibri"/>
        <family val="2"/>
        <scheme val="minor"/>
      </rPr>
      <t>fix</t>
    </r>
    <r>
      <rPr>
        <sz val="11"/>
        <color theme="1"/>
        <rFont val="Calibri"/>
        <family val="2"/>
        <scheme val="minor"/>
      </rPr>
      <t xml:space="preserve"> the maturity </t>
    </r>
    <r>
      <rPr>
        <b/>
        <sz val="11"/>
        <color theme="1"/>
        <rFont val="Calibri"/>
        <family val="2"/>
        <scheme val="minor"/>
      </rPr>
      <t>Tau</t>
    </r>
    <r>
      <rPr>
        <sz val="11"/>
        <color theme="1"/>
        <rFont val="Calibri"/>
        <family val="2"/>
        <scheme val="minor"/>
      </rPr>
      <t xml:space="preserve">, then </t>
    </r>
    <r>
      <rPr>
        <b/>
        <sz val="11"/>
        <color theme="1"/>
        <rFont val="Calibri"/>
        <family val="2"/>
        <scheme val="minor"/>
      </rPr>
      <t>Vega</t>
    </r>
    <r>
      <rPr>
        <sz val="11"/>
        <color theme="1"/>
        <rFont val="Calibri"/>
        <family val="2"/>
        <scheme val="minor"/>
      </rPr>
      <t xml:space="preserve"> has the </t>
    </r>
    <r>
      <rPr>
        <b/>
        <sz val="11"/>
        <color theme="1"/>
        <rFont val="Calibri"/>
        <family val="2"/>
        <scheme val="minor"/>
      </rPr>
      <t>shape of a Bell curve</t>
    </r>
    <r>
      <rPr>
        <sz val="11"/>
        <color theme="1"/>
        <rFont val="Calibri"/>
        <family val="2"/>
        <scheme val="minor"/>
      </rPr>
      <t xml:space="preserve"> where the </t>
    </r>
    <r>
      <rPr>
        <b/>
        <sz val="11"/>
        <color theme="1"/>
        <rFont val="Calibri"/>
        <family val="2"/>
        <scheme val="minor"/>
      </rPr>
      <t>tail composed by the higher</t>
    </r>
  </si>
  <si>
    <r>
      <rPr>
        <b/>
        <sz val="11"/>
        <color theme="1"/>
        <rFont val="Calibri"/>
        <family val="2"/>
        <scheme val="minor"/>
      </rPr>
      <t xml:space="preserve"> values of S</t>
    </r>
    <r>
      <rPr>
        <sz val="11"/>
        <color theme="1"/>
        <rFont val="Calibri"/>
        <family val="2"/>
        <scheme val="minor"/>
      </rPr>
      <t xml:space="preserve"> is </t>
    </r>
    <r>
      <rPr>
        <b/>
        <sz val="11"/>
        <color theme="1"/>
        <rFont val="Calibri"/>
        <family val="2"/>
        <scheme val="minor"/>
      </rPr>
      <t>higher than its counterpart</t>
    </r>
    <r>
      <rPr>
        <sz val="11"/>
        <color theme="1"/>
        <rFont val="Calibri"/>
        <family val="2"/>
        <scheme val="minor"/>
      </rPr>
      <t>.</t>
    </r>
  </si>
  <si>
    <r>
      <t xml:space="preserve">3)An </t>
    </r>
    <r>
      <rPr>
        <b/>
        <sz val="11"/>
        <color theme="1"/>
        <rFont val="Calibri"/>
        <family val="2"/>
        <scheme val="minor"/>
      </rPr>
      <t>increase of the volatility</t>
    </r>
    <r>
      <rPr>
        <sz val="11"/>
        <color theme="1"/>
        <rFont val="Calibri"/>
        <family val="2"/>
        <scheme val="minor"/>
      </rPr>
      <t xml:space="preserve"> has </t>
    </r>
    <r>
      <rPr>
        <b/>
        <sz val="11"/>
        <color theme="1"/>
        <rFont val="Calibri"/>
        <family val="2"/>
        <scheme val="minor"/>
      </rPr>
      <t>2 effects</t>
    </r>
    <r>
      <rPr>
        <sz val="11"/>
        <color theme="1"/>
        <rFont val="Calibri"/>
        <family val="2"/>
        <scheme val="minor"/>
      </rPr>
      <t xml:space="preserve">: it makes </t>
    </r>
    <r>
      <rPr>
        <b/>
        <sz val="11"/>
        <color theme="1"/>
        <rFont val="Calibri"/>
        <family val="2"/>
        <scheme val="minor"/>
      </rPr>
      <t xml:space="preserve">1) more prominent </t>
    </r>
    <r>
      <rPr>
        <sz val="11"/>
        <color theme="1"/>
        <rFont val="Calibri"/>
        <family val="2"/>
        <scheme val="minor"/>
      </rPr>
      <t xml:space="preserve">and makes the </t>
    </r>
    <r>
      <rPr>
        <b/>
        <sz val="11"/>
        <color theme="1"/>
        <rFont val="Calibri"/>
        <family val="2"/>
        <scheme val="minor"/>
      </rPr>
      <t>Bell curve</t>
    </r>
  </si>
  <si>
    <r>
      <t xml:space="preserve">have a </t>
    </r>
    <r>
      <rPr>
        <b/>
        <sz val="11"/>
        <color theme="1"/>
        <rFont val="Calibri"/>
        <family val="2"/>
        <scheme val="minor"/>
      </rPr>
      <t>higher variance</t>
    </r>
  </si>
  <si>
    <r>
      <rPr>
        <b/>
        <sz val="11"/>
        <color theme="1"/>
        <rFont val="Calibri"/>
        <family val="2"/>
        <scheme val="minor"/>
      </rPr>
      <t>Bell curve</t>
    </r>
    <r>
      <rPr>
        <sz val="11"/>
        <color theme="1"/>
        <rFont val="Calibri"/>
        <family val="2"/>
        <scheme val="minor"/>
      </rPr>
      <t xml:space="preserve"> to have </t>
    </r>
    <r>
      <rPr>
        <b/>
        <sz val="11"/>
        <color theme="1"/>
        <rFont val="Calibri"/>
        <family val="2"/>
        <scheme val="minor"/>
      </rPr>
      <t>higher variance</t>
    </r>
    <r>
      <rPr>
        <sz val="11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</si>
</sst>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0" fillId="0" borderId="0" xfId="0"/>
    <xf numFmtId="0" fontId="1" fillId="0" borderId="0" xfId="0" applyFont="1"/>
    <xf numFmtId="0" fontId="0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Delta,</a:t>
            </a:r>
            <a:r>
              <a:rPr lang="en-US" baseline="0"/>
              <a:t> vol=10%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Delta!$B$3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Delta!$C$3:$AZ$3</c:f>
              <c:numCache>
                <c:formatCode>General</c:formatCode>
                <c:ptCount val="50"/>
                <c:pt idx="0">
                  <c:v>1.152199866581208E-58</c:v>
                </c:pt>
                <c:pt idx="1">
                  <c:v>3.4889502026674058E-30</c:v>
                </c:pt>
                <c:pt idx="2">
                  <c:v>1.1850476086013734E-20</c:v>
                </c:pt>
                <c:pt idx="3">
                  <c:v>7.1994037560856216E-16</c:v>
                </c:pt>
                <c:pt idx="4">
                  <c:v>5.4712789718469201E-13</c:v>
                </c:pt>
                <c:pt idx="5">
                  <c:v>4.6306900470662182E-11</c:v>
                </c:pt>
                <c:pt idx="6">
                  <c:v>1.1154484392717851E-9</c:v>
                </c:pt>
                <c:pt idx="7">
                  <c:v>1.2232280237899387E-8</c:v>
                </c:pt>
                <c:pt idx="8">
                  <c:v>7.9305503738124461E-8</c:v>
                </c:pt>
                <c:pt idx="9">
                  <c:v>3.5564355541459468E-7</c:v>
                </c:pt>
                <c:pt idx="10">
                  <c:v>1.2192239835265874E-6</c:v>
                </c:pt>
                <c:pt idx="11">
                  <c:v>3.415911667608909E-6</c:v>
                </c:pt>
                <c:pt idx="12">
                  <c:v>8.1919080088907209E-6</c:v>
                </c:pt>
                <c:pt idx="13">
                  <c:v>1.738179344392611E-5</c:v>
                </c:pt>
                <c:pt idx="14">
                  <c:v>3.3434181313195163E-5</c:v>
                </c:pt>
                <c:pt idx="15">
                  <c:v>5.9374498876366369E-5</c:v>
                </c:pt>
                <c:pt idx="16">
                  <c:v>9.8716886963735742E-5</c:v>
                </c:pt>
                <c:pt idx="17">
                  <c:v>1.5534291777073779E-4</c:v>
                </c:pt>
                <c:pt idx="18">
                  <c:v>2.3336509406720306E-4</c:v>
                </c:pt>
                <c:pt idx="19">
                  <c:v>3.3699015309893626E-4</c:v>
                </c:pt>
                <c:pt idx="20">
                  <c:v>4.7039300664574287E-4</c:v>
                </c:pt>
                <c:pt idx="21">
                  <c:v>6.3760798348354254E-4</c:v>
                </c:pt>
                <c:pt idx="22">
                  <c:v>8.4244055402268544E-4</c:v>
                </c:pt>
                <c:pt idx="23">
                  <c:v>1.088400124627938E-3</c:v>
                </c:pt>
                <c:pt idx="24">
                  <c:v>1.3786527570004673E-3</c:v>
                </c:pt>
                <c:pt idx="25">
                  <c:v>1.7159916486753394E-3</c:v>
                </c:pt>
                <c:pt idx="26">
                  <c:v>2.1028227265520614E-3</c:v>
                </c:pt>
                <c:pt idx="27">
                  <c:v>2.541162591487144E-3</c:v>
                </c:pt>
                <c:pt idx="28">
                  <c:v>3.0326461735267879E-3</c:v>
                </c:pt>
                <c:pt idx="29">
                  <c:v>3.5785417129918693E-3</c:v>
                </c:pt>
                <c:pt idx="30">
                  <c:v>4.1797710010394503E-3</c:v>
                </c:pt>
                <c:pt idx="31">
                  <c:v>4.8369331474042961E-3</c:v>
                </c:pt>
                <c:pt idx="32">
                  <c:v>5.5503304638071342E-3</c:v>
                </c:pt>
                <c:pt idx="33">
                  <c:v>6.3199953429158087E-3</c:v>
                </c:pt>
                <c:pt idx="34">
                  <c:v>7.1457172673657209E-3</c:v>
                </c:pt>
                <c:pt idx="35">
                  <c:v>8.027069299356775E-3</c:v>
                </c:pt>
                <c:pt idx="36">
                  <c:v>8.9634335802569205E-3</c:v>
                </c:pt>
                <c:pt idx="37">
                  <c:v>9.9540255147849734E-3</c:v>
                </c:pt>
                <c:pt idx="38">
                  <c:v>1.0997916429864574E-2</c:v>
                </c:pt>
                <c:pt idx="39">
                  <c:v>1.2094054588474413E-2</c:v>
                </c:pt>
                <c:pt idx="40">
                  <c:v>1.3241284507931566E-2</c:v>
                </c:pt>
                <c:pt idx="41">
                  <c:v>1.4438364583820629E-2</c:v>
                </c:pt>
                <c:pt idx="42">
                  <c:v>1.5683983058551419E-2</c:v>
                </c:pt>
                <c:pt idx="43">
                  <c:v>1.6976772400142889E-2</c:v>
                </c:pt>
                <c:pt idx="44">
                  <c:v>1.8315322174678777E-2</c:v>
                </c:pt>
                <c:pt idx="45">
                  <c:v>1.969819050694243E-2</c:v>
                </c:pt>
                <c:pt idx="46">
                  <c:v>2.1123914229619057E-2</c:v>
                </c:pt>
                <c:pt idx="47">
                  <c:v>2.2591017823454376E-2</c:v>
                </c:pt>
                <c:pt idx="48">
                  <c:v>2.4098021249908813E-2</c:v>
                </c:pt>
                <c:pt idx="49">
                  <c:v>2.564344677496205E-2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EE-4927-9DA1-130D9E699CE5}"/>
            </c:ext>
          </c:extLst>
        </c:ser>
        <c:ser>
          <c:idx val="1"/>
          <c:order val="1"/>
          <c:tx>
            <c:strRef>
              <c:f>Delta!$B$4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Delta!$C$4:$AZ$4</c:f>
              <c:numCache>
                <c:formatCode>General</c:formatCode>
                <c:ptCount val="50"/>
                <c:pt idx="0">
                  <c:v>2.8126612880568554E-42</c:v>
                </c:pt>
                <c:pt idx="1">
                  <c:v>5.5821144851587517E-22</c:v>
                </c:pt>
                <c:pt idx="2">
                  <c:v>3.5461176703588084E-15</c:v>
                </c:pt>
                <c:pt idx="3">
                  <c:v>9.3129642843239855E-12</c:v>
                </c:pt>
                <c:pt idx="4">
                  <c:v>1.0745001039870842E-9</c:v>
                </c:pt>
                <c:pt idx="5">
                  <c:v>2.5874472084445203E-8</c:v>
                </c:pt>
                <c:pt idx="6">
                  <c:v>2.5390046836316418E-7</c:v>
                </c:pt>
                <c:pt idx="7">
                  <c:v>1.4195096494921114E-6</c:v>
                </c:pt>
                <c:pt idx="8">
                  <c:v>5.4488726576165433E-6</c:v>
                </c:pt>
                <c:pt idx="9">
                  <c:v>1.6064307266339651E-5</c:v>
                </c:pt>
                <c:pt idx="10">
                  <c:v>3.907027174904934E-5</c:v>
                </c:pt>
                <c:pt idx="11">
                  <c:v>8.2222623433287958E-5</c:v>
                </c:pt>
                <c:pt idx="12">
                  <c:v>1.5476562431086335E-4</c:v>
                </c:pt>
                <c:pt idx="13">
                  <c:v>2.667987852032896E-4</c:v>
                </c:pt>
                <c:pt idx="14">
                  <c:v>4.2862450998820586E-4</c:v>
                </c:pt>
                <c:pt idx="15">
                  <c:v>6.5017768652727822E-4</c:v>
                </c:pt>
                <c:pt idx="16">
                  <c:v>9.4058624669536085E-4</c:v>
                </c:pt>
                <c:pt idx="17">
                  <c:v>1.3078729350655168E-3</c:v>
                </c:pt>
                <c:pt idx="18">
                  <c:v>1.7587854442977021E-3</c:v>
                </c:pt>
                <c:pt idx="19">
                  <c:v>2.2987314592982288E-3</c:v>
                </c:pt>
                <c:pt idx="20">
                  <c:v>2.9317926417498997E-3</c:v>
                </c:pt>
                <c:pt idx="21">
                  <c:v>3.6607935408569472E-3</c:v>
                </c:pt>
                <c:pt idx="22">
                  <c:v>4.4874053415493382E-3</c:v>
                </c:pt>
                <c:pt idx="23">
                  <c:v>5.4122687664904913E-3</c:v>
                </c:pt>
                <c:pt idx="24">
                  <c:v>6.4351245531634443E-3</c:v>
                </c:pt>
                <c:pt idx="25">
                  <c:v>7.5549433987338694E-3</c:v>
                </c:pt>
                <c:pt idx="26">
                  <c:v>8.7700500228962055E-3</c:v>
                </c:pt>
                <c:pt idx="27">
                  <c:v>1.0078238089572712E-2</c:v>
                </c:pt>
                <c:pt idx="28">
                  <c:v>1.1476874252260325E-2</c:v>
                </c:pt>
                <c:pt idx="29">
                  <c:v>1.296299065751454E-2</c:v>
                </c:pt>
                <c:pt idx="30">
                  <c:v>1.4533365961512369E-2</c:v>
                </c:pt>
                <c:pt idx="31">
                  <c:v>1.618459537522899E-2</c:v>
                </c:pt>
                <c:pt idx="32">
                  <c:v>1.7913150526462699E-2</c:v>
                </c:pt>
                <c:pt idx="33">
                  <c:v>1.9715430067525904E-2</c:v>
                </c:pt>
                <c:pt idx="34">
                  <c:v>2.1587802007871103E-2</c:v>
                </c:pt>
                <c:pt idx="35">
                  <c:v>2.352663874210921E-2</c:v>
                </c:pt>
                <c:pt idx="36">
                  <c:v>2.5528345698005158E-2</c:v>
                </c:pt>
                <c:pt idx="37">
                  <c:v>2.758938446174752E-2</c:v>
                </c:pt>
                <c:pt idx="38">
                  <c:v>2.9706291159851256E-2</c:v>
                </c:pt>
                <c:pt idx="39">
                  <c:v>3.1875690795675732E-2</c:v>
                </c:pt>
                <c:pt idx="40">
                  <c:v>3.4094308158393052E-2</c:v>
                </c:pt>
                <c:pt idx="41">
                  <c:v>3.6358975846180697E-2</c:v>
                </c:pt>
                <c:pt idx="42">
                  <c:v>3.8666639875059861E-2</c:v>
                </c:pt>
                <c:pt idx="43">
                  <c:v>4.1014363280924726E-2</c:v>
                </c:pt>
                <c:pt idx="44">
                  <c:v>4.3399328065114873E-2</c:v>
                </c:pt>
                <c:pt idx="45">
                  <c:v>4.5818835783233397E-2</c:v>
                </c:pt>
                <c:pt idx="46">
                  <c:v>4.8270307032435032E-2</c:v>
                </c:pt>
                <c:pt idx="47">
                  <c:v>5.0751280053630464E-2</c:v>
                </c:pt>
                <c:pt idx="48">
                  <c:v>5.3259408631430298E-2</c:v>
                </c:pt>
                <c:pt idx="49">
                  <c:v>5.5792459445646918E-2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EE-4927-9DA1-130D9E699CE5}"/>
            </c:ext>
          </c:extLst>
        </c:ser>
        <c:ser>
          <c:idx val="2"/>
          <c:order val="2"/>
          <c:tx>
            <c:strRef>
              <c:f>Delta!$B$5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Delta!$C$5:$AZ$5</c:f>
              <c:numCache>
                <c:formatCode>General</c:formatCode>
                <c:ptCount val="50"/>
                <c:pt idx="0">
                  <c:v>1.4260381787833992E-29</c:v>
                </c:pt>
                <c:pt idx="1">
                  <c:v>1.3034623767509508E-15</c:v>
                </c:pt>
                <c:pt idx="2">
                  <c:v>6.3883719199083217E-11</c:v>
                </c:pt>
                <c:pt idx="3">
                  <c:v>1.4726488482514349E-8</c:v>
                </c:pt>
                <c:pt idx="4">
                  <c:v>3.9447858056893467E-7</c:v>
                </c:pt>
                <c:pt idx="5">
                  <c:v>3.5869233961988741E-6</c:v>
                </c:pt>
                <c:pt idx="6">
                  <c:v>1.7549254029347776E-5</c:v>
                </c:pt>
                <c:pt idx="7">
                  <c:v>5.820088365787128E-5</c:v>
                </c:pt>
                <c:pt idx="8">
                  <c:v>1.4879923588186897E-4</c:v>
                </c:pt>
                <c:pt idx="9">
                  <c:v>3.1686788675612499E-4</c:v>
                </c:pt>
                <c:pt idx="10">
                  <c:v>5.9047668779207887E-4</c:v>
                </c:pt>
                <c:pt idx="11">
                  <c:v>9.9518629476550054E-4</c:v>
                </c:pt>
                <c:pt idx="12">
                  <c:v>1.552133298857856E-3</c:v>
                </c:pt>
                <c:pt idx="13">
                  <c:v>2.2771869196615271E-3</c:v>
                </c:pt>
                <c:pt idx="14">
                  <c:v>3.1808941795645205E-3</c:v>
                </c:pt>
                <c:pt idx="15">
                  <c:v>4.2689124102571066E-3</c:v>
                </c:pt>
                <c:pt idx="16">
                  <c:v>5.5426888646884264E-3</c:v>
                </c:pt>
                <c:pt idx="17">
                  <c:v>7.0002229297079265E-3</c:v>
                </c:pt>
                <c:pt idx="18">
                  <c:v>8.6368108141478394E-3</c:v>
                </c:pt>
                <c:pt idx="19">
                  <c:v>1.0445719216560163E-2</c:v>
                </c:pt>
                <c:pt idx="20">
                  <c:v>1.2418765024384366E-2</c:v>
                </c:pt>
                <c:pt idx="21">
                  <c:v>1.4546796507460432E-2</c:v>
                </c:pt>
                <c:pt idx="22">
                  <c:v>1.6820081585756378E-2</c:v>
                </c:pt>
                <c:pt idx="23">
                  <c:v>1.922861358058979E-2</c:v>
                </c:pt>
                <c:pt idx="24">
                  <c:v>2.1762346517717208E-2</c:v>
                </c:pt>
                <c:pt idx="25">
                  <c:v>2.4411371935072829E-2</c:v>
                </c:pt>
                <c:pt idx="26">
                  <c:v>2.7166048132505883E-2</c:v>
                </c:pt>
                <c:pt idx="27">
                  <c:v>3.0017091409052326E-2</c:v>
                </c:pt>
                <c:pt idx="28">
                  <c:v>3.2955637362176854E-2</c:v>
                </c:pt>
                <c:pt idx="29">
                  <c:v>3.5973278929724156E-2</c:v>
                </c:pt>
                <c:pt idx="30">
                  <c:v>3.9062086611687148E-2</c:v>
                </c:pt>
                <c:pt idx="31">
                  <c:v>4.22146152397938E-2</c:v>
                </c:pt>
                <c:pt idx="32">
                  <c:v>4.5423900766636327E-2</c:v>
                </c:pt>
                <c:pt idx="33">
                  <c:v>4.8683449807988971E-2</c:v>
                </c:pt>
                <c:pt idx="34">
                  <c:v>5.1987224072187123E-2</c:v>
                </c:pt>
                <c:pt idx="35">
                  <c:v>5.5329621328033506E-2</c:v>
                </c:pt>
                <c:pt idx="36">
                  <c:v>5.8705454177880395E-2</c:v>
                </c:pt>
                <c:pt idx="37">
                  <c:v>6.2109927597691503E-2</c:v>
                </c:pt>
                <c:pt idx="38">
                  <c:v>6.5538615965857763E-2</c:v>
                </c:pt>
                <c:pt idx="39">
                  <c:v>6.8987440114615495E-2</c:v>
                </c:pt>
                <c:pt idx="40">
                  <c:v>7.2452644791597673E-2</c:v>
                </c:pt>
                <c:pt idx="41">
                  <c:v>7.5930776805775785E-2</c:v>
                </c:pt>
                <c:pt idx="42">
                  <c:v>7.9418664044906662E-2</c:v>
                </c:pt>
                <c:pt idx="43">
                  <c:v>8.2913395485036331E-2</c:v>
                </c:pt>
                <c:pt idx="44">
                  <c:v>8.6412302262187254E-2</c:v>
                </c:pt>
                <c:pt idx="45">
                  <c:v>8.9912939838559261E-2</c:v>
                </c:pt>
                <c:pt idx="46">
                  <c:v>9.341307126760022E-2</c:v>
                </c:pt>
                <c:pt idx="47">
                  <c:v>9.6910651541957563E-2</c:v>
                </c:pt>
                <c:pt idx="48">
                  <c:v>0.10040381299385966</c:v>
                </c:pt>
                <c:pt idx="49">
                  <c:v>0.10389085170754279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EE-4927-9DA1-130D9E699CE5}"/>
            </c:ext>
          </c:extLst>
        </c:ser>
        <c:ser>
          <c:idx val="3"/>
          <c:order val="3"/>
          <c:tx>
            <c:strRef>
              <c:f>Delta!$B$6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Delta!$C$6:$AZ$6</c:f>
              <c:numCache>
                <c:formatCode>General</c:formatCode>
                <c:ptCount val="50"/>
                <c:pt idx="0">
                  <c:v>7.1568181094979558E-20</c:v>
                </c:pt>
                <c:pt idx="1">
                  <c:v>9.7210253802256359E-11</c:v>
                </c:pt>
                <c:pt idx="2">
                  <c:v>1.1693829518833723E-7</c:v>
                </c:pt>
                <c:pt idx="3">
                  <c:v>4.2184867637814504E-6</c:v>
                </c:pt>
                <c:pt idx="4">
                  <c:v>3.710426223234792E-5</c:v>
                </c:pt>
                <c:pt idx="5">
                  <c:v>1.6047856986437583E-4</c:v>
                </c:pt>
                <c:pt idx="6">
                  <c:v>4.6157184850289406E-4</c:v>
                </c:pt>
                <c:pt idx="7">
                  <c:v>1.0273171406440292E-3</c:v>
                </c:pt>
                <c:pt idx="8">
                  <c:v>1.9253955209529885E-3</c:v>
                </c:pt>
                <c:pt idx="9">
                  <c:v>3.1973886164727121E-3</c:v>
                </c:pt>
                <c:pt idx="10">
                  <c:v>4.8602070072897236E-3</c:v>
                </c:pt>
                <c:pt idx="11">
                  <c:v>6.9111376894053084E-3</c:v>
                </c:pt>
                <c:pt idx="12">
                  <c:v>9.3335672932984472E-3</c:v>
                </c:pt>
                <c:pt idx="13">
                  <c:v>1.2102020134801496E-2</c:v>
                </c:pt>
                <c:pt idx="14">
                  <c:v>1.5186088393001264E-2</c:v>
                </c:pt>
                <c:pt idx="15">
                  <c:v>1.8553274771013178E-2</c:v>
                </c:pt>
                <c:pt idx="16">
                  <c:v>2.217093134450733E-2</c:v>
                </c:pt>
                <c:pt idx="17">
                  <c:v>2.6007508364530859E-2</c:v>
                </c:pt>
                <c:pt idx="18">
                  <c:v>3.0033303343949984E-2</c:v>
                </c:pt>
                <c:pt idx="19">
                  <c:v>3.4220862001572677E-2</c:v>
                </c:pt>
                <c:pt idx="20">
                  <c:v>3.8545144673195579E-2</c:v>
                </c:pt>
                <c:pt idx="21">
                  <c:v>4.2983540147969686E-2</c:v>
                </c:pt>
                <c:pt idx="22">
                  <c:v>4.7515784462583199E-2</c:v>
                </c:pt>
                <c:pt idx="23">
                  <c:v>5.2123824151022791E-2</c:v>
                </c:pt>
                <c:pt idx="24">
                  <c:v>5.6791650503502759E-2</c:v>
                </c:pt>
                <c:pt idx="25">
                  <c:v>6.1505122281147004E-2</c:v>
                </c:pt>
                <c:pt idx="26">
                  <c:v>6.625178802488664E-2</c:v>
                </c:pt>
                <c:pt idx="27">
                  <c:v>7.1020714787426456E-2</c:v>
                </c:pt>
                <c:pt idx="28">
                  <c:v>7.5802327213493892E-2</c:v>
                </c:pt>
                <c:pt idx="29">
                  <c:v>8.0588258967957002E-2</c:v>
                </c:pt>
                <c:pt idx="30">
                  <c:v>8.5371217259688589E-2</c:v>
                </c:pt>
                <c:pt idx="31">
                  <c:v>9.0144860417563852E-2</c:v>
                </c:pt>
                <c:pt idx="32">
                  <c:v>9.4903687994794705E-2</c:v>
                </c:pt>
                <c:pt idx="33">
                  <c:v>9.9642942605819476E-2</c:v>
                </c:pt>
                <c:pt idx="34">
                  <c:v>0.10435852256522872</c:v>
                </c:pt>
                <c:pt idx="35">
                  <c:v>0.10904690435218471</c:v>
                </c:pt>
                <c:pt idx="36">
                  <c:v>0.11370507393349005</c:v>
                </c:pt>
                <c:pt idx="37">
                  <c:v>0.11833046602166508</c:v>
                </c:pt>
                <c:pt idx="38">
                  <c:v>0.12292091040627794</c:v>
                </c:pt>
                <c:pt idx="39">
                  <c:v>0.127474584567597</c:v>
                </c:pt>
                <c:pt idx="40">
                  <c:v>0.13198997185514169</c:v>
                </c:pt>
                <c:pt idx="41">
                  <c:v>0.13646582458596654</c:v>
                </c:pt>
                <c:pt idx="42">
                  <c:v>0.14090113148620204</c:v>
                </c:pt>
                <c:pt idx="43">
                  <c:v>0.14529508896321683</c:v>
                </c:pt>
                <c:pt idx="44">
                  <c:v>0.1496470757541617</c:v>
                </c:pt>
                <c:pt idx="45">
                  <c:v>0.15395663054948716</c:v>
                </c:pt>
                <c:pt idx="46">
                  <c:v>0.1582234322373938</c:v>
                </c:pt>
                <c:pt idx="47">
                  <c:v>0.16244728245741094</c:v>
                </c:pt>
                <c:pt idx="48">
                  <c:v>0.1666280901887506</c:v>
                </c:pt>
                <c:pt idx="49">
                  <c:v>0.17076585813219761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EE-4927-9DA1-130D9E699CE5}"/>
            </c:ext>
          </c:extLst>
        </c:ser>
        <c:ser>
          <c:idx val="4"/>
          <c:order val="4"/>
          <c:tx>
            <c:strRef>
              <c:f>Delta!$B$7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Delta!$C$7:$AZ$7</c:f>
              <c:numCache>
                <c:formatCode>General</c:formatCode>
                <c:ptCount val="50"/>
                <c:pt idx="0">
                  <c:v>1.2002701474206063E-12</c:v>
                </c:pt>
                <c:pt idx="1">
                  <c:v>4.2709800292238633E-7</c:v>
                </c:pt>
                <c:pt idx="2">
                  <c:v>3.2777591453569817E-5</c:v>
                </c:pt>
                <c:pt idx="3">
                  <c:v>2.9809587513643615E-4</c:v>
                </c:pt>
                <c:pt idx="4">
                  <c:v>1.1455014907192074E-3</c:v>
                </c:pt>
                <c:pt idx="5">
                  <c:v>2.8497945838167151E-3</c:v>
                </c:pt>
                <c:pt idx="6">
                  <c:v>5.517688733437851E-3</c:v>
                </c:pt>
                <c:pt idx="7">
                  <c:v>9.1213054737095019E-3</c:v>
                </c:pt>
                <c:pt idx="8">
                  <c:v>1.3558236229164227E-2</c:v>
                </c:pt>
                <c:pt idx="9">
                  <c:v>1.8697030468110387E-2</c:v>
                </c:pt>
                <c:pt idx="10">
                  <c:v>2.4403777229606925E-2</c:v>
                </c:pt>
                <c:pt idx="11">
                  <c:v>3.0555198866539471E-2</c:v>
                </c:pt>
                <c:pt idx="12">
                  <c:v>3.7043792634853058E-2</c:v>
                </c:pt>
                <c:pt idx="13">
                  <c:v>4.3778772136576119E-2</c:v>
                </c:pt>
                <c:pt idx="14">
                  <c:v>5.0685012629913921E-2</c:v>
                </c:pt>
                <c:pt idx="15">
                  <c:v>5.7701197664116008E-2</c:v>
                </c:pt>
                <c:pt idx="16">
                  <c:v>6.4777777721525362E-2</c:v>
                </c:pt>
                <c:pt idx="17">
                  <c:v>7.1875028777760502E-2</c:v>
                </c:pt>
                <c:pt idx="18">
                  <c:v>7.8961328493355798E-2</c:v>
                </c:pt>
                <c:pt idx="19">
                  <c:v>8.6011681908250856E-2</c:v>
                </c:pt>
                <c:pt idx="20">
                  <c:v>9.3006487936707821E-2</c:v>
                </c:pt>
                <c:pt idx="21">
                  <c:v>9.9930521013580242E-2</c:v>
                </c:pt>
                <c:pt idx="22">
                  <c:v>0.10677209719831002</c:v>
                </c:pt>
                <c:pt idx="23">
                  <c:v>0.11352239466227652</c:v>
                </c:pt>
                <c:pt idx="24">
                  <c:v>0.12017490151796226</c:v>
                </c:pt>
                <c:pt idx="25">
                  <c:v>0.12672496775243697</c:v>
                </c:pt>
                <c:pt idx="26">
                  <c:v>0.13316944181476806</c:v>
                </c:pt>
                <c:pt idx="27">
                  <c:v>0.13950637583498959</c:v>
                </c:pt>
                <c:pt idx="28">
                  <c:v>0.14573478640555623</c:v>
                </c:pt>
                <c:pt idx="29">
                  <c:v>0.15185446032881006</c:v>
                </c:pt>
                <c:pt idx="30">
                  <c:v>0.15786579676833712</c:v>
                </c:pt>
                <c:pt idx="31">
                  <c:v>0.16376967889779431</c:v>
                </c:pt>
                <c:pt idx="32">
                  <c:v>0.1695673694792961</c:v>
                </c:pt>
                <c:pt idx="33">
                  <c:v>0.1752604258812222</c:v>
                </c:pt>
                <c:pt idx="34">
                  <c:v>0.1808506309113026</c:v>
                </c:pt>
                <c:pt idx="35">
                  <c:v>0.18633993653606787</c:v>
                </c:pt>
                <c:pt idx="36">
                  <c:v>0.19173041811595362</c:v>
                </c:pt>
                <c:pt idx="37">
                  <c:v>0.19702423723384929</c:v>
                </c:pt>
                <c:pt idx="38">
                  <c:v>0.20222361155566726</c:v>
                </c:pt>
                <c:pt idx="39">
                  <c:v>0.20733079045218472</c:v>
                </c:pt>
                <c:pt idx="40">
                  <c:v>0.21234803534600569</c:v>
                </c:pt>
                <c:pt idx="41">
                  <c:v>0.2172776039371884</c:v>
                </c:pt>
                <c:pt idx="42">
                  <c:v>0.22212173761478093</c:v>
                </c:pt>
                <c:pt idx="43">
                  <c:v>0.22688265148630191</c:v>
                </c:pt>
                <c:pt idx="44">
                  <c:v>0.23156252655872406</c:v>
                </c:pt>
                <c:pt idx="45">
                  <c:v>0.23616350368730088</c:v>
                </c:pt>
                <c:pt idx="46">
                  <c:v>0.24068767897619286</c:v>
                </c:pt>
                <c:pt idx="47">
                  <c:v>0.24513710037020997</c:v>
                </c:pt>
                <c:pt idx="48">
                  <c:v>0.24951376522238838</c:v>
                </c:pt>
                <c:pt idx="49">
                  <c:v>0.25381961865942948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EE-4927-9DA1-130D9E699CE5}"/>
            </c:ext>
          </c:extLst>
        </c:ser>
        <c:ser>
          <c:idx val="5"/>
          <c:order val="5"/>
          <c:tx>
            <c:strRef>
              <c:f>Delta!$B$8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Delta!$C$8:$AZ$8</c:f>
              <c:numCache>
                <c:formatCode>General</c:formatCode>
                <c:ptCount val="50"/>
                <c:pt idx="0">
                  <c:v>1.7727866846205845E-7</c:v>
                </c:pt>
                <c:pt idx="1">
                  <c:v>1.8057900763335621E-4</c:v>
                </c:pt>
                <c:pt idx="2">
                  <c:v>1.9569580318317646E-3</c:v>
                </c:pt>
                <c:pt idx="3">
                  <c:v>6.6658842436191712E-3</c:v>
                </c:pt>
                <c:pt idx="4">
                  <c:v>1.4178971876106394E-2</c:v>
                </c:pt>
                <c:pt idx="5">
                  <c:v>2.3744049559651252E-2</c:v>
                </c:pt>
                <c:pt idx="6">
                  <c:v>3.4610567414057013E-2</c:v>
                </c:pt>
                <c:pt idx="7">
                  <c:v>4.6201796215212587E-2</c:v>
                </c:pt>
                <c:pt idx="8">
                  <c:v>5.8114853573404242E-2</c:v>
                </c:pt>
                <c:pt idx="9">
                  <c:v>7.0080829341433393E-2</c:v>
                </c:pt>
                <c:pt idx="10">
                  <c:v>8.192549260938034E-2</c:v>
                </c:pt>
                <c:pt idx="11">
                  <c:v>9.3539215441209869E-2</c:v>
                </c:pt>
                <c:pt idx="12">
                  <c:v>0.10485577570329696</c:v>
                </c:pt>
                <c:pt idx="13">
                  <c:v>0.11583788902827481</c:v>
                </c:pt>
                <c:pt idx="14">
                  <c:v>0.12646745134739226</c:v>
                </c:pt>
                <c:pt idx="15">
                  <c:v>0.13673897902637114</c:v>
                </c:pt>
                <c:pt idx="16">
                  <c:v>0.14665519595166238</c:v>
                </c:pt>
                <c:pt idx="17">
                  <c:v>0.15622405951784835</c:v>
                </c:pt>
                <c:pt idx="18">
                  <c:v>0.16545675341548549</c:v>
                </c:pt>
                <c:pt idx="19">
                  <c:v>0.17436633291241277</c:v>
                </c:pt>
                <c:pt idx="20">
                  <c:v>0.18296681273021781</c:v>
                </c:pt>
                <c:pt idx="21">
                  <c:v>0.19127255659423448</c:v>
                </c:pt>
                <c:pt idx="22">
                  <c:v>0.19929787324630263</c:v>
                </c:pt>
                <c:pt idx="23">
                  <c:v>0.20705675417048591</c:v>
                </c:pt>
                <c:pt idx="24">
                  <c:v>0.21456270871780575</c:v>
                </c:pt>
                <c:pt idx="25">
                  <c:v>0.22182866612538996</c:v>
                </c:pt>
                <c:pt idx="26">
                  <c:v>0.22886692332481046</c:v>
                </c:pt>
                <c:pt idx="27">
                  <c:v>0.23568912387707852</c:v>
                </c:pt>
                <c:pt idx="28">
                  <c:v>0.24230625781699955</c:v>
                </c:pt>
                <c:pt idx="29">
                  <c:v>0.24872867527518139</c:v>
                </c:pt>
                <c:pt idx="30">
                  <c:v>0.25496610889936555</c:v>
                </c:pt>
                <c:pt idx="31">
                  <c:v>0.2610277016065079</c:v>
                </c:pt>
                <c:pt idx="32">
                  <c:v>0.26692203725956992</c:v>
                </c:pt>
                <c:pt idx="33">
                  <c:v>0.27265717261290628</c:v>
                </c:pt>
                <c:pt idx="34">
                  <c:v>0.27824066940034548</c:v>
                </c:pt>
                <c:pt idx="35">
                  <c:v>0.28367962581513939</c:v>
                </c:pt>
                <c:pt idx="36">
                  <c:v>0.28898070689601107</c:v>
                </c:pt>
                <c:pt idx="37">
                  <c:v>0.29415017352032308</c:v>
                </c:pt>
                <c:pt idx="38">
                  <c:v>0.29919390983632926</c:v>
                </c:pt>
                <c:pt idx="39">
                  <c:v>0.30411744905751403</c:v>
                </c:pt>
                <c:pt idx="40">
                  <c:v>0.30892599760451955</c:v>
                </c:pt>
                <c:pt idx="41">
                  <c:v>0.31362445762225177</c:v>
                </c:pt>
                <c:pt idx="42">
                  <c:v>0.31821744792728346</c:v>
                </c:pt>
                <c:pt idx="43">
                  <c:v>0.32270932345784897</c:v>
                </c:pt>
                <c:pt idx="44">
                  <c:v>0.32710419330856966</c:v>
                </c:pt>
                <c:pt idx="45">
                  <c:v>0.3314059374367716</c:v>
                </c:pt>
                <c:pt idx="46">
                  <c:v>0.33561822212841863</c:v>
                </c:pt>
                <c:pt idx="47">
                  <c:v>0.33974451431043723</c:v>
                </c:pt>
                <c:pt idx="48">
                  <c:v>0.34378809479337102</c:v>
                </c:pt>
                <c:pt idx="49">
                  <c:v>0.34775207052445578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EE-4927-9DA1-130D9E699CE5}"/>
            </c:ext>
          </c:extLst>
        </c:ser>
        <c:ser>
          <c:idx val="6"/>
          <c:order val="6"/>
          <c:tx>
            <c:strRef>
              <c:f>Delta!$B$9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Delta!$C$9:$AZ$9</c:f>
              <c:numCache>
                <c:formatCode>General</c:formatCode>
                <c:ptCount val="50"/>
                <c:pt idx="0">
                  <c:v>5.1107517146906892E-4</c:v>
                </c:pt>
                <c:pt idx="1">
                  <c:v>1.1044013907594808E-2</c:v>
                </c:pt>
                <c:pt idx="2">
                  <c:v>3.2777626460407994E-2</c:v>
                </c:pt>
                <c:pt idx="3">
                  <c:v>5.8088107987320337E-2</c:v>
                </c:pt>
                <c:pt idx="4">
                  <c:v>8.318585913269437E-2</c:v>
                </c:pt>
                <c:pt idx="5">
                  <c:v>0.10674814223186847</c:v>
                </c:pt>
                <c:pt idx="6">
                  <c:v>0.12843922086837081</c:v>
                </c:pt>
                <c:pt idx="7">
                  <c:v>0.14828843430084729</c:v>
                </c:pt>
                <c:pt idx="8">
                  <c:v>0.16644856677073225</c:v>
                </c:pt>
                <c:pt idx="9">
                  <c:v>0.18310240300676622</c:v>
                </c:pt>
                <c:pt idx="10">
                  <c:v>0.1984274006195888</c:v>
                </c:pt>
                <c:pt idx="11">
                  <c:v>0.21258361668522863</c:v>
                </c:pt>
                <c:pt idx="12">
                  <c:v>0.22571097448255698</c:v>
                </c:pt>
                <c:pt idx="13">
                  <c:v>0.23793015341014412</c:v>
                </c:pt>
                <c:pt idx="14">
                  <c:v>0.24934471602621183</c:v>
                </c:pt>
                <c:pt idx="15">
                  <c:v>0.26004348390192422</c:v>
                </c:pt>
                <c:pt idx="16">
                  <c:v>0.2701027730928125</c:v>
                </c:pt>
                <c:pt idx="17">
                  <c:v>0.27958835824330464</c:v>
                </c:pt>
                <c:pt idx="18">
                  <c:v>0.28855714353037187</c:v>
                </c:pt>
                <c:pt idx="19">
                  <c:v>0.29705856189617313</c:v>
                </c:pt>
                <c:pt idx="20">
                  <c:v>0.3051357381823091</c:v>
                </c:pt>
                <c:pt idx="21">
                  <c:v>0.31282645348407856</c:v>
                </c:pt>
                <c:pt idx="22">
                  <c:v>0.32016394482469379</c:v>
                </c:pt>
                <c:pt idx="23">
                  <c:v>0.32717756948209387</c:v>
                </c:pt>
                <c:pt idx="24">
                  <c:v>0.33389335844063728</c:v>
                </c:pt>
                <c:pt idx="25">
                  <c:v>0.34033447905731729</c:v>
                </c:pt>
                <c:pt idx="26">
                  <c:v>0.34652162329709002</c:v>
                </c:pt>
                <c:pt idx="27">
                  <c:v>0.35247333480098308</c:v>
                </c:pt>
                <c:pt idx="28">
                  <c:v>0.35820628553342138</c:v>
                </c:pt>
                <c:pt idx="29">
                  <c:v>0.36373551072271876</c:v>
                </c:pt>
                <c:pt idx="30">
                  <c:v>0.36907460917439161</c:v>
                </c:pt>
                <c:pt idx="31">
                  <c:v>0.37423591472466627</c:v>
                </c:pt>
                <c:pt idx="32">
                  <c:v>0.37923064354740299</c:v>
                </c:pt>
                <c:pt idx="33">
                  <c:v>0.3840690211795289</c:v>
                </c:pt>
                <c:pt idx="34">
                  <c:v>0.3887603924460919</c:v>
                </c:pt>
                <c:pt idx="35">
                  <c:v>0.39331331691285482</c:v>
                </c:pt>
                <c:pt idx="36">
                  <c:v>0.39773565204549999</c:v>
                </c:pt>
                <c:pt idx="37">
                  <c:v>0.40203462588908345</c:v>
                </c:pt>
                <c:pt idx="38">
                  <c:v>0.40621690078280426</c:v>
                </c:pt>
                <c:pt idx="39">
                  <c:v>0.4102886293803284</c:v>
                </c:pt>
                <c:pt idx="40">
                  <c:v>0.41425550404442851</c:v>
                </c:pt>
                <c:pt idx="41">
                  <c:v>0.41812280051829681</c:v>
                </c:pt>
                <c:pt idx="42">
                  <c:v>0.42189541663796432</c:v>
                </c:pt>
                <c:pt idx="43">
                  <c:v>0.42557790673554369</c:v>
                </c:pt>
                <c:pt idx="44">
                  <c:v>0.42917451228726622</c:v>
                </c:pt>
                <c:pt idx="45">
                  <c:v>0.43268918928011146</c:v>
                </c:pt>
                <c:pt idx="46">
                  <c:v>0.43612563270346605</c:v>
                </c:pt>
                <c:pt idx="47">
                  <c:v>0.43948729851547702</c:v>
                </c:pt>
                <c:pt idx="48">
                  <c:v>0.44277742338577031</c:v>
                </c:pt>
                <c:pt idx="49">
                  <c:v>0.44599904247550076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EE-4927-9DA1-130D9E699CE5}"/>
            </c:ext>
          </c:extLst>
        </c:ser>
        <c:ser>
          <c:idx val="7"/>
          <c:order val="7"/>
          <c:tx>
            <c:strRef>
              <c:f>Delta!$B$10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Delta!$C$10:$AZ$10</c:f>
              <c:numCache>
                <c:formatCode>General</c:formatCode>
                <c:ptCount val="50"/>
                <c:pt idx="0">
                  <c:v>5.7674144516076838E-2</c:v>
                </c:pt>
                <c:pt idx="1">
                  <c:v>0.14009983864577802</c:v>
                </c:pt>
                <c:pt idx="2">
                  <c:v>0.19646253524083446</c:v>
                </c:pt>
                <c:pt idx="3">
                  <c:v>0.23694940812133697</c:v>
                </c:pt>
                <c:pt idx="4">
                  <c:v>0.26784925915213059</c:v>
                </c:pt>
                <c:pt idx="5">
                  <c:v>0.29253156538610559</c:v>
                </c:pt>
                <c:pt idx="6">
                  <c:v>0.31292611764332445</c:v>
                </c:pt>
                <c:pt idx="7">
                  <c:v>0.33021760012856716</c:v>
                </c:pt>
                <c:pt idx="8">
                  <c:v>0.34517641190667869</c:v>
                </c:pt>
                <c:pt idx="9">
                  <c:v>0.35832748828828459</c:v>
                </c:pt>
                <c:pt idx="10">
                  <c:v>0.37004240212686801</c:v>
                </c:pt>
                <c:pt idx="11">
                  <c:v>0.38059258942421637</c:v>
                </c:pt>
                <c:pt idx="12">
                  <c:v>0.39018164443398484</c:v>
                </c:pt>
                <c:pt idx="13">
                  <c:v>0.39896574100733556</c:v>
                </c:pt>
                <c:pt idx="14">
                  <c:v>0.4070670090892004</c:v>
                </c:pt>
                <c:pt idx="15">
                  <c:v>0.41458256684793182</c:v>
                </c:pt>
                <c:pt idx="16">
                  <c:v>0.42159078251774884</c:v>
                </c:pt>
                <c:pt idx="17">
                  <c:v>0.42815571724814666</c:v>
                </c:pt>
                <c:pt idx="18">
                  <c:v>0.43433034242333324</c:v>
                </c:pt>
                <c:pt idx="19">
                  <c:v>0.44015891222205472</c:v>
                </c:pt>
                <c:pt idx="20">
                  <c:v>0.4456787419001188</c:v>
                </c:pt>
                <c:pt idx="21">
                  <c:v>0.4509215602938963</c:v>
                </c:pt>
                <c:pt idx="22">
                  <c:v>0.45591455219490995</c:v>
                </c:pt>
                <c:pt idx="23">
                  <c:v>0.46068117142946274</c:v>
                </c:pt>
                <c:pt idx="24">
                  <c:v>0.46524178208363065</c:v>
                </c:pt>
                <c:pt idx="25">
                  <c:v>0.4696141693105278</c:v>
                </c:pt>
                <c:pt idx="26">
                  <c:v>0.4738139500277308</c:v>
                </c:pt>
                <c:pt idx="27">
                  <c:v>0.47785490595601071</c:v>
                </c:pt>
                <c:pt idx="28">
                  <c:v>0.48174925582644129</c:v>
                </c:pt>
                <c:pt idx="29">
                  <c:v>0.48550787950516516</c:v>
                </c:pt>
                <c:pt idx="30">
                  <c:v>0.48914050379315976</c:v>
                </c:pt>
                <c:pt idx="31">
                  <c:v>0.49265585743875995</c:v>
                </c:pt>
                <c:pt idx="32">
                  <c:v>0.49606180123707883</c:v>
                </c:pt>
                <c:pt idx="33">
                  <c:v>0.49936543783154741</c:v>
                </c:pt>
                <c:pt idx="34">
                  <c:v>0.50257320487151724</c:v>
                </c:pt>
                <c:pt idx="35">
                  <c:v>0.5056909544396696</c:v>
                </c:pt>
                <c:pt idx="36">
                  <c:v>0.50872402108847026</c:v>
                </c:pt>
                <c:pt idx="37">
                  <c:v>0.5116772803756795</c:v>
                </c:pt>
                <c:pt idx="38">
                  <c:v>0.51455519943517491</c:v>
                </c:pt>
                <c:pt idx="39">
                  <c:v>0.51736188083892132</c:v>
                </c:pt>
                <c:pt idx="40">
                  <c:v>0.52010110078223115</c:v>
                </c:pt>
                <c:pt idx="41">
                  <c:v>0.52277634244495297</c:v>
                </c:pt>
                <c:pt idx="42">
                  <c:v>0.52539082523635683</c:v>
                </c:pt>
                <c:pt idx="43">
                  <c:v>0.52794753051395849</c:v>
                </c:pt>
                <c:pt idx="44">
                  <c:v>0.53044922427066177</c:v>
                </c:pt>
                <c:pt idx="45">
                  <c:v>0.53289847720605765</c:v>
                </c:pt>
                <c:pt idx="46">
                  <c:v>0.53529768253304311</c:v>
                </c:pt>
                <c:pt idx="47">
                  <c:v>0.53764907181744637</c:v>
                </c:pt>
                <c:pt idx="48">
                  <c:v>0.53995472910393039</c:v>
                </c:pt>
                <c:pt idx="49">
                  <c:v>0.54221660354441636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EE-4927-9DA1-130D9E699CE5}"/>
            </c:ext>
          </c:extLst>
        </c:ser>
        <c:ser>
          <c:idx val="8"/>
          <c:order val="8"/>
          <c:tx>
            <c:strRef>
              <c:f>Delta!$B$11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Delta!$C$11:$AZ$11</c:f>
              <c:numCache>
                <c:formatCode>General</c:formatCode>
                <c:ptCount val="50"/>
                <c:pt idx="0">
                  <c:v>0.51891639999929629</c:v>
                </c:pt>
                <c:pt idx="1">
                  <c:v>0.5267418038869226</c:v>
                </c:pt>
                <c:pt idx="2">
                  <c:v>0.53273961671267711</c:v>
                </c:pt>
                <c:pt idx="3">
                  <c:v>0.53779029390666466</c:v>
                </c:pt>
                <c:pt idx="4">
                  <c:v>0.54223501331161406</c:v>
                </c:pt>
                <c:pt idx="5">
                  <c:v>0.54624882106468031</c:v>
                </c:pt>
                <c:pt idx="6">
                  <c:v>0.54993574324296035</c:v>
                </c:pt>
                <c:pt idx="7">
                  <c:v>0.55336358492889404</c:v>
                </c:pt>
                <c:pt idx="8">
                  <c:v>0.55657946195545982</c:v>
                </c:pt>
                <c:pt idx="9">
                  <c:v>0.5596176923702425</c:v>
                </c:pt>
                <c:pt idx="10">
                  <c:v>0.56250419357487125</c:v>
                </c:pt>
                <c:pt idx="11">
                  <c:v>0.56525910863091922</c:v>
                </c:pt>
                <c:pt idx="12">
                  <c:v>0.56789846248781028</c:v>
                </c:pt>
                <c:pt idx="13">
                  <c:v>0.57043525317537325</c:v>
                </c:pt>
                <c:pt idx="14">
                  <c:v>0.57288019711595339</c:v>
                </c:pt>
                <c:pt idx="15">
                  <c:v>0.57524225381748262</c:v>
                </c:pt>
                <c:pt idx="16">
                  <c:v>0.57752900488282433</c:v>
                </c:pt>
                <c:pt idx="17">
                  <c:v>0.57974693392650745</c:v>
                </c:pt>
                <c:pt idx="18">
                  <c:v>0.58190163734082867</c:v>
                </c:pt>
                <c:pt idx="19">
                  <c:v>0.58399798571368178</c:v>
                </c:pt>
                <c:pt idx="20">
                  <c:v>0.58604024932793053</c:v>
                </c:pt>
                <c:pt idx="21">
                  <c:v>0.58803219705493692</c:v>
                </c:pt>
                <c:pt idx="22">
                  <c:v>0.5899771752288796</c:v>
                </c:pt>
                <c:pt idx="23">
                  <c:v>0.59187817124380615</c:v>
                </c:pt>
                <c:pt idx="24">
                  <c:v>0.59373786534231576</c:v>
                </c:pt>
                <c:pt idx="25">
                  <c:v>0.5955586731705319</c:v>
                </c:pt>
                <c:pt idx="26">
                  <c:v>0.59734278103568972</c:v>
                </c:pt>
                <c:pt idx="27">
                  <c:v>0.59909217534027071</c:v>
                </c:pt>
                <c:pt idx="28">
                  <c:v>0.60080866732714822</c:v>
                </c:pt>
                <c:pt idx="29">
                  <c:v>0.60249391401788088</c:v>
                </c:pt>
                <c:pt idx="30">
                  <c:v>0.60414943603659454</c:v>
                </c:pt>
                <c:pt idx="31">
                  <c:v>0.60577663286776451</c:v>
                </c:pt>
                <c:pt idx="32">
                  <c:v>0.60737679598563687</c:v>
                </c:pt>
                <c:pt idx="33">
                  <c:v>0.60895112020740272</c:v>
                </c:pt>
                <c:pt idx="34">
                  <c:v>0.61050071355539248</c:v>
                </c:pt>
                <c:pt idx="35">
                  <c:v>0.6120266058609285</c:v>
                </c:pt>
                <c:pt idx="36">
                  <c:v>0.61352975630075135</c:v>
                </c:pt>
                <c:pt idx="37">
                  <c:v>0.61501106002361017</c:v>
                </c:pt>
                <c:pt idx="38">
                  <c:v>0.61647135399782416</c:v>
                </c:pt>
                <c:pt idx="39">
                  <c:v>0.61791142218895267</c:v>
                </c:pt>
                <c:pt idx="40">
                  <c:v>0.61933200015909173</c:v>
                </c:pt>
                <c:pt idx="41">
                  <c:v>0.62073377916488592</c:v>
                </c:pt>
                <c:pt idx="42">
                  <c:v>0.62211740981949015</c:v>
                </c:pt>
                <c:pt idx="43">
                  <c:v>0.62348350537390962</c:v>
                </c:pt>
                <c:pt idx="44">
                  <c:v>0.62483264466500554</c:v>
                </c:pt>
                <c:pt idx="45">
                  <c:v>0.62616537477066125</c:v>
                </c:pt>
                <c:pt idx="46">
                  <c:v>0.6274822134069169</c:v>
                </c:pt>
                <c:pt idx="47">
                  <c:v>0.62878365109708745</c:v>
                </c:pt>
                <c:pt idx="48">
                  <c:v>0.63007015313884207</c:v>
                </c:pt>
                <c:pt idx="49">
                  <c:v>0.63134216139179089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EE-4927-9DA1-130D9E699CE5}"/>
            </c:ext>
          </c:extLst>
        </c:ser>
        <c:ser>
          <c:idx val="9"/>
          <c:order val="9"/>
          <c:tx>
            <c:strRef>
              <c:f>Delta!$B$12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Delta!$C$12:$AZ$12</c:f>
              <c:numCache>
                <c:formatCode>General</c:formatCode>
                <c:ptCount val="50"/>
                <c:pt idx="0">
                  <c:v>0.94411804837488877</c:v>
                </c:pt>
                <c:pt idx="1">
                  <c:v>0.87658089249568349</c:v>
                </c:pt>
                <c:pt idx="2">
                  <c:v>0.83470864554501079</c:v>
                </c:pt>
                <c:pt idx="3">
                  <c:v>0.80683951354982253</c:v>
                </c:pt>
                <c:pt idx="4">
                  <c:v>0.7870023302677005</c:v>
                </c:pt>
                <c:pt idx="5">
                  <c:v>0.77218677368637112</c:v>
                </c:pt>
                <c:pt idx="6">
                  <c:v>0.76073008250523411</c:v>
                </c:pt>
                <c:pt idx="7">
                  <c:v>0.75163843630541693</c:v>
                </c:pt>
                <c:pt idx="8">
                  <c:v>0.74427963343394432</c:v>
                </c:pt>
                <c:pt idx="9">
                  <c:v>0.73823114549048119</c:v>
                </c:pt>
                <c:pt idx="10">
                  <c:v>0.73319911077777067</c:v>
                </c:pt>
                <c:pt idx="11">
                  <c:v>0.72897237035085394</c:v>
                </c:pt>
                <c:pt idx="12">
                  <c:v>0.72539500608617968</c:v>
                </c:pt>
                <c:pt idx="13">
                  <c:v>0.72234920878700581</c:v>
                </c:pt>
                <c:pt idx="14">
                  <c:v>0.71974419236044374</c:v>
                </c:pt>
                <c:pt idx="15">
                  <c:v>0.71750879197376316</c:v>
                </c:pt>
                <c:pt idx="16">
                  <c:v>0.71558638607725866</c:v>
                </c:pt>
                <c:pt idx="17">
                  <c:v>0.71393132917372026</c:v>
                </c:pt>
                <c:pt idx="18">
                  <c:v>0.71250639302625385</c:v>
                </c:pt>
                <c:pt idx="19">
                  <c:v>0.71128089691736807</c:v>
                </c:pt>
                <c:pt idx="20">
                  <c:v>0.71022931861784977</c:v>
                </c:pt>
                <c:pt idx="21">
                  <c:v>0.70933024702161462</c:v>
                </c:pt>
                <c:pt idx="22">
                  <c:v>0.70856558172848372</c:v>
                </c:pt>
                <c:pt idx="23">
                  <c:v>0.7079199138464588</c:v>
                </c:pt>
                <c:pt idx="24">
                  <c:v>0.70738004162955448</c:v>
                </c:pt>
                <c:pt idx="25">
                  <c:v>0.70693458771362583</c:v>
                </c:pt>
                <c:pt idx="26">
                  <c:v>0.70657369379706458</c:v>
                </c:pt>
                <c:pt idx="27">
                  <c:v>0.70628877498747411</c:v>
                </c:pt>
                <c:pt idx="28">
                  <c:v>0.70607232057134661</c:v>
                </c:pt>
                <c:pt idx="29">
                  <c:v>0.70591773123367962</c:v>
                </c:pt>
                <c:pt idx="30">
                  <c:v>0.70581918514023934</c:v>
                </c:pt>
                <c:pt idx="31">
                  <c:v>0.70577152705536794</c:v>
                </c:pt>
                <c:pt idx="32">
                  <c:v>0.70577017598045377</c:v>
                </c:pt>
                <c:pt idx="33">
                  <c:v>0.7058110477859646</c:v>
                </c:pt>
                <c:pt idx="34">
                  <c:v>0.70589049006026316</c:v>
                </c:pt>
                <c:pt idx="35">
                  <c:v>0.7060052269732483</c:v>
                </c:pt>
                <c:pt idx="36">
                  <c:v>0.70615231239675857</c:v>
                </c:pt>
                <c:pt idx="37">
                  <c:v>0.70632908986904663</c:v>
                </c:pt>
                <c:pt idx="38">
                  <c:v>0.70653315826126828</c:v>
                </c:pt>
                <c:pt idx="39">
                  <c:v>0.70676234221741052</c:v>
                </c:pt>
                <c:pt idx="40">
                  <c:v>0.70701466660856827</c:v>
                </c:pt>
                <c:pt idx="41">
                  <c:v>0.70728833437781802</c:v>
                </c:pt>
                <c:pt idx="42">
                  <c:v>0.7075817072606565</c:v>
                </c:pt>
                <c:pt idx="43">
                  <c:v>0.70789328895375159</c:v>
                </c:pt>
                <c:pt idx="44">
                  <c:v>0.70822171037601489</c:v>
                </c:pt>
                <c:pt idx="45">
                  <c:v>0.70856571672412105</c:v>
                </c:pt>
                <c:pt idx="46">
                  <c:v>0.70892415607223513</c:v>
                </c:pt>
                <c:pt idx="47">
                  <c:v>0.70929596930491157</c:v>
                </c:pt>
                <c:pt idx="48">
                  <c:v>0.70968018120454324</c:v>
                </c:pt>
                <c:pt idx="49">
                  <c:v>0.71007589254163683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EE-4927-9DA1-130D9E699CE5}"/>
            </c:ext>
          </c:extLst>
        </c:ser>
        <c:ser>
          <c:idx val="10"/>
          <c:order val="10"/>
          <c:tx>
            <c:strRef>
              <c:f>Delta!$B$13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Delta!$C$13:$AZ$13</c:f>
              <c:numCache>
                <c:formatCode>General</c:formatCode>
                <c:ptCount val="50"/>
                <c:pt idx="0">
                  <c:v>0.99889850177275419</c:v>
                </c:pt>
                <c:pt idx="1">
                  <c:v>0.98603550784275051</c:v>
                </c:pt>
                <c:pt idx="2">
                  <c:v>0.96579345861513155</c:v>
                </c:pt>
                <c:pt idx="3">
                  <c:v>0.94540611613468872</c:v>
                </c:pt>
                <c:pt idx="4">
                  <c:v>0.9270206788480384</c:v>
                </c:pt>
                <c:pt idx="5">
                  <c:v>0.910951676948353</c:v>
                </c:pt>
                <c:pt idx="6">
                  <c:v>0.8970058106562373</c:v>
                </c:pt>
                <c:pt idx="7">
                  <c:v>0.88488455046683934</c:v>
                </c:pt>
                <c:pt idx="8">
                  <c:v>0.87430092401455395</c:v>
                </c:pt>
                <c:pt idx="9">
                  <c:v>0.86500851994546202</c:v>
                </c:pt>
                <c:pt idx="10">
                  <c:v>0.85680360128681021</c:v>
                </c:pt>
                <c:pt idx="11">
                  <c:v>0.84951971797288017</c:v>
                </c:pt>
                <c:pt idx="12">
                  <c:v>0.84302105265016702</c:v>
                </c:pt>
                <c:pt idx="13">
                  <c:v>0.83719638729960366</c:v>
                </c:pt>
                <c:pt idx="14">
                  <c:v>0.83195412227184673</c:v>
                </c:pt>
                <c:pt idx="15">
                  <c:v>0.82721831062849005</c:v>
                </c:pt>
                <c:pt idx="16">
                  <c:v>0.82292554427765707</c:v>
                </c:pt>
                <c:pt idx="17">
                  <c:v>0.81902251757027233</c:v>
                </c:pt>
                <c:pt idx="18">
                  <c:v>0.8154641178418276</c:v>
                </c:pt>
                <c:pt idx="19">
                  <c:v>0.81221192244611107</c:v>
                </c:pt>
                <c:pt idx="20">
                  <c:v>0.80923300896921235</c:v>
                </c:pt>
                <c:pt idx="21">
                  <c:v>0.80649900733468938</c:v>
                </c:pt>
                <c:pt idx="22">
                  <c:v>0.80398533958806007</c:v>
                </c:pt>
                <c:pt idx="23">
                  <c:v>0.80167060612202534</c:v>
                </c:pt>
                <c:pt idx="24">
                  <c:v>0.79953608687521549</c:v>
                </c:pt>
                <c:pt idx="25">
                  <c:v>0.79756533338085844</c:v>
                </c:pt>
                <c:pt idx="26">
                  <c:v>0.79574383306864604</c:v>
                </c:pt>
                <c:pt idx="27">
                  <c:v>0.79405873139729799</c:v>
                </c:pt>
                <c:pt idx="28">
                  <c:v>0.79249860056296639</c:v>
                </c:pt>
                <c:pt idx="29">
                  <c:v>0.79105324594553816</c:v>
                </c:pt>
                <c:pt idx="30">
                  <c:v>0.78971354330978982</c:v>
                </c:pt>
                <c:pt idx="31">
                  <c:v>0.78847130121047404</c:v>
                </c:pt>
                <c:pt idx="32">
                  <c:v>0.78731914416281867</c:v>
                </c:pt>
                <c:pt idx="33">
                  <c:v>0.78625041300914611</c:v>
                </c:pt>
                <c:pt idx="34">
                  <c:v>0.7852590795955392</c:v>
                </c:pt>
                <c:pt idx="35">
                  <c:v>0.78433967341256072</c:v>
                </c:pt>
                <c:pt idx="36">
                  <c:v>0.78348721828335621</c:v>
                </c:pt>
                <c:pt idx="37">
                  <c:v>0.78269717752557544</c:v>
                </c:pt>
                <c:pt idx="38">
                  <c:v>0.78196540628918443</c:v>
                </c:pt>
                <c:pt idx="39">
                  <c:v>0.78128810999478626</c:v>
                </c:pt>
                <c:pt idx="40">
                  <c:v>0.78066180797761175</c:v>
                </c:pt>
                <c:pt idx="41">
                  <c:v>0.78008330158949979</c:v>
                </c:pt>
                <c:pt idx="42">
                  <c:v>0.77954964613166378</c:v>
                </c:pt>
                <c:pt idx="43">
                  <c:v>0.77905812609010128</c:v>
                </c:pt>
                <c:pt idx="44">
                  <c:v>0.77860623322729372</c:v>
                </c:pt>
                <c:pt idx="45">
                  <c:v>0.77819164715163924</c:v>
                </c:pt>
                <c:pt idx="46">
                  <c:v>0.77781221804248057</c:v>
                </c:pt>
                <c:pt idx="47">
                  <c:v>0.77746595125570284</c:v>
                </c:pt>
                <c:pt idx="48">
                  <c:v>0.777150993574375</c:v>
                </c:pt>
                <c:pt idx="49">
                  <c:v>0.77686562090211797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EE-4927-9DA1-130D9E699CE5}"/>
            </c:ext>
          </c:extLst>
        </c:ser>
        <c:ser>
          <c:idx val="11"/>
          <c:order val="11"/>
          <c:tx>
            <c:strRef>
              <c:f>Delta!$B$14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Delta!$C$14:$AZ$14</c:f>
              <c:numCache>
                <c:formatCode>General</c:formatCode>
                <c:ptCount val="50"/>
                <c:pt idx="0">
                  <c:v>0.99999603555087258</c:v>
                </c:pt>
                <c:pt idx="1">
                  <c:v>0.99929416451516662</c:v>
                </c:pt>
                <c:pt idx="2">
                  <c:v>0.99577886954542294</c:v>
                </c:pt>
                <c:pt idx="3">
                  <c:v>0.98940827229066197</c:v>
                </c:pt>
                <c:pt idx="4">
                  <c:v>0.98135607564044858</c:v>
                </c:pt>
                <c:pt idx="5">
                  <c:v>0.97260314455363983</c:v>
                </c:pt>
                <c:pt idx="6">
                  <c:v>0.96375065198429899</c:v>
                </c:pt>
                <c:pt idx="7">
                  <c:v>0.95512804158206499</c:v>
                </c:pt>
                <c:pt idx="8">
                  <c:v>0.94690122807155452</c:v>
                </c:pt>
                <c:pt idx="9">
                  <c:v>0.9391430239591263</c:v>
                </c:pt>
                <c:pt idx="10">
                  <c:v>0.93187462399429133</c:v>
                </c:pt>
                <c:pt idx="11">
                  <c:v>0.92508934289885425</c:v>
                </c:pt>
                <c:pt idx="12">
                  <c:v>0.91876609223586825</c:v>
                </c:pt>
                <c:pt idx="13">
                  <c:v>0.91287700762209345</c:v>
                </c:pt>
                <c:pt idx="14">
                  <c:v>0.90739173774187276</c:v>
                </c:pt>
                <c:pt idx="15">
                  <c:v>0.90227981796128587</c:v>
                </c:pt>
                <c:pt idx="16">
                  <c:v>0.89751193937030227</c:v>
                </c:pt>
                <c:pt idx="17">
                  <c:v>0.89306057975365505</c:v>
                </c:pt>
                <c:pt idx="18">
                  <c:v>0.88890026752973417</c:v>
                </c:pt>
                <c:pt idx="19">
                  <c:v>0.88500763743571798</c:v>
                </c:pt>
                <c:pt idx="20">
                  <c:v>0.88136137147711779</c:v>
                </c:pt>
                <c:pt idx="21">
                  <c:v>0.877942080295945</c:v>
                </c:pt>
                <c:pt idx="22">
                  <c:v>0.87473215734415188</c:v>
                </c:pt>
                <c:pt idx="23">
                  <c:v>0.87171562464036623</c:v>
                </c:pt>
                <c:pt idx="24">
                  <c:v>0.86887798071975164</c:v>
                </c:pt>
                <c:pt idx="25">
                  <c:v>0.86620605648227167</c:v>
                </c:pt>
                <c:pt idx="26">
                  <c:v>0.86368788171352939</c:v>
                </c:pt>
                <c:pt idx="27">
                  <c:v>0.86131256332132544</c:v>
                </c:pt>
                <c:pt idx="28">
                  <c:v>0.8590701753320007</c:v>
                </c:pt>
                <c:pt idx="29">
                  <c:v>0.85695166013778001</c:v>
                </c:pt>
                <c:pt idx="30">
                  <c:v>0.85494874020419165</c:v>
                </c:pt>
                <c:pt idx="31">
                  <c:v>0.85305383932689993</c:v>
                </c:pt>
                <c:pt idx="32">
                  <c:v>0.85126001250300243</c:v>
                </c:pt>
                <c:pt idx="33">
                  <c:v>0.84956088351165571</c:v>
                </c:pt>
                <c:pt idx="34">
                  <c:v>0.84795058935739509</c:v>
                </c:pt>
                <c:pt idx="35">
                  <c:v>0.84642373080124722</c:v>
                </c:pt>
                <c:pt idx="36">
                  <c:v>0.84497532828048072</c:v>
                </c:pt>
                <c:pt idx="37">
                  <c:v>0.84360078259224991</c:v>
                </c:pt>
                <c:pt idx="38">
                  <c:v>0.84229583978655631</c:v>
                </c:pt>
                <c:pt idx="39">
                  <c:v>0.84105655977843707</c:v>
                </c:pt>
                <c:pt idx="40">
                  <c:v>0.83987928824756342</c:v>
                </c:pt>
                <c:pt idx="41">
                  <c:v>0.83876063144549129</c:v>
                </c:pt>
                <c:pt idx="42">
                  <c:v>0.83769743357694604</c:v>
                </c:pt>
                <c:pt idx="43">
                  <c:v>0.83668675646219781</c:v>
                </c:pt>
                <c:pt idx="44">
                  <c:v>0.83572586122329284</c:v>
                </c:pt>
                <c:pt idx="45">
                  <c:v>0.83481219176819266</c:v>
                </c:pt>
                <c:pt idx="46">
                  <c:v>0.8339433598742273</c:v>
                </c:pt>
                <c:pt idx="47">
                  <c:v>0.83311713169616897</c:v>
                </c:pt>
                <c:pt idx="48">
                  <c:v>0.83233141554510681</c:v>
                </c:pt>
                <c:pt idx="49">
                  <c:v>0.83158425080253329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EE-4927-9DA1-130D9E699CE5}"/>
            </c:ext>
          </c:extLst>
        </c:ser>
        <c:ser>
          <c:idx val="12"/>
          <c:order val="12"/>
          <c:tx>
            <c:strRef>
              <c:f>Delta!$B$15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Delta!$C$15:$AZ$15</c:f>
              <c:numCache>
                <c:formatCode>General</c:formatCode>
                <c:ptCount val="50"/>
                <c:pt idx="0">
                  <c:v>0.99999999693089381</c:v>
                </c:pt>
                <c:pt idx="1">
                  <c:v>0.9999829287565416</c:v>
                </c:pt>
                <c:pt idx="2">
                  <c:v>0.99967623132709937</c:v>
                </c:pt>
                <c:pt idx="3">
                  <c:v>0.99854754541412227</c:v>
                </c:pt>
                <c:pt idx="4">
                  <c:v>0.99636788743791604</c:v>
                </c:pt>
                <c:pt idx="5">
                  <c:v>0.99324341588079323</c:v>
                </c:pt>
                <c:pt idx="6">
                  <c:v>0.98940714410148023</c:v>
                </c:pt>
                <c:pt idx="7">
                  <c:v>0.98509406838389901</c:v>
                </c:pt>
                <c:pt idx="8">
                  <c:v>0.98049779905589118</c:v>
                </c:pt>
                <c:pt idx="9">
                  <c:v>0.9757644962341846</c:v>
                </c:pt>
                <c:pt idx="10">
                  <c:v>0.97099942044834375</c:v>
                </c:pt>
                <c:pt idx="11">
                  <c:v>0.96627601425519338</c:v>
                </c:pt>
                <c:pt idx="12">
                  <c:v>0.96164410435767511</c:v>
                </c:pt>
                <c:pt idx="13">
                  <c:v>0.95713640886693985</c:v>
                </c:pt>
                <c:pt idx="14">
                  <c:v>0.95277342197785431</c:v>
                </c:pt>
                <c:pt idx="15">
                  <c:v>0.94856698506264592</c:v>
                </c:pt>
                <c:pt idx="16">
                  <c:v>0.94452286381593165</c:v>
                </c:pt>
                <c:pt idx="17">
                  <c:v>0.94064259658277027</c:v>
                </c:pt>
                <c:pt idx="18">
                  <c:v>0.93692481623013713</c:v>
                </c:pt>
                <c:pt idx="19">
                  <c:v>0.93336619424077227</c:v>
                </c:pt>
                <c:pt idx="20">
                  <c:v>0.92996211429073083</c:v>
                </c:pt>
                <c:pt idx="21">
                  <c:v>0.92670715205766785</c:v>
                </c:pt>
                <c:pt idx="22">
                  <c:v>0.92359541602198303</c:v>
                </c:pt>
                <c:pt idx="23">
                  <c:v>0.92062078834855354</c:v>
                </c:pt>
                <c:pt idx="24">
                  <c:v>0.91777709380648875</c:v>
                </c:pt>
                <c:pt idx="25">
                  <c:v>0.91505821678332366</c:v>
                </c:pt>
                <c:pt idx="26">
                  <c:v>0.91245818083100905</c:v>
                </c:pt>
                <c:pt idx="27">
                  <c:v>0.90997120117239527</c:v>
                </c:pt>
                <c:pt idx="28">
                  <c:v>0.90759171772618374</c:v>
                </c:pt>
                <c:pt idx="29">
                  <c:v>0.90531441414396252</c:v>
                </c:pt>
                <c:pt idx="30">
                  <c:v>0.90313422686215272</c:v>
                </c:pt>
                <c:pt idx="31">
                  <c:v>0.90104634709064535</c:v>
                </c:pt>
                <c:pt idx="32">
                  <c:v>0.89904621787289307</c:v>
                </c:pt>
                <c:pt idx="33">
                  <c:v>0.89712952777719546</c:v>
                </c:pt>
                <c:pt idx="34">
                  <c:v>0.89529220235741847</c:v>
                </c:pt>
                <c:pt idx="35">
                  <c:v>0.89353039421157032</c:v>
                </c:pt>
                <c:pt idx="36">
                  <c:v>0.89184047223843377</c:v>
                </c:pt>
                <c:pt idx="37">
                  <c:v>0.89021901052405272</c:v>
                </c:pt>
                <c:pt idx="38">
                  <c:v>0.88866277716551834</c:v>
                </c:pt>
                <c:pt idx="39">
                  <c:v>0.88716872324765816</c:v>
                </c:pt>
                <c:pt idx="40">
                  <c:v>0.88573397212047589</c:v>
                </c:pt>
                <c:pt idx="41">
                  <c:v>0.88435580907530342</c:v>
                </c:pt>
                <c:pt idx="42">
                  <c:v>0.88303167148104</c:v>
                </c:pt>
                <c:pt idx="43">
                  <c:v>0.88175913941515971</c:v>
                </c:pt>
                <c:pt idx="44">
                  <c:v>0.88053592680486381</c:v>
                </c:pt>
                <c:pt idx="45">
                  <c:v>0.87935987307993746</c:v>
                </c:pt>
                <c:pt idx="46">
                  <c:v>0.8782289353291568</c:v>
                </c:pt>
                <c:pt idx="47">
                  <c:v>0.8771411809454196</c:v>
                </c:pt>
                <c:pt idx="48">
                  <c:v>0.87609478074035985</c:v>
                </c:pt>
                <c:pt idx="49">
                  <c:v>0.87508800250645269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3EE-4927-9DA1-130D9E699CE5}"/>
            </c:ext>
          </c:extLst>
        </c:ser>
        <c:ser>
          <c:idx val="13"/>
          <c:order val="13"/>
          <c:tx>
            <c:strRef>
              <c:f>Delta!$B$16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Delta!$C$16:$AZ$16</c:f>
              <c:numCache>
                <c:formatCode>General</c:formatCode>
                <c:ptCount val="50"/>
                <c:pt idx="0">
                  <c:v>0.99999999999939337</c:v>
                </c:pt>
                <c:pt idx="1">
                  <c:v>0.99999978673956835</c:v>
                </c:pt>
                <c:pt idx="2">
                  <c:v>0.99998381961018046</c:v>
                </c:pt>
                <c:pt idx="3">
                  <c:v>0.99985444081884667</c:v>
                </c:pt>
                <c:pt idx="4">
                  <c:v>0.99944644902317548</c:v>
                </c:pt>
                <c:pt idx="5">
                  <c:v>0.99863656915944365</c:v>
                </c:pt>
                <c:pt idx="6">
                  <c:v>0.9973854793151351</c:v>
                </c:pt>
                <c:pt idx="7">
                  <c:v>0.99571799089194879</c:v>
                </c:pt>
                <c:pt idx="8">
                  <c:v>0.99369223383243865</c:v>
                </c:pt>
                <c:pt idx="9">
                  <c:v>0.9913773450413681</c:v>
                </c:pt>
                <c:pt idx="10">
                  <c:v>0.98884099441358086</c:v>
                </c:pt>
                <c:pt idx="11">
                  <c:v>0.98614364270486488</c:v>
                </c:pt>
                <c:pt idx="12">
                  <c:v>0.98333662808822309</c:v>
                </c:pt>
                <c:pt idx="13">
                  <c:v>0.98046218692134313</c:v>
                </c:pt>
                <c:pt idx="14">
                  <c:v>0.9775543299353403</c:v>
                </c:pt>
                <c:pt idx="15">
                  <c:v>0.97464000748133717</c:v>
                </c:pt>
                <c:pt idx="16">
                  <c:v>0.97174028804272394</c:v>
                </c:pt>
                <c:pt idx="17">
                  <c:v>0.96887142956815275</c:v>
                </c:pt>
                <c:pt idx="18">
                  <c:v>0.96604580231089032</c:v>
                </c:pt>
                <c:pt idx="19">
                  <c:v>0.9632726598800867</c:v>
                </c:pt>
                <c:pt idx="20">
                  <c:v>0.96055877177785431</c:v>
                </c:pt>
                <c:pt idx="21">
                  <c:v>0.9579089364602198</c:v>
                </c:pt>
                <c:pt idx="22">
                  <c:v>0.95532639455292756</c:v>
                </c:pt>
                <c:pt idx="23">
                  <c:v>0.95281316018774986</c:v>
                </c:pt>
                <c:pt idx="24">
                  <c:v>0.95037028596388029</c:v>
                </c:pt>
                <c:pt idx="25">
                  <c:v>0.94799807448236884</c:v>
                </c:pt>
                <c:pt idx="26">
                  <c:v>0.94569624705639399</c:v>
                </c:pt>
                <c:pt idx="27">
                  <c:v>0.94346407817585021</c:v>
                </c:pt>
                <c:pt idx="28">
                  <c:v>0.94130050261588005</c:v>
                </c:pt>
                <c:pt idx="29">
                  <c:v>0.93920420069847521</c:v>
                </c:pt>
                <c:pt idx="30">
                  <c:v>0.93717366610191544</c:v>
                </c:pt>
                <c:pt idx="31">
                  <c:v>0.93520725972030871</c:v>
                </c:pt>
                <c:pt idx="32">
                  <c:v>0.93330325236397171</c:v>
                </c:pt>
                <c:pt idx="33">
                  <c:v>0.93145985852564384</c:v>
                </c:pt>
                <c:pt idx="34">
                  <c:v>0.92967526298818648</c:v>
                </c:pt>
                <c:pt idx="35">
                  <c:v>0.9279476416925958</c:v>
                </c:pt>
                <c:pt idx="36">
                  <c:v>0.92627517800165016</c:v>
                </c:pt>
                <c:pt idx="37">
                  <c:v>0.92465607526901228</c:v>
                </c:pt>
                <c:pt idx="38">
                  <c:v>0.92308856644400428</c:v>
                </c:pt>
                <c:pt idx="39">
                  <c:v>0.9215709212989972</c:v>
                </c:pt>
                <c:pt idx="40">
                  <c:v>0.92010145175185043</c:v>
                </c:pt>
                <c:pt idx="41">
                  <c:v>0.91867851566416925</c:v>
                </c:pt>
                <c:pt idx="42">
                  <c:v>0.91730051942260915</c:v>
                </c:pt>
                <c:pt idx="43">
                  <c:v>0.91596591955137208</c:v>
                </c:pt>
                <c:pt idx="44">
                  <c:v>0.91467322355645819</c:v>
                </c:pt>
                <c:pt idx="45">
                  <c:v>0.91342099016387712</c:v>
                </c:pt>
                <c:pt idx="46">
                  <c:v>0.91220782908301967</c:v>
                </c:pt>
                <c:pt idx="47">
                  <c:v>0.91103240040131905</c:v>
                </c:pt>
                <c:pt idx="48">
                  <c:v>0.90989341369600374</c:v>
                </c:pt>
                <c:pt idx="49">
                  <c:v>0.90878962693226017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3EE-4927-9DA1-130D9E699CE5}"/>
            </c:ext>
          </c:extLst>
        </c:ser>
        <c:ser>
          <c:idx val="14"/>
          <c:order val="14"/>
          <c:tx>
            <c:strRef>
              <c:f>Delta!$B$17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Delta!$C$17:$AZ$17</c:f>
              <c:numCache>
                <c:formatCode>General</c:formatCode>
                <c:ptCount val="50"/>
                <c:pt idx="0">
                  <c:v>1</c:v>
                </c:pt>
                <c:pt idx="1">
                  <c:v>0.99999999851931465</c:v>
                </c:pt>
                <c:pt idx="2">
                  <c:v>0.99999944833507226</c:v>
                </c:pt>
                <c:pt idx="3">
                  <c:v>0.99998898282504689</c:v>
                </c:pt>
                <c:pt idx="4">
                  <c:v>0.99993230917992704</c:v>
                </c:pt>
                <c:pt idx="5">
                  <c:v>0.99977023212247085</c:v>
                </c:pt>
                <c:pt idx="6">
                  <c:v>0.99944558802202021</c:v>
                </c:pt>
                <c:pt idx="7">
                  <c:v>0.99892066116278744</c:v>
                </c:pt>
                <c:pt idx="8">
                  <c:v>0.99818047109526631</c:v>
                </c:pt>
                <c:pt idx="9">
                  <c:v>0.99722837337629622</c:v>
                </c:pt>
                <c:pt idx="10">
                  <c:v>0.99607979809325853</c:v>
                </c:pt>
                <c:pt idx="11">
                  <c:v>0.99475680410021372</c:v>
                </c:pt>
                <c:pt idx="12">
                  <c:v>0.99328414990689873</c:v>
                </c:pt>
                <c:pt idx="13">
                  <c:v>0.99168676026565517</c:v>
                </c:pt>
                <c:pt idx="14">
                  <c:v>0.98998824319240519</c:v>
                </c:pt>
                <c:pt idx="15">
                  <c:v>0.98821012202872338</c:v>
                </c:pt>
                <c:pt idx="16">
                  <c:v>0.9863715229273039</c:v>
                </c:pt>
                <c:pt idx="17">
                  <c:v>0.98448913611369515</c:v>
                </c:pt>
                <c:pt idx="18">
                  <c:v>0.98257733104212408</c:v>
                </c:pt>
                <c:pt idx="19">
                  <c:v>0.9806483495408157</c:v>
                </c:pt>
                <c:pt idx="20">
                  <c:v>0.97871253062266728</c:v>
                </c:pt>
                <c:pt idx="21">
                  <c:v>0.9767785398311698</c:v>
                </c:pt>
                <c:pt idx="22">
                  <c:v>0.97485358811625455</c:v>
                </c:pt>
                <c:pt idx="23">
                  <c:v>0.9729436327102019</c:v>
                </c:pt>
                <c:pt idx="24">
                  <c:v>0.97105355696070916</c:v>
                </c:pt>
                <c:pt idx="25">
                  <c:v>0.9691873286779954</c:v>
                </c:pt>
                <c:pt idx="26">
                  <c:v>0.9673481379802098</c:v>
                </c:pt>
                <c:pt idx="27">
                  <c:v>0.9655385163334701</c:v>
                </c:pt>
                <c:pt idx="28">
                  <c:v>0.96376043876843187</c:v>
                </c:pt>
                <c:pt idx="29">
                  <c:v>0.96201541129490264</c:v>
                </c:pt>
                <c:pt idx="30">
                  <c:v>0.96030454544110133</c:v>
                </c:pt>
                <c:pt idx="31">
                  <c:v>0.95862862168247132</c:v>
                </c:pt>
                <c:pt idx="32">
                  <c:v>0.95698814333675242</c:v>
                </c:pt>
                <c:pt idx="33">
                  <c:v>0.95538338231049502</c:v>
                </c:pt>
                <c:pt idx="34">
                  <c:v>0.95381441790000032</c:v>
                </c:pt>
                <c:pt idx="35">
                  <c:v>0.9522811696830461</c:v>
                </c:pt>
                <c:pt idx="36">
                  <c:v>0.95078342538914784</c:v>
                </c:pt>
                <c:pt idx="37">
                  <c:v>0.9493208645057839</c:v>
                </c:pt>
                <c:pt idx="38">
                  <c:v>0.94789307826503499</c:v>
                </c:pt>
                <c:pt idx="39">
                  <c:v>0.94649958655795841</c:v>
                </c:pt>
                <c:pt idx="40">
                  <c:v>0.94513985224098096</c:v>
                </c:pt>
                <c:pt idx="41">
                  <c:v>0.94381329322790464</c:v>
                </c:pt>
                <c:pt idx="42">
                  <c:v>0.94251929270110701</c:v>
                </c:pt>
                <c:pt idx="43">
                  <c:v>0.9412572077246697</c:v>
                </c:pt>
                <c:pt idx="44">
                  <c:v>0.94002637649913534</c:v>
                </c:pt>
                <c:pt idx="45">
                  <c:v>0.93882612446120028</c:v>
                </c:pt>
                <c:pt idx="46">
                  <c:v>0.93765576940088102</c:v>
                </c:pt>
                <c:pt idx="47">
                  <c:v>0.93651462574267497</c:v>
                </c:pt>
                <c:pt idx="48">
                  <c:v>0.93540200811522856</c:v>
                </c:pt>
                <c:pt idx="49">
                  <c:v>0.93431723431540992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3EE-4927-9DA1-130D9E699CE5}"/>
            </c:ext>
          </c:extLst>
        </c:ser>
        <c:ser>
          <c:idx val="15"/>
          <c:order val="15"/>
          <c:tx>
            <c:strRef>
              <c:f>Delta!$B$18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Delta!$C$18:$AZ$18</c:f>
              <c:numCache>
                <c:formatCode>General</c:formatCode>
                <c:ptCount val="50"/>
                <c:pt idx="0">
                  <c:v>1</c:v>
                </c:pt>
                <c:pt idx="1">
                  <c:v>0.99999999999389166</c:v>
                </c:pt>
                <c:pt idx="2">
                  <c:v>0.9999999866108833</c:v>
                </c:pt>
                <c:pt idx="3">
                  <c:v>0.99999935060366185</c:v>
                </c:pt>
                <c:pt idx="4">
                  <c:v>0.99999319889057736</c:v>
                </c:pt>
                <c:pt idx="5">
                  <c:v>0.99996703614043125</c:v>
                </c:pt>
                <c:pt idx="6">
                  <c:v>0.99989736258573836</c:v>
                </c:pt>
                <c:pt idx="7">
                  <c:v>0.99975797900363672</c:v>
                </c:pt>
                <c:pt idx="8">
                  <c:v>0.99952627336039468</c:v>
                </c:pt>
                <c:pt idx="9">
                  <c:v>0.99918656546080542</c:v>
                </c:pt>
                <c:pt idx="10">
                  <c:v>0.99873071769158261</c:v>
                </c:pt>
                <c:pt idx="11">
                  <c:v>0.99815717861348552</c:v>
                </c:pt>
                <c:pt idx="12">
                  <c:v>0.99746944029597062</c:v>
                </c:pt>
                <c:pt idx="13">
                  <c:v>0.99667447683827359</c:v>
                </c:pt>
                <c:pt idx="14">
                  <c:v>0.9957814148220272</c:v>
                </c:pt>
                <c:pt idx="15">
                  <c:v>0.99480050466004488</c:v>
                </c:pt>
                <c:pt idx="16">
                  <c:v>0.99374237574181201</c:v>
                </c:pt>
                <c:pt idx="17">
                  <c:v>0.99261752648253243</c:v>
                </c:pt>
                <c:pt idx="18">
                  <c:v>0.99143599519147396</c:v>
                </c:pt>
                <c:pt idx="19">
                  <c:v>0.99020716359662175</c:v>
                </c:pt>
                <c:pt idx="20">
                  <c:v>0.98893965415526486</c:v>
                </c:pt>
                <c:pt idx="21">
                  <c:v>0.98764129149111679</c:v>
                </c:pt>
                <c:pt idx="22">
                  <c:v>0.9863191061421841</c:v>
                </c:pt>
                <c:pt idx="23">
                  <c:v>0.98497936500003647</c:v>
                </c:pt>
                <c:pt idx="24">
                  <c:v>0.98362761750549088</c:v>
                </c:pt>
                <c:pt idx="25">
                  <c:v>0.98226875010645842</c:v>
                </c:pt>
                <c:pt idx="26">
                  <c:v>0.9809070439593367</c:v>
                </c:pt>
                <c:pt idx="27">
                  <c:v>0.97954623260776985</c:v>
                </c:pt>
                <c:pt idx="28">
                  <c:v>0.97818955759544346</c:v>
                </c:pt>
                <c:pt idx="29">
                  <c:v>0.97683982081086107</c:v>
                </c:pt>
                <c:pt idx="30">
                  <c:v>0.97549943293177899</c:v>
                </c:pt>
                <c:pt idx="31">
                  <c:v>0.97417045771546407</c:v>
                </c:pt>
                <c:pt idx="32">
                  <c:v>0.9728546521259781</c:v>
                </c:pt>
                <c:pt idx="33">
                  <c:v>0.97155350244254257</c:v>
                </c:pt>
                <c:pt idx="34">
                  <c:v>0.9702682565828864</c:v>
                </c:pt>
                <c:pt idx="35">
                  <c:v>0.96899995292284402</c:v>
                </c:pt>
                <c:pt idx="36">
                  <c:v>0.96774944591271195</c:v>
                </c:pt>
                <c:pt idx="37">
                  <c:v>0.96651742879191405</c:v>
                </c:pt>
                <c:pt idx="38">
                  <c:v>0.96530445369324458</c:v>
                </c:pt>
                <c:pt idx="39">
                  <c:v>0.9641109494110095</c:v>
                </c:pt>
                <c:pt idx="40">
                  <c:v>0.96293723708691936</c:v>
                </c:pt>
                <c:pt idx="41">
                  <c:v>0.96178354404569188</c:v>
                </c:pt>
                <c:pt idx="42">
                  <c:v>0.96065001599032818</c:v>
                </c:pt>
                <c:pt idx="43">
                  <c:v>0.95953672774578858</c:v>
                </c:pt>
                <c:pt idx="44">
                  <c:v>0.95844369271979712</c:v>
                </c:pt>
                <c:pt idx="45">
                  <c:v>0.95737087123100317</c:v>
                </c:pt>
                <c:pt idx="46">
                  <c:v>0.95631817783784678</c:v>
                </c:pt>
                <c:pt idx="47">
                  <c:v>0.95528548778619859</c:v>
                </c:pt>
                <c:pt idx="48">
                  <c:v>0.95427264268013234</c:v>
                </c:pt>
                <c:pt idx="49">
                  <c:v>0.9532794554679479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3EE-4927-9DA1-130D9E699CE5}"/>
            </c:ext>
          </c:extLst>
        </c:ser>
        <c:ser>
          <c:idx val="16"/>
          <c:order val="16"/>
          <c:tx>
            <c:strRef>
              <c:f>Delta!$B$19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Delta!$C$19:$AZ$19</c:f>
              <c:numCache>
                <c:formatCode>General</c:formatCode>
                <c:ptCount val="50"/>
                <c:pt idx="0">
                  <c:v>1</c:v>
                </c:pt>
                <c:pt idx="1">
                  <c:v>0.99999999999998412</c:v>
                </c:pt>
                <c:pt idx="2">
                  <c:v>0.99999999975964071</c:v>
                </c:pt>
                <c:pt idx="3">
                  <c:v>0.99999996934905533</c:v>
                </c:pt>
                <c:pt idx="4">
                  <c:v>0.99999942627332528</c:v>
                </c:pt>
                <c:pt idx="5">
                  <c:v>0.99999590254116577</c:v>
                </c:pt>
                <c:pt idx="6">
                  <c:v>0.99998316518966346</c:v>
                </c:pt>
                <c:pt idx="7">
                  <c:v>0.99995111048223762</c:v>
                </c:pt>
                <c:pt idx="8">
                  <c:v>0.99988744523010076</c:v>
                </c:pt>
                <c:pt idx="9">
                  <c:v>0.99977989302522097</c:v>
                </c:pt>
                <c:pt idx="10">
                  <c:v>0.99961791681411738</c:v>
                </c:pt>
                <c:pt idx="11">
                  <c:v>0.99939364548979626</c:v>
                </c:pt>
                <c:pt idx="12">
                  <c:v>0.99910211862884335</c:v>
                </c:pt>
                <c:pt idx="13">
                  <c:v>0.9987410909933111</c:v>
                </c:pt>
                <c:pt idx="14">
                  <c:v>0.99831061454925729</c:v>
                </c:pt>
                <c:pt idx="15">
                  <c:v>0.99781254842952793</c:v>
                </c:pt>
                <c:pt idx="16">
                  <c:v>0.99725008449200914</c:v>
                </c:pt>
                <c:pt idx="17">
                  <c:v>0.99662733123011071</c:v>
                </c:pt>
                <c:pt idx="18">
                  <c:v>0.99594897098973512</c:v>
                </c:pt>
                <c:pt idx="19">
                  <c:v>0.99521999012116835</c:v>
                </c:pt>
                <c:pt idx="20">
                  <c:v>0.99444547435126962</c:v>
                </c:pt>
                <c:pt idx="21">
                  <c:v>0.99363045897715341</c:v>
                </c:pt>
                <c:pt idx="22">
                  <c:v>0.9927798232885382</c:v>
                </c:pt>
                <c:pt idx="23">
                  <c:v>0.99189821961543723</c:v>
                </c:pt>
                <c:pt idx="24">
                  <c:v>0.99099002883372878</c:v>
                </c:pt>
                <c:pt idx="25">
                  <c:v>0.99005933565616466</c:v>
                </c:pt>
                <c:pt idx="26">
                  <c:v>0.98910991840697571</c:v>
                </c:pt>
                <c:pt idx="27">
                  <c:v>0.98814524915345603</c:v>
                </c:pt>
                <c:pt idx="28">
                  <c:v>0.9871685010353537</c:v>
                </c:pt>
                <c:pt idx="29">
                  <c:v>0.98618256040797059</c:v>
                </c:pt>
                <c:pt idx="30">
                  <c:v>0.985190042023943</c:v>
                </c:pt>
                <c:pt idx="31">
                  <c:v>0.98419330595036569</c:v>
                </c:pt>
                <c:pt idx="32">
                  <c:v>0.98319447527899484</c:v>
                </c:pt>
                <c:pt idx="33">
                  <c:v>0.98219545396092467</c:v>
                </c:pt>
                <c:pt idx="34">
                  <c:v>0.98119794430266571</c:v>
                </c:pt>
                <c:pt idx="35">
                  <c:v>0.98020346381354773</c:v>
                </c:pt>
                <c:pt idx="36">
                  <c:v>0.97921336120717106</c:v>
                </c:pt>
                <c:pt idx="37">
                  <c:v>0.97822883144191719</c:v>
                </c:pt>
                <c:pt idx="38">
                  <c:v>0.9772509297447769</c:v>
                </c:pt>
                <c:pt idx="39">
                  <c:v>0.97628058460472156</c:v>
                </c:pt>
                <c:pt idx="40">
                  <c:v>0.97531860975092755</c:v>
                </c:pt>
                <c:pt idx="41">
                  <c:v>0.97436571515070713</c:v>
                </c:pt>
                <c:pt idx="42">
                  <c:v>0.97342251707452487</c:v>
                </c:pt>
                <c:pt idx="43">
                  <c:v>0.97248954728290637</c:v>
                </c:pt>
                <c:pt idx="44">
                  <c:v>0.9715672613937939</c:v>
                </c:pt>
                <c:pt idx="45">
                  <c:v>0.97065604649004611</c:v>
                </c:pt>
                <c:pt idx="46">
                  <c:v>0.96975622802611894</c:v>
                </c:pt>
                <c:pt idx="47">
                  <c:v>0.96886807609107373</c:v>
                </c:pt>
                <c:pt idx="48">
                  <c:v>0.9679918110823913</c:v>
                </c:pt>
                <c:pt idx="49">
                  <c:v>0.96712760884191817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3EE-4927-9DA1-130D9E699CE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385207200"/>
        <c:axId val="827070672"/>
        <c:axId val="821474480"/>
      </c:surface3DChart>
      <c:catAx>
        <c:axId val="38520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070672"/>
        <c:crosses val="autoZero"/>
        <c:auto val="1"/>
        <c:lblAlgn val="ctr"/>
        <c:lblOffset val="100"/>
        <c:noMultiLvlLbl val="0"/>
      </c:catAx>
      <c:valAx>
        <c:axId val="82707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07200"/>
        <c:crosses val="autoZero"/>
        <c:crossBetween val="midCat"/>
      </c:valAx>
      <c:serAx>
        <c:axId val="8214744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070672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Delta,</a:t>
            </a:r>
            <a:r>
              <a:rPr lang="en-US" baseline="0"/>
              <a:t> vol=20%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55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Delta!$B$24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Delta!$C$24:$AZ$24</c:f>
              <c:numCache>
                <c:formatCode>General</c:formatCode>
                <c:ptCount val="50"/>
                <c:pt idx="0">
                  <c:v>4.8964030371398776E-16</c:v>
                </c:pt>
                <c:pt idx="1">
                  <c:v>8.3013130785334355E-9</c:v>
                </c:pt>
                <c:pt idx="2">
                  <c:v>2.3135653326617134E-6</c:v>
                </c:pt>
                <c:pt idx="3">
                  <c:v>4.0139975424484832E-5</c:v>
                </c:pt>
                <c:pt idx="4">
                  <c:v>2.2743341786876357E-4</c:v>
                </c:pt>
                <c:pt idx="5">
                  <c:v>7.3339315349598712E-4</c:v>
                </c:pt>
                <c:pt idx="6">
                  <c:v>1.7097704105366383E-3</c:v>
                </c:pt>
                <c:pt idx="7">
                  <c:v>3.2499291224938613E-3</c:v>
                </c:pt>
                <c:pt idx="8">
                  <c:v>5.386378691307119E-3</c:v>
                </c:pt>
                <c:pt idx="9">
                  <c:v>8.1055453543928818E-3</c:v>
                </c:pt>
                <c:pt idx="10">
                  <c:v>1.1364948740576043E-2</c:v>
                </c:pt>
                <c:pt idx="11">
                  <c:v>1.5107039450839943E-2</c:v>
                </c:pt>
                <c:pt idx="12">
                  <c:v>1.9268716121201734E-2</c:v>
                </c:pt>
                <c:pt idx="13">
                  <c:v>2.3787235471596887E-2</c:v>
                </c:pt>
                <c:pt idx="14">
                  <c:v>2.8603548354443637E-2</c:v>
                </c:pt>
                <c:pt idx="15">
                  <c:v>3.3663947709280953E-2</c:v>
                </c:pt>
                <c:pt idx="16">
                  <c:v>3.8920673533683454E-2</c:v>
                </c:pt>
                <c:pt idx="17">
                  <c:v>4.4331908636077E-2</c:v>
                </c:pt>
                <c:pt idx="18">
                  <c:v>4.98614429634959E-2</c:v>
                </c:pt>
                <c:pt idx="19">
                  <c:v>5.5478177979400509E-2</c:v>
                </c:pt>
                <c:pt idx="20">
                  <c:v>6.1155573265893465E-2</c:v>
                </c:pt>
                <c:pt idx="21">
                  <c:v>6.6871093670488588E-2</c:v>
                </c:pt>
                <c:pt idx="22">
                  <c:v>7.2605688211547878E-2</c:v>
                </c:pt>
                <c:pt idx="23">
                  <c:v>7.8343315584597784E-2</c:v>
                </c:pt>
                <c:pt idx="24">
                  <c:v>8.4070521493168793E-2</c:v>
                </c:pt>
                <c:pt idx="25">
                  <c:v>8.9776067593532086E-2</c:v>
                </c:pt>
                <c:pt idx="26">
                  <c:v>9.5450608961427263E-2</c:v>
                </c:pt>
                <c:pt idx="27">
                  <c:v>0.10108641563679172</c:v>
                </c:pt>
                <c:pt idx="28">
                  <c:v>0.10667713334344281</c:v>
                </c:pt>
                <c:pt idx="29">
                  <c:v>0.11221757852337162</c:v>
                </c:pt>
                <c:pt idx="30">
                  <c:v>0.11770356313214229</c:v>
                </c:pt>
                <c:pt idx="31">
                  <c:v>0.12313174507094679</c:v>
                </c:pt>
                <c:pt idx="32">
                  <c:v>0.12849950059951584</c:v>
                </c:pt>
                <c:pt idx="33">
                  <c:v>0.13380481553607543</c:v>
                </c:pt>
                <c:pt idx="34">
                  <c:v>0.13904619248168573</c:v>
                </c:pt>
                <c:pt idx="35">
                  <c:v>0.14422257169559402</c:v>
                </c:pt>
                <c:pt idx="36">
                  <c:v>0.14933326359231339</c:v>
                </c:pt>
                <c:pt idx="37">
                  <c:v>0.15437789113091641</c:v>
                </c:pt>
                <c:pt idx="38">
                  <c:v>0.159356340625636</c:v>
                </c:pt>
                <c:pt idx="39">
                  <c:v>0.16426871972840887</c:v>
                </c:pt>
                <c:pt idx="40">
                  <c:v>0.16911532152288197</c:v>
                </c:pt>
                <c:pt idx="41">
                  <c:v>0.17389659382990932</c:v>
                </c:pt>
                <c:pt idx="42">
                  <c:v>0.17861311296065552</c:v>
                </c:pt>
                <c:pt idx="43">
                  <c:v>0.18326556126865992</c:v>
                </c:pt>
                <c:pt idx="44">
                  <c:v>0.18785470794970985</c:v>
                </c:pt>
                <c:pt idx="45">
                  <c:v>0.19238139262084494</c:v>
                </c:pt>
                <c:pt idx="46">
                  <c:v>0.19684651127958341</c:v>
                </c:pt>
                <c:pt idx="47">
                  <c:v>0.20125100430350551</c:v>
                </c:pt>
                <c:pt idx="48">
                  <c:v>0.20559584620033078</c:v>
                </c:pt>
                <c:pt idx="49">
                  <c:v>0.20988203686100165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0B-4D34-8301-3CFF22BC0326}"/>
            </c:ext>
          </c:extLst>
        </c:ser>
        <c:ser>
          <c:idx val="1"/>
          <c:order val="1"/>
          <c:tx>
            <c:strRef>
              <c:f>Delta!$B$25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Delta!$C$25:$AZ$25</c:f>
              <c:numCache>
                <c:formatCode>General</c:formatCode>
                <c:ptCount val="50"/>
                <c:pt idx="0">
                  <c:v>6.7189909908190016E-12</c:v>
                </c:pt>
                <c:pt idx="1">
                  <c:v>1.0210267589266487E-6</c:v>
                </c:pt>
                <c:pt idx="2">
                  <c:v>5.8978518150786739E-5</c:v>
                </c:pt>
                <c:pt idx="3">
                  <c:v>4.6519881412379204E-4</c:v>
                </c:pt>
                <c:pt idx="4">
                  <c:v>1.6409066155964713E-3</c:v>
                </c:pt>
                <c:pt idx="5">
                  <c:v>3.8551173459696964E-3</c:v>
                </c:pt>
                <c:pt idx="6">
                  <c:v>7.1642370961297339E-3</c:v>
                </c:pt>
                <c:pt idx="7">
                  <c:v>1.1483425231958777E-2</c:v>
                </c:pt>
                <c:pt idx="8">
                  <c:v>1.6663450654240793E-2</c:v>
                </c:pt>
                <c:pt idx="9">
                  <c:v>2.2539605701555516E-2</c:v>
                </c:pt>
                <c:pt idx="10">
                  <c:v>2.8956516367696077E-2</c:v>
                </c:pt>
                <c:pt idx="11">
                  <c:v>3.5778269784722351E-2</c:v>
                </c:pt>
                <c:pt idx="12">
                  <c:v>4.2890853298264454E-2</c:v>
                </c:pt>
                <c:pt idx="13">
                  <c:v>5.020101804994808E-2</c:v>
                </c:pt>
                <c:pt idx="14">
                  <c:v>5.7633743789087324E-2</c:v>
                </c:pt>
                <c:pt idx="15">
                  <c:v>6.5129373656786574E-2</c:v>
                </c:pt>
                <c:pt idx="16">
                  <c:v>7.2640899642307286E-2</c:v>
                </c:pt>
                <c:pt idx="17">
                  <c:v>8.0131582720546615E-2</c:v>
                </c:pt>
                <c:pt idx="18">
                  <c:v>8.7572949554756502E-2</c:v>
                </c:pt>
                <c:pt idx="19">
                  <c:v>9.4943144684704661E-2</c:v>
                </c:pt>
                <c:pt idx="20">
                  <c:v>0.10222559338564596</c:v>
                </c:pt>
                <c:pt idx="21">
                  <c:v>0.10940792524993151</c:v>
                </c:pt>
                <c:pt idx="22">
                  <c:v>0.11648111158152176</c:v>
                </c:pt>
                <c:pt idx="23">
                  <c:v>0.12343877576961404</c:v>
                </c:pt>
                <c:pt idx="24">
                  <c:v>0.13027664249730267</c:v>
                </c:pt>
                <c:pt idx="25">
                  <c:v>0.13699209788616373</c:v>
                </c:pt>
                <c:pt idx="26">
                  <c:v>0.14358383809023886</c:v>
                </c:pt>
                <c:pt idx="27">
                  <c:v>0.15005158836141061</c:v>
                </c:pt>
                <c:pt idx="28">
                  <c:v>0.15639587827818471</c:v>
                </c:pt>
                <c:pt idx="29">
                  <c:v>0.16261786177644788</c:v>
                </c:pt>
                <c:pt idx="30">
                  <c:v>0.16871917296701835</c:v>
                </c:pt>
                <c:pt idx="31">
                  <c:v>0.17470181058420733</c:v>
                </c:pt>
                <c:pt idx="32">
                  <c:v>0.18056804537962018</c:v>
                </c:pt>
                <c:pt idx="33">
                  <c:v>0.1863203459366041</c:v>
                </c:pt>
                <c:pt idx="34">
                  <c:v>0.19196131929818727</c:v>
                </c:pt>
                <c:pt idx="35">
                  <c:v>0.19749366352693379</c:v>
                </c:pt>
                <c:pt idx="36">
                  <c:v>0.20292012988984076</c:v>
                </c:pt>
                <c:pt idx="37">
                  <c:v>0.20824349281746155</c:v>
                </c:pt>
                <c:pt idx="38">
                  <c:v>0.21346652614909953</c:v>
                </c:pt>
                <c:pt idx="39">
                  <c:v>0.21859198446496683</c:v>
                </c:pt>
                <c:pt idx="40">
                  <c:v>0.22362258853712122</c:v>
                </c:pt>
                <c:pt idx="41">
                  <c:v>0.22856101411591503</c:v>
                </c:pt>
                <c:pt idx="42">
                  <c:v>0.23340988341712735</c:v>
                </c:pt>
                <c:pt idx="43">
                  <c:v>0.23817175879439145</c:v>
                </c:pt>
                <c:pt idx="44">
                  <c:v>0.24284913817784687</c:v>
                </c:pt>
                <c:pt idx="45">
                  <c:v>0.2474444519378089</c:v>
                </c:pt>
                <c:pt idx="46">
                  <c:v>0.25196006089531281</c:v>
                </c:pt>
                <c:pt idx="47">
                  <c:v>0.25639825525258453</c:v>
                </c:pt>
                <c:pt idx="48">
                  <c:v>0.26076125425812735</c:v>
                </c:pt>
                <c:pt idx="49">
                  <c:v>0.26505120645503799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0B-4D34-8301-3CFF22BC0326}"/>
            </c:ext>
          </c:extLst>
        </c:ser>
        <c:ser>
          <c:idx val="2"/>
          <c:order val="2"/>
          <c:tx>
            <c:strRef>
              <c:f>Delta!$B$26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Delta!$C$26:$AZ$26</c:f>
              <c:numCache>
                <c:formatCode>General</c:formatCode>
                <c:ptCount val="50"/>
                <c:pt idx="0">
                  <c:v>1.1217502453550677E-8</c:v>
                </c:pt>
                <c:pt idx="1">
                  <c:v>4.4152463014191854E-5</c:v>
                </c:pt>
                <c:pt idx="2">
                  <c:v>7.522257491842688E-4</c:v>
                </c:pt>
                <c:pt idx="3">
                  <c:v>3.2160999955850558E-3</c:v>
                </c:pt>
                <c:pt idx="4">
                  <c:v>7.8458863408448435E-3</c:v>
                </c:pt>
                <c:pt idx="5">
                  <c:v>1.4402778602930108E-2</c:v>
                </c:pt>
                <c:pt idx="6">
                  <c:v>2.2425911183962036E-2</c:v>
                </c:pt>
                <c:pt idx="7">
                  <c:v>3.1463320553836806E-2</c:v>
                </c:pt>
                <c:pt idx="8">
                  <c:v>4.1145992558525295E-2</c:v>
                </c:pt>
                <c:pt idx="9">
                  <c:v>5.1195105289887979E-2</c:v>
                </c:pt>
                <c:pt idx="10">
                  <c:v>6.1408139635557142E-2</c:v>
                </c:pt>
                <c:pt idx="11">
                  <c:v>7.1641498120345662E-2</c:v>
                </c:pt>
                <c:pt idx="12">
                  <c:v>8.1795262512578237E-2</c:v>
                </c:pt>
                <c:pt idx="13">
                  <c:v>9.1801260392343501E-2</c:v>
                </c:pt>
                <c:pt idx="14">
                  <c:v>0.10161416217853982</c:v>
                </c:pt>
                <c:pt idx="15">
                  <c:v>0.11120498467252012</c:v>
                </c:pt>
                <c:pt idx="16">
                  <c:v>0.12055639736525385</c:v>
                </c:pt>
                <c:pt idx="17">
                  <c:v>0.12965934377671434</c:v>
                </c:pt>
                <c:pt idx="18">
                  <c:v>0.1385106107017941</c:v>
                </c:pt>
                <c:pt idx="19">
                  <c:v>0.14711107776501312</c:v>
                </c:pt>
                <c:pt idx="20">
                  <c:v>0.15546445509470658</c:v>
                </c:pt>
                <c:pt idx="21">
                  <c:v>0.16357637189580812</c:v>
                </c:pt>
                <c:pt idx="22">
                  <c:v>0.17145371804571125</c:v>
                </c:pt>
                <c:pt idx="23">
                  <c:v>0.1791041687793658</c:v>
                </c:pt>
                <c:pt idx="24">
                  <c:v>0.1865358423295817</c:v>
                </c:pt>
                <c:pt idx="25">
                  <c:v>0.19375705443414803</c:v>
                </c:pt>
                <c:pt idx="26">
                  <c:v>0.20077614361505003</c:v>
                </c:pt>
                <c:pt idx="27">
                  <c:v>0.20760134827496235</c:v>
                </c:pt>
                <c:pt idx="28">
                  <c:v>0.21424072178129899</c:v>
                </c:pt>
                <c:pt idx="29">
                  <c:v>0.22070207540533249</c:v>
                </c:pt>
                <c:pt idx="30">
                  <c:v>0.22699294166455727</c:v>
                </c:pt>
                <c:pt idx="31">
                  <c:v>0.23312055256974043</c:v>
                </c:pt>
                <c:pt idx="32">
                  <c:v>0.23909182870816301</c:v>
                </c:pt>
                <c:pt idx="33">
                  <c:v>0.24491337614629433</c:v>
                </c:pt>
                <c:pt idx="34">
                  <c:v>0.25059148891190036</c:v>
                </c:pt>
                <c:pt idx="35">
                  <c:v>0.25613215539145551</c:v>
                </c:pt>
                <c:pt idx="36">
                  <c:v>0.26154106740713817</c:v>
                </c:pt>
                <c:pt idx="37">
                  <c:v>0.26682363105734525</c:v>
                </c:pt>
                <c:pt idx="38">
                  <c:v>0.27198497864376758</c:v>
                </c:pt>
                <c:pt idx="39">
                  <c:v>0.27702998118727484</c:v>
                </c:pt>
                <c:pt idx="40">
                  <c:v>0.28196326116934611</c:v>
                </c:pt>
                <c:pt idx="41">
                  <c:v>0.28678920523678819</c:v>
                </c:pt>
                <c:pt idx="42">
                  <c:v>0.29151197668332007</c:v>
                </c:pt>
                <c:pt idx="43">
                  <c:v>0.29613552757850015</c:v>
                </c:pt>
                <c:pt idx="44">
                  <c:v>0.3006636104570517</c:v>
                </c:pt>
                <c:pt idx="45">
                  <c:v>0.3050997895134186</c:v>
                </c:pt>
                <c:pt idx="46">
                  <c:v>0.30944745126994583</c:v>
                </c:pt>
                <c:pt idx="47">
                  <c:v>0.31370981470445936</c:v>
                </c:pt>
                <c:pt idx="48">
                  <c:v>0.31788994083567279</c:v>
                </c:pt>
                <c:pt idx="49">
                  <c:v>0.32199074177395015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0B-4D34-8301-3CFF22BC0326}"/>
            </c:ext>
          </c:extLst>
        </c:ser>
        <c:ser>
          <c:idx val="3"/>
          <c:order val="3"/>
          <c:tx>
            <c:strRef>
              <c:f>Delta!$B$27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Delta!$C$27:$AZ$27</c:f>
              <c:numCache>
                <c:formatCode>General</c:formatCode>
                <c:ptCount val="50"/>
                <c:pt idx="0">
                  <c:v>3.3782456328086734E-6</c:v>
                </c:pt>
                <c:pt idx="1">
                  <c:v>8.1830678243053191E-4</c:v>
                </c:pt>
                <c:pt idx="2">
                  <c:v>5.4794346275411467E-3</c:v>
                </c:pt>
                <c:pt idx="3">
                  <c:v>1.4648825269289092E-2</c:v>
                </c:pt>
                <c:pt idx="4">
                  <c:v>2.6918022682862624E-2</c:v>
                </c:pt>
                <c:pt idx="5">
                  <c:v>4.0860172111759546E-2</c:v>
                </c:pt>
                <c:pt idx="6">
                  <c:v>5.5498237073536412E-2</c:v>
                </c:pt>
                <c:pt idx="7">
                  <c:v>7.0237080583764377E-2</c:v>
                </c:pt>
                <c:pt idx="8">
                  <c:v>8.4734011793984751E-2</c:v>
                </c:pt>
                <c:pt idx="9">
                  <c:v>9.8801576761747459E-2</c:v>
                </c:pt>
                <c:pt idx="10">
                  <c:v>0.11234538879358122</c:v>
                </c:pt>
                <c:pt idx="11">
                  <c:v>0.12532619251817742</c:v>
                </c:pt>
                <c:pt idx="12">
                  <c:v>0.13773700476185918</c:v>
                </c:pt>
                <c:pt idx="13">
                  <c:v>0.14958935042423369</c:v>
                </c:pt>
                <c:pt idx="14">
                  <c:v>0.16090495521696008</c:v>
                </c:pt>
                <c:pt idx="15">
                  <c:v>0.17171072632004164</c:v>
                </c:pt>
                <c:pt idx="16">
                  <c:v>0.18203572901297627</c:v>
                </c:pt>
                <c:pt idx="17">
                  <c:v>0.19190938439799884</c:v>
                </c:pt>
                <c:pt idx="18">
                  <c:v>0.20136041885932376</c:v>
                </c:pt>
                <c:pt idx="19">
                  <c:v>0.21041627797587964</c:v>
                </c:pt>
                <c:pt idx="20">
                  <c:v>0.21910282731158265</c:v>
                </c:pt>
                <c:pt idx="21">
                  <c:v>0.22744422938818318</c:v>
                </c:pt>
                <c:pt idx="22">
                  <c:v>0.23546292738649943</c:v>
                </c:pt>
                <c:pt idx="23">
                  <c:v>0.24317969182166643</c:v>
                </c:pt>
                <c:pt idx="24">
                  <c:v>0.25061370260316312</c:v>
                </c:pt>
                <c:pt idx="25">
                  <c:v>0.2577826491380274</c:v>
                </c:pt>
                <c:pt idx="26">
                  <c:v>0.26470283767146119</c:v>
                </c:pt>
                <c:pt idx="27">
                  <c:v>0.27138929924413274</c:v>
                </c:pt>
                <c:pt idx="28">
                  <c:v>0.27785589432940017</c:v>
                </c:pt>
                <c:pt idx="29">
                  <c:v>0.2841154119321706</c:v>
                </c:pt>
                <c:pt idx="30">
                  <c:v>0.29017966202529016</c:v>
                </c:pt>
                <c:pt idx="31">
                  <c:v>0.29605956088826813</c:v>
                </c:pt>
                <c:pt idx="32">
                  <c:v>0.30176520933847961</c:v>
                </c:pt>
                <c:pt idx="33">
                  <c:v>0.30730596409901423</c:v>
                </c:pt>
                <c:pt idx="34">
                  <c:v>0.31269050269041154</c:v>
                </c:pt>
                <c:pt idx="35">
                  <c:v>0.31792688230527566</c:v>
                </c:pt>
                <c:pt idx="36">
                  <c:v>0.32302259315128312</c:v>
                </c:pt>
                <c:pt idx="37">
                  <c:v>0.32798460674654939</c:v>
                </c:pt>
                <c:pt idx="38">
                  <c:v>0.33281941963298078</c:v>
                </c:pt>
                <c:pt idx="39">
                  <c:v>0.33753309294546507</c:v>
                </c:pt>
                <c:pt idx="40">
                  <c:v>0.34213128824231698</c:v>
                </c:pt>
                <c:pt idx="41">
                  <c:v>0.34661929996833829</c:v>
                </c:pt>
                <c:pt idx="42">
                  <c:v>0.35100208488805074</c:v>
                </c:pt>
                <c:pt idx="43">
                  <c:v>0.35528428879426999</c:v>
                </c:pt>
                <c:pt idx="44">
                  <c:v>0.35947027076681459</c:v>
                </c:pt>
                <c:pt idx="45">
                  <c:v>0.36356412522811909</c:v>
                </c:pt>
                <c:pt idx="46">
                  <c:v>0.36756970201692407</c:v>
                </c:pt>
                <c:pt idx="47">
                  <c:v>0.37149062467802979</c:v>
                </c:pt>
                <c:pt idx="48">
                  <c:v>0.37533030714521254</c:v>
                </c:pt>
                <c:pt idx="49">
                  <c:v>0.37909196897565967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0B-4D34-8301-3CFF22BC0326}"/>
            </c:ext>
          </c:extLst>
        </c:ser>
        <c:ser>
          <c:idx val="4"/>
          <c:order val="4"/>
          <c:tx>
            <c:strRef>
              <c:f>Delta!$B$28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Delta!$C$28:$AZ$28</c:f>
              <c:numCache>
                <c:formatCode>General</c:formatCode>
                <c:ptCount val="50"/>
                <c:pt idx="0">
                  <c:v>2.4998248472572982E-4</c:v>
                </c:pt>
                <c:pt idx="1">
                  <c:v>7.5966424381891306E-3</c:v>
                </c:pt>
                <c:pt idx="2">
                  <c:v>2.5300139283739118E-2</c:v>
                </c:pt>
                <c:pt idx="3">
                  <c:v>4.7535275559280651E-2</c:v>
                </c:pt>
                <c:pt idx="4">
                  <c:v>7.0537829580775702E-2</c:v>
                </c:pt>
                <c:pt idx="5">
                  <c:v>9.2718991154622676E-2</c:v>
                </c:pt>
                <c:pt idx="6">
                  <c:v>0.11351617326502472</c:v>
                </c:pt>
                <c:pt idx="7">
                  <c:v>0.1328013323700564</c:v>
                </c:pt>
                <c:pt idx="8">
                  <c:v>0.1506224847545854</c:v>
                </c:pt>
                <c:pt idx="9">
                  <c:v>0.16709271590694216</c:v>
                </c:pt>
                <c:pt idx="10">
                  <c:v>0.18234255949247846</c:v>
                </c:pt>
                <c:pt idx="11">
                  <c:v>0.19649998953177067</c:v>
                </c:pt>
                <c:pt idx="12">
                  <c:v>0.20968264557955749</c:v>
                </c:pt>
                <c:pt idx="13">
                  <c:v>0.22199550018168396</c:v>
                </c:pt>
                <c:pt idx="14">
                  <c:v>0.2335308976570119</c:v>
                </c:pt>
                <c:pt idx="15">
                  <c:v>0.24436955432911361</c:v>
                </c:pt>
                <c:pt idx="16">
                  <c:v>0.25458187243130437</c:v>
                </c:pt>
                <c:pt idx="17">
                  <c:v>0.26422927666514739</c:v>
                </c:pt>
                <c:pt idx="18">
                  <c:v>0.27336545117782207</c:v>
                </c:pt>
                <c:pt idx="19">
                  <c:v>0.2820374343620774</c:v>
                </c:pt>
                <c:pt idx="20">
                  <c:v>0.29028656558317556</c:v>
                </c:pt>
                <c:pt idx="21">
                  <c:v>0.29814929381803845</c:v>
                </c:pt>
                <c:pt idx="22">
                  <c:v>0.30565786403090789</c:v>
                </c:pt>
                <c:pt idx="23">
                  <c:v>0.31284089822087402</c:v>
                </c:pt>
                <c:pt idx="24">
                  <c:v>0.31972388708888866</c:v>
                </c:pt>
                <c:pt idx="25">
                  <c:v>0.32632960647715559</c:v>
                </c:pt>
                <c:pt idx="26">
                  <c:v>0.33267847075158674</c:v>
                </c:pt>
                <c:pt idx="27">
                  <c:v>0.33878883340951266</c:v>
                </c:pt>
                <c:pt idx="28">
                  <c:v>0.34467724351235207</c:v>
                </c:pt>
                <c:pt idx="29">
                  <c:v>0.35035866509647884</c:v>
                </c:pt>
                <c:pt idx="30">
                  <c:v>0.35584666549700661</c:v>
                </c:pt>
                <c:pt idx="31">
                  <c:v>0.36115357750482757</c:v>
                </c:pt>
                <c:pt idx="32">
                  <c:v>0.36629063943853774</c:v>
                </c:pt>
                <c:pt idx="33">
                  <c:v>0.37126811652192115</c:v>
                </c:pt>
                <c:pt idx="34">
                  <c:v>0.37609540638928918</c:v>
                </c:pt>
                <c:pt idx="35">
                  <c:v>0.38078113107346356</c:v>
                </c:pt>
                <c:pt idx="36">
                  <c:v>0.38533321744632221</c:v>
                </c:pt>
                <c:pt idx="37">
                  <c:v>0.38975896776448393</c:v>
                </c:pt>
                <c:pt idx="38">
                  <c:v>0.3940651217105211</c:v>
                </c:pt>
                <c:pt idx="39">
                  <c:v>0.39825791110296044</c:v>
                </c:pt>
                <c:pt idx="40">
                  <c:v>0.40234310826805381</c:v>
                </c:pt>
                <c:pt idx="41">
                  <c:v>0.40632606891621559</c:v>
                </c:pt>
                <c:pt idx="42">
                  <c:v>0.41021177024072375</c:v>
                </c:pt>
                <c:pt idx="43">
                  <c:v>0.41400484485137434</c:v>
                </c:pt>
                <c:pt idx="44">
                  <c:v>0.41770961106769822</c:v>
                </c:pt>
                <c:pt idx="45">
                  <c:v>0.42133010002217691</c:v>
                </c:pt>
                <c:pt idx="46">
                  <c:v>0.42487007996126691</c:v>
                </c:pt>
                <c:pt idx="47">
                  <c:v>0.42833307807900156</c:v>
                </c:pt>
                <c:pt idx="48">
                  <c:v>0.43172240017291069</c:v>
                </c:pt>
                <c:pt idx="49">
                  <c:v>0.4350411483736476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0B-4D34-8301-3CFF22BC0326}"/>
            </c:ext>
          </c:extLst>
        </c:ser>
        <c:ser>
          <c:idx val="5"/>
          <c:order val="5"/>
          <c:tx>
            <c:strRef>
              <c:f>Delta!$B$29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Delta!$C$29:$AZ$29</c:f>
              <c:numCache>
                <c:formatCode>General</c:formatCode>
                <c:ptCount val="50"/>
                <c:pt idx="0">
                  <c:v>5.8309081379025133E-3</c:v>
                </c:pt>
                <c:pt idx="1">
                  <c:v>4.006477982445996E-2</c:v>
                </c:pt>
                <c:pt idx="2">
                  <c:v>8.0542811303141545E-2</c:v>
                </c:pt>
                <c:pt idx="3">
                  <c:v>0.11703172121234473</c:v>
                </c:pt>
                <c:pt idx="4">
                  <c:v>0.14844720364554423</c:v>
                </c:pt>
                <c:pt idx="5">
                  <c:v>0.17544466250951118</c:v>
                </c:pt>
                <c:pt idx="6">
                  <c:v>0.19884963648426759</c:v>
                </c:pt>
                <c:pt idx="7">
                  <c:v>0.21936358982447049</c:v>
                </c:pt>
                <c:pt idx="8">
                  <c:v>0.23753708342668731</c:v>
                </c:pt>
                <c:pt idx="9">
                  <c:v>0.2537950995737065</c:v>
                </c:pt>
                <c:pt idx="10">
                  <c:v>0.26846657883359648</c:v>
                </c:pt>
                <c:pt idx="11">
                  <c:v>0.2818085467068363</c:v>
                </c:pt>
                <c:pt idx="12">
                  <c:v>0.29402419148654468</c:v>
                </c:pt>
                <c:pt idx="13">
                  <c:v>0.30527608448867577</c:v>
                </c:pt>
                <c:pt idx="14">
                  <c:v>0.31569582174174898</c:v>
                </c:pt>
                <c:pt idx="15">
                  <c:v>0.32539109837098185</c:v>
                </c:pt>
                <c:pt idx="16">
                  <c:v>0.33445094989646668</c:v>
                </c:pt>
                <c:pt idx="17">
                  <c:v>0.34294967882467542</c:v>
                </c:pt>
                <c:pt idx="18">
                  <c:v>0.350949830181433</c:v>
                </c:pt>
                <c:pt idx="19">
                  <c:v>0.35850447187481499</c:v>
                </c:pt>
                <c:pt idx="20">
                  <c:v>0.36565896130919351</c:v>
                </c:pt>
                <c:pt idx="21">
                  <c:v>0.37245232811557638</c:v>
                </c:pt>
                <c:pt idx="22">
                  <c:v>0.37891836693560565</c:v>
                </c:pt>
                <c:pt idx="23">
                  <c:v>0.38508650893776336</c:v>
                </c:pt>
                <c:pt idx="24">
                  <c:v>0.39098252280993057</c:v>
                </c:pt>
                <c:pt idx="25">
                  <c:v>0.39662908310719347</c:v>
                </c:pt>
                <c:pt idx="26">
                  <c:v>0.40204623450961674</c:v>
                </c:pt>
                <c:pt idx="27">
                  <c:v>0.40725177371859</c:v>
                </c:pt>
                <c:pt idx="28">
                  <c:v>0.41226156567410671</c:v>
                </c:pt>
                <c:pt idx="29">
                  <c:v>0.41708980700977716</c:v>
                </c:pt>
                <c:pt idx="30">
                  <c:v>0.42174924682722104</c:v>
                </c:pt>
                <c:pt idx="31">
                  <c:v>0.42625137271853641</c:v>
                </c:pt>
                <c:pt idx="32">
                  <c:v>0.43060656831731203</c:v>
                </c:pt>
                <c:pt idx="33">
                  <c:v>0.4348242473870238</c:v>
                </c:pt>
                <c:pt idx="34">
                  <c:v>0.43891296846734734</c:v>
                </c:pt>
                <c:pt idx="35">
                  <c:v>0.44288053332541777</c:v>
                </c:pt>
                <c:pt idx="36">
                  <c:v>0.44673407184965563</c:v>
                </c:pt>
                <c:pt idx="37">
                  <c:v>0.45048011554059192</c:v>
                </c:pt>
                <c:pt idx="38">
                  <c:v>0.45412466136771346</c:v>
                </c:pt>
                <c:pt idx="39">
                  <c:v>0.45767322745215844</c:v>
                </c:pt>
                <c:pt idx="40">
                  <c:v>0.4611309017856835</c:v>
                </c:pt>
                <c:pt idx="41">
                  <c:v>0.46450238499409358</c:v>
                </c:pt>
                <c:pt idx="42">
                  <c:v>0.46779202798852265</c:v>
                </c:pt>
                <c:pt idx="43">
                  <c:v>0.47100386521302007</c:v>
                </c:pt>
                <c:pt idx="44">
                  <c:v>0.4741416440859037</c:v>
                </c:pt>
                <c:pt idx="45">
                  <c:v>0.47720885114065364</c:v>
                </c:pt>
                <c:pt idx="46">
                  <c:v>0.48020873529605357</c:v>
                </c:pt>
                <c:pt idx="47">
                  <c:v>0.48314432862193474</c:v>
                </c:pt>
                <c:pt idx="48">
                  <c:v>0.48601846491390588</c:v>
                </c:pt>
                <c:pt idx="49">
                  <c:v>0.48883379634600066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0B-4D34-8301-3CFF22BC0326}"/>
            </c:ext>
          </c:extLst>
        </c:ser>
        <c:ser>
          <c:idx val="6"/>
          <c:order val="6"/>
          <c:tx>
            <c:strRef>
              <c:f>Delta!$B$30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Delta!$C$30:$AZ$30</c:f>
              <c:numCache>
                <c:formatCode>General</c:formatCode>
                <c:ptCount val="50"/>
                <c:pt idx="0">
                  <c:v>5.278154999693481E-2</c:v>
                </c:pt>
                <c:pt idx="1">
                  <c:v>0.13330906924780192</c:v>
                </c:pt>
                <c:pt idx="2">
                  <c:v>0.18952524812777738</c:v>
                </c:pt>
                <c:pt idx="3">
                  <c:v>0.2302330146985728</c:v>
                </c:pt>
                <c:pt idx="4">
                  <c:v>0.26142924756390207</c:v>
                </c:pt>
                <c:pt idx="5">
                  <c:v>0.28640779285454132</c:v>
                </c:pt>
                <c:pt idx="6">
                  <c:v>0.30707780777053395</c:v>
                </c:pt>
                <c:pt idx="7">
                  <c:v>0.32461969070784658</c:v>
                </c:pt>
                <c:pt idx="8">
                  <c:v>0.33980470618375225</c:v>
                </c:pt>
                <c:pt idx="9">
                  <c:v>0.35316016226972924</c:v>
                </c:pt>
                <c:pt idx="10">
                  <c:v>0.36506025783707302</c:v>
                </c:pt>
                <c:pt idx="11">
                  <c:v>0.37577888315468977</c:v>
                </c:pt>
                <c:pt idx="12">
                  <c:v>0.38552179285122318</c:v>
                </c:pt>
                <c:pt idx="13">
                  <c:v>0.39444701662134507</c:v>
                </c:pt>
                <c:pt idx="14">
                  <c:v>0.40267826359116315</c:v>
                </c:pt>
                <c:pt idx="15">
                  <c:v>0.41031399247866929</c:v>
                </c:pt>
                <c:pt idx="16">
                  <c:v>0.41743371087780085</c:v>
                </c:pt>
                <c:pt idx="17">
                  <c:v>0.42410245130310503</c:v>
                </c:pt>
                <c:pt idx="18">
                  <c:v>0.43037401664793751</c:v>
                </c:pt>
                <c:pt idx="19">
                  <c:v>0.43629337610345331</c:v>
                </c:pt>
                <c:pt idx="20">
                  <c:v>0.44189846265102495</c:v>
                </c:pt>
                <c:pt idx="21">
                  <c:v>0.44722154131108316</c:v>
                </c:pt>
                <c:pt idx="22">
                  <c:v>0.45229026442465065</c:v>
                </c:pt>
                <c:pt idx="23">
                  <c:v>0.45712849533526745</c:v>
                </c:pt>
                <c:pt idx="24">
                  <c:v>0.46175695835143238</c:v>
                </c:pt>
                <c:pt idx="25">
                  <c:v>0.46619375678267777</c:v>
                </c:pt>
                <c:pt idx="26">
                  <c:v>0.47045478964324927</c:v>
                </c:pt>
                <c:pt idx="27">
                  <c:v>0.47455408970351598</c:v>
                </c:pt>
                <c:pt idx="28">
                  <c:v>0.47850409989936815</c:v>
                </c:pt>
                <c:pt idx="29">
                  <c:v>0.48231590099564642</c:v>
                </c:pt>
                <c:pt idx="30">
                  <c:v>0.48599940037882688</c:v>
                </c:pt>
                <c:pt idx="31">
                  <c:v>0.48956348961171509</c:v>
                </c:pt>
                <c:pt idx="32">
                  <c:v>0.49301617670113479</c:v>
                </c:pt>
                <c:pt idx="33">
                  <c:v>0.49636469775623449</c:v>
                </c:pt>
                <c:pt idx="34">
                  <c:v>0.49961561174225017</c:v>
                </c:pt>
                <c:pt idx="35">
                  <c:v>0.50277488128514203</c:v>
                </c:pt>
                <c:pt idx="36">
                  <c:v>0.50584794190061788</c:v>
                </c:pt>
                <c:pt idx="37">
                  <c:v>0.50883976156585198</c:v>
                </c:pt>
                <c:pt idx="38">
                  <c:v>0.51175489219362258</c:v>
                </c:pt>
                <c:pt idx="39">
                  <c:v>0.51459751428423428</c:v>
                </c:pt>
                <c:pt idx="40">
                  <c:v>0.51737147580369114</c:v>
                </c:pt>
                <c:pt idx="41">
                  <c:v>0.52008032615444821</c:v>
                </c:pt>
                <c:pt idx="42">
                  <c:v>0.52272734595803705</c:v>
                </c:pt>
                <c:pt idx="43">
                  <c:v>0.52531557324954403</c:v>
                </c:pt>
                <c:pt idx="44">
                  <c:v>0.52784782658657559</c:v>
                </c:pt>
                <c:pt idx="45">
                  <c:v>0.53032672549557058</c:v>
                </c:pt>
                <c:pt idx="46">
                  <c:v>0.53275470861261276</c:v>
                </c:pt>
                <c:pt idx="47">
                  <c:v>0.53513404982155865</c:v>
                </c:pt>
                <c:pt idx="48">
                  <c:v>0.5374668726471532</c:v>
                </c:pt>
                <c:pt idx="49">
                  <c:v>0.53975516312316763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80B-4D34-8301-3CFF22BC0326}"/>
            </c:ext>
          </c:extLst>
        </c:ser>
        <c:ser>
          <c:idx val="7"/>
          <c:order val="7"/>
          <c:tx>
            <c:strRef>
              <c:f>Delta!$B$31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Delta!$C$31:$AZ$31</c:f>
              <c:numCache>
                <c:formatCode>General</c:formatCode>
                <c:ptCount val="50"/>
                <c:pt idx="0">
                  <c:v>0.22255758462414449</c:v>
                </c:pt>
                <c:pt idx="1">
                  <c:v>0.3062898934344146</c:v>
                </c:pt>
                <c:pt idx="2">
                  <c:v>0.34971752968021519</c:v>
                </c:pt>
                <c:pt idx="3">
                  <c:v>0.37803686566564765</c:v>
                </c:pt>
                <c:pt idx="4">
                  <c:v>0.39873130138189328</c:v>
                </c:pt>
                <c:pt idx="5">
                  <c:v>0.41491980008730484</c:v>
                </c:pt>
                <c:pt idx="6">
                  <c:v>0.42816924322332078</c:v>
                </c:pt>
                <c:pt idx="7">
                  <c:v>0.4393670542417723</c:v>
                </c:pt>
                <c:pt idx="8">
                  <c:v>0.4490598842795181</c:v>
                </c:pt>
                <c:pt idx="9">
                  <c:v>0.45760612784927152</c:v>
                </c:pt>
                <c:pt idx="10">
                  <c:v>0.46525235136922211</c:v>
                </c:pt>
                <c:pt idx="11">
                  <c:v>0.47217482402712885</c:v>
                </c:pt>
                <c:pt idx="12">
                  <c:v>0.47850356929715504</c:v>
                </c:pt>
                <c:pt idx="13">
                  <c:v>0.48433702958586061</c:v>
                </c:pt>
                <c:pt idx="14">
                  <c:v>0.48975139603061985</c:v>
                </c:pt>
                <c:pt idx="15">
                  <c:v>0.49480676032088439</c:v>
                </c:pt>
                <c:pt idx="16">
                  <c:v>0.49955129669299941</c:v>
                </c:pt>
                <c:pt idx="17">
                  <c:v>0.50402418071952249</c:v>
                </c:pt>
                <c:pt idx="18">
                  <c:v>0.50825767381225684</c:v>
                </c:pt>
                <c:pt idx="19">
                  <c:v>0.51227864232904818</c:v>
                </c:pt>
                <c:pt idx="20">
                  <c:v>0.51610968469145047</c:v>
                </c:pt>
                <c:pt idx="21">
                  <c:v>0.51976998117968054</c:v>
                </c:pt>
                <c:pt idx="22">
                  <c:v>0.52327594394049248</c:v>
                </c:pt>
                <c:pt idx="23">
                  <c:v>0.52664172069704729</c:v>
                </c:pt>
                <c:pt idx="24">
                  <c:v>0.52987958973399629</c:v>
                </c:pt>
                <c:pt idx="25">
                  <c:v>0.53300027298721719</c:v>
                </c:pt>
                <c:pt idx="26">
                  <c:v>0.53601318668433895</c:v>
                </c:pt>
                <c:pt idx="27">
                  <c:v>0.53892664382474942</c:v>
                </c:pt>
                <c:pt idx="28">
                  <c:v>0.54174801913089643</c:v>
                </c:pt>
                <c:pt idx="29">
                  <c:v>0.54448388447384266</c:v>
                </c:pt>
                <c:pt idx="30">
                  <c:v>0.54714012086206809</c:v>
                </c:pt>
                <c:pt idx="31">
                  <c:v>0.54972201167254986</c:v>
                </c:pt>
                <c:pt idx="32">
                  <c:v>0.55223432075305845</c:v>
                </c:pt>
                <c:pt idx="33">
                  <c:v>0.55468135823454923</c:v>
                </c:pt>
                <c:pt idx="34">
                  <c:v>0.55706703629244669</c:v>
                </c:pt>
                <c:pt idx="35">
                  <c:v>0.55939491663575436</c:v>
                </c:pt>
                <c:pt idx="36">
                  <c:v>0.56166825114757812</c:v>
                </c:pt>
                <c:pt idx="37">
                  <c:v>0.56389001682390893</c:v>
                </c:pt>
                <c:pt idx="38">
                  <c:v>0.56606294594038431</c:v>
                </c:pt>
                <c:pt idx="39">
                  <c:v>0.56818955220522305</c:v>
                </c:pt>
                <c:pt idx="40">
                  <c:v>0.57027215352011473</c:v>
                </c:pt>
                <c:pt idx="41">
                  <c:v>0.57231289186170176</c:v>
                </c:pt>
                <c:pt idx="42">
                  <c:v>0.57431375070843294</c:v>
                </c:pt>
                <c:pt idx="43">
                  <c:v>0.57627657036646029</c:v>
                </c:pt>
                <c:pt idx="44">
                  <c:v>0.57820306149038636</c:v>
                </c:pt>
                <c:pt idx="45">
                  <c:v>0.58009481704734711</c:v>
                </c:pt>
                <c:pt idx="46">
                  <c:v>0.58195332293402713</c:v>
                </c:pt>
                <c:pt idx="47">
                  <c:v>0.58377996742410165</c:v>
                </c:pt>
                <c:pt idx="48">
                  <c:v>0.58557604959697751</c:v>
                </c:pt>
                <c:pt idx="49">
                  <c:v>0.58734278687654107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80B-4D34-8301-3CFF22BC0326}"/>
            </c:ext>
          </c:extLst>
        </c:ser>
        <c:ser>
          <c:idx val="8"/>
          <c:order val="8"/>
          <c:tx>
            <c:strRef>
              <c:f>Delta!$B$32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Delta!$C$32:$AZ$32</c:f>
              <c:numCache>
                <c:formatCode>General</c:formatCode>
                <c:ptCount val="50"/>
                <c:pt idx="0">
                  <c:v>0.51891639999929629</c:v>
                </c:pt>
                <c:pt idx="1">
                  <c:v>0.5267418038869226</c:v>
                </c:pt>
                <c:pt idx="2">
                  <c:v>0.53273961671267711</c:v>
                </c:pt>
                <c:pt idx="3">
                  <c:v>0.53779029390666466</c:v>
                </c:pt>
                <c:pt idx="4">
                  <c:v>0.54223501331161406</c:v>
                </c:pt>
                <c:pt idx="5">
                  <c:v>0.54624882106468031</c:v>
                </c:pt>
                <c:pt idx="6">
                  <c:v>0.54993574324296035</c:v>
                </c:pt>
                <c:pt idx="7">
                  <c:v>0.55336358492889404</c:v>
                </c:pt>
                <c:pt idx="8">
                  <c:v>0.55657946195545982</c:v>
                </c:pt>
                <c:pt idx="9">
                  <c:v>0.5596176923702425</c:v>
                </c:pt>
                <c:pt idx="10">
                  <c:v>0.56250419357487125</c:v>
                </c:pt>
                <c:pt idx="11">
                  <c:v>0.56525910863091922</c:v>
                </c:pt>
                <c:pt idx="12">
                  <c:v>0.56789846248781028</c:v>
                </c:pt>
                <c:pt idx="13">
                  <c:v>0.57043525317537325</c:v>
                </c:pt>
                <c:pt idx="14">
                  <c:v>0.57288019711595339</c:v>
                </c:pt>
                <c:pt idx="15">
                  <c:v>0.57524225381748262</c:v>
                </c:pt>
                <c:pt idx="16">
                  <c:v>0.57752900488282433</c:v>
                </c:pt>
                <c:pt idx="17">
                  <c:v>0.57974693392650745</c:v>
                </c:pt>
                <c:pt idx="18">
                  <c:v>0.58190163734082867</c:v>
                </c:pt>
                <c:pt idx="19">
                  <c:v>0.58399798571368178</c:v>
                </c:pt>
                <c:pt idx="20">
                  <c:v>0.58604024932793053</c:v>
                </c:pt>
                <c:pt idx="21">
                  <c:v>0.58803219705493692</c:v>
                </c:pt>
                <c:pt idx="22">
                  <c:v>0.5899771752288796</c:v>
                </c:pt>
                <c:pt idx="23">
                  <c:v>0.59187817124380615</c:v>
                </c:pt>
                <c:pt idx="24">
                  <c:v>0.59373786534231576</c:v>
                </c:pt>
                <c:pt idx="25">
                  <c:v>0.5955586731705319</c:v>
                </c:pt>
                <c:pt idx="26">
                  <c:v>0.59734278103568972</c:v>
                </c:pt>
                <c:pt idx="27">
                  <c:v>0.59909217534027071</c:v>
                </c:pt>
                <c:pt idx="28">
                  <c:v>0.60080866732714822</c:v>
                </c:pt>
                <c:pt idx="29">
                  <c:v>0.60249391401788088</c:v>
                </c:pt>
                <c:pt idx="30">
                  <c:v>0.60414943603659454</c:v>
                </c:pt>
                <c:pt idx="31">
                  <c:v>0.60577663286776451</c:v>
                </c:pt>
                <c:pt idx="32">
                  <c:v>0.60737679598563687</c:v>
                </c:pt>
                <c:pt idx="33">
                  <c:v>0.60895112020740272</c:v>
                </c:pt>
                <c:pt idx="34">
                  <c:v>0.61050071355539248</c:v>
                </c:pt>
                <c:pt idx="35">
                  <c:v>0.6120266058609285</c:v>
                </c:pt>
                <c:pt idx="36">
                  <c:v>0.61352975630075135</c:v>
                </c:pt>
                <c:pt idx="37">
                  <c:v>0.61501106002361017</c:v>
                </c:pt>
                <c:pt idx="38">
                  <c:v>0.61647135399782416</c:v>
                </c:pt>
                <c:pt idx="39">
                  <c:v>0.61791142218895267</c:v>
                </c:pt>
                <c:pt idx="40">
                  <c:v>0.61933200015909173</c:v>
                </c:pt>
                <c:pt idx="41">
                  <c:v>0.62073377916488592</c:v>
                </c:pt>
                <c:pt idx="42">
                  <c:v>0.62211740981949015</c:v>
                </c:pt>
                <c:pt idx="43">
                  <c:v>0.62348350537390973</c:v>
                </c:pt>
                <c:pt idx="44">
                  <c:v>0.62483264466500554</c:v>
                </c:pt>
                <c:pt idx="45">
                  <c:v>0.62616537477066125</c:v>
                </c:pt>
                <c:pt idx="46">
                  <c:v>0.6274822134069169</c:v>
                </c:pt>
                <c:pt idx="47">
                  <c:v>0.62878365109708745</c:v>
                </c:pt>
                <c:pt idx="48">
                  <c:v>0.63007015313884207</c:v>
                </c:pt>
                <c:pt idx="49">
                  <c:v>0.63134216139179089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80B-4D34-8301-3CFF22BC0326}"/>
            </c:ext>
          </c:extLst>
        </c:ser>
        <c:ser>
          <c:idx val="9"/>
          <c:order val="9"/>
          <c:tx>
            <c:strRef>
              <c:f>Delta!$B$33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Delta!$C$33:$AZ$33</c:f>
              <c:numCache>
                <c:formatCode>General</c:formatCode>
                <c:ptCount val="50"/>
                <c:pt idx="0">
                  <c:v>0.79357096026156482</c:v>
                </c:pt>
                <c:pt idx="1">
                  <c:v>0.72992052908241489</c:v>
                </c:pt>
                <c:pt idx="2">
                  <c:v>0.70109401201543453</c:v>
                </c:pt>
                <c:pt idx="3">
                  <c:v>0.68459548536557635</c:v>
                </c:pt>
                <c:pt idx="4">
                  <c:v>0.67402849627857031</c:v>
                </c:pt>
                <c:pt idx="5">
                  <c:v>0.66681258720741177</c:v>
                </c:pt>
                <c:pt idx="6">
                  <c:v>0.66168859212232867</c:v>
                </c:pt>
                <c:pt idx="7">
                  <c:v>0.65796272969308234</c:v>
                </c:pt>
                <c:pt idx="8">
                  <c:v>0.65521889020886748</c:v>
                </c:pt>
                <c:pt idx="9">
                  <c:v>0.65319132580079731</c:v>
                </c:pt>
                <c:pt idx="10">
                  <c:v>0.65170189219219721</c:v>
                </c:pt>
                <c:pt idx="11">
                  <c:v>0.6506264784872503</c:v>
                </c:pt>
                <c:pt idx="12">
                  <c:v>0.64987586057560209</c:v>
                </c:pt>
                <c:pt idx="13">
                  <c:v>0.64938420044951983</c:v>
                </c:pt>
                <c:pt idx="14">
                  <c:v>0.64910183637721541</c:v>
                </c:pt>
                <c:pt idx="15">
                  <c:v>0.64899059770782763</c:v>
                </c:pt>
                <c:pt idx="16">
                  <c:v>0.64902066558526905</c:v>
                </c:pt>
                <c:pt idx="17">
                  <c:v>0.64916841315629237</c:v>
                </c:pt>
                <c:pt idx="18">
                  <c:v>0.64941488501799927</c:v>
                </c:pt>
                <c:pt idx="19">
                  <c:v>0.64974470477957968</c:v>
                </c:pt>
                <c:pt idx="20">
                  <c:v>0.65014527596208149</c:v>
                </c:pt>
                <c:pt idx="21">
                  <c:v>0.65060618800972925</c:v>
                </c:pt>
                <c:pt idx="22">
                  <c:v>0.65111876835068938</c:v>
                </c:pt>
                <c:pt idx="23">
                  <c:v>0.65167574016684626</c:v>
                </c:pt>
                <c:pt idx="24">
                  <c:v>0.65227095781564448</c:v>
                </c:pt>
                <c:pt idx="25">
                  <c:v>0.65289920006704394</c:v>
                </c:pt>
                <c:pt idx="26">
                  <c:v>0.65355600691886329</c:v>
                </c:pt>
                <c:pt idx="27">
                  <c:v>0.65423754963212577</c:v>
                </c:pt>
                <c:pt idx="28">
                  <c:v>0.65494052635443267</c:v>
                </c:pt>
                <c:pt idx="29">
                  <c:v>0.6556620776426314</c:v>
                </c:pt>
                <c:pt idx="30">
                  <c:v>0.65639971759879501</c:v>
                </c:pt>
                <c:pt idx="31">
                  <c:v>0.65715127735813028</c:v>
                </c:pt>
                <c:pt idx="32">
                  <c:v>0.65791485842403574</c:v>
                </c:pt>
                <c:pt idx="33">
                  <c:v>0.65868879390996038</c:v>
                </c:pt>
                <c:pt idx="34">
                  <c:v>0.65947161617279471</c:v>
                </c:pt>
                <c:pt idx="35">
                  <c:v>0.66026202964551983</c:v>
                </c:pt>
                <c:pt idx="36">
                  <c:v>0.66105888792431555</c:v>
                </c:pt>
                <c:pt idx="37">
                  <c:v>0.66186117435643776</c:v>
                </c:pt>
                <c:pt idx="38">
                  <c:v>0.66266798552383532</c:v>
                </c:pt>
                <c:pt idx="39">
                  <c:v>0.66347851713393957</c:v>
                </c:pt>
                <c:pt idx="40">
                  <c:v>0.66429205192088059</c:v>
                </c:pt>
                <c:pt idx="41">
                  <c:v>0.66510794923324434</c:v>
                </c:pt>
                <c:pt idx="42">
                  <c:v>0.66592563604262678</c:v>
                </c:pt>
                <c:pt idx="43">
                  <c:v>0.66674459915390871</c:v>
                </c:pt>
                <c:pt idx="44">
                  <c:v>0.66756437843582073</c:v>
                </c:pt>
                <c:pt idx="45">
                  <c:v>0.66838456092090226</c:v>
                </c:pt>
                <c:pt idx="46">
                  <c:v>0.66920477564883019</c:v>
                </c:pt>
                <c:pt idx="47">
                  <c:v>0.67002468914745328</c:v>
                </c:pt>
                <c:pt idx="48">
                  <c:v>0.67084400146261247</c:v>
                </c:pt>
                <c:pt idx="49">
                  <c:v>0.67166244266164088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80B-4D34-8301-3CFF22BC0326}"/>
            </c:ext>
          </c:extLst>
        </c:ser>
        <c:ser>
          <c:idx val="10"/>
          <c:order val="10"/>
          <c:tx>
            <c:strRef>
              <c:f>Delta!$B$34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Delta!$C$34:$AZ$34</c:f>
              <c:numCache>
                <c:formatCode>General</c:formatCode>
                <c:ptCount val="50"/>
                <c:pt idx="0">
                  <c:v>0.93995791805464912</c:v>
                </c:pt>
                <c:pt idx="1">
                  <c:v>0.87132614165736733</c:v>
                </c:pt>
                <c:pt idx="2">
                  <c:v>0.82950660741686155</c:v>
                </c:pt>
                <c:pt idx="3">
                  <c:v>0.80188165059672933</c:v>
                </c:pt>
                <c:pt idx="4">
                  <c:v>0.78230772963384743</c:v>
                </c:pt>
                <c:pt idx="5">
                  <c:v>0.76773686176629652</c:v>
                </c:pt>
                <c:pt idx="6">
                  <c:v>0.7564993813863905</c:v>
                </c:pt>
                <c:pt idx="7">
                  <c:v>0.74760249342748353</c:v>
                </c:pt>
                <c:pt idx="8">
                  <c:v>0.74041691025313783</c:v>
                </c:pt>
                <c:pt idx="9">
                  <c:v>0.73452316868917078</c:v>
                </c:pt>
                <c:pt idx="10">
                  <c:v>0.72963014233988588</c:v>
                </c:pt>
                <c:pt idx="11">
                  <c:v>0.72552898703054525</c:v>
                </c:pt>
                <c:pt idx="12">
                  <c:v>0.72206570766150402</c:v>
                </c:pt>
                <c:pt idx="13">
                  <c:v>0.71912408515736215</c:v>
                </c:pt>
                <c:pt idx="14">
                  <c:v>0.71661465024900706</c:v>
                </c:pt>
                <c:pt idx="15">
                  <c:v>0.71446733339559498</c:v>
                </c:pt>
                <c:pt idx="16">
                  <c:v>0.71262642928690934</c:v>
                </c:pt>
                <c:pt idx="17">
                  <c:v>0.71104706367147696</c:v>
                </c:pt>
                <c:pt idx="18">
                  <c:v>0.70969266163658562</c:v>
                </c:pt>
                <c:pt idx="19">
                  <c:v>0.7085330993545631</c:v>
                </c:pt>
                <c:pt idx="20">
                  <c:v>0.70754333214476461</c:v>
                </c:pt>
                <c:pt idx="21">
                  <c:v>0.70670236076419779</c:v>
                </c:pt>
                <c:pt idx="22">
                  <c:v>0.70599244195817479</c:v>
                </c:pt>
                <c:pt idx="23">
                  <c:v>0.7053984781231657</c:v>
                </c:pt>
                <c:pt idx="24">
                  <c:v>0.70490754014610268</c:v>
                </c:pt>
                <c:pt idx="25">
                  <c:v>0.70450849052869868</c:v>
                </c:pt>
                <c:pt idx="26">
                  <c:v>0.7041916829117274</c:v>
                </c:pt>
                <c:pt idx="27">
                  <c:v>0.70394872042886014</c:v>
                </c:pt>
                <c:pt idx="28">
                  <c:v>0.7037722598100421</c:v>
                </c:pt>
                <c:pt idx="29">
                  <c:v>0.70365585138940701</c:v>
                </c:pt>
                <c:pt idx="30">
                  <c:v>0.70359380753164003</c:v>
                </c:pt>
                <c:pt idx="31">
                  <c:v>0.70358109373011823</c:v>
                </c:pt>
                <c:pt idx="32">
                  <c:v>0.70361323792623109</c:v>
                </c:pt>
                <c:pt idx="33">
                  <c:v>0.7036862545744379</c:v>
                </c:pt>
                <c:pt idx="34">
                  <c:v>0.7037965807180262</c:v>
                </c:pt>
                <c:pt idx="35">
                  <c:v>0.70394102190751273</c:v>
                </c:pt>
                <c:pt idx="36">
                  <c:v>0.70411670623129807</c:v>
                </c:pt>
                <c:pt idx="37">
                  <c:v>0.70432104506858673</c:v>
                </c:pt>
                <c:pt idx="38">
                  <c:v>0.70455169944122109</c:v>
                </c:pt>
                <c:pt idx="39">
                  <c:v>0.70480655105134726</c:v>
                </c:pt>
                <c:pt idx="40">
                  <c:v>0.70508367725869603</c:v>
                </c:pt>
                <c:pt idx="41">
                  <c:v>0.7053813293844835</c:v>
                </c:pt>
                <c:pt idx="42">
                  <c:v>0.7056979138359134</c:v>
                </c:pt>
                <c:pt idx="43">
                  <c:v>0.70603197563161157</c:v>
                </c:pt>
                <c:pt idx="44">
                  <c:v>0.70638218397841335</c:v>
                </c:pt>
                <c:pt idx="45">
                  <c:v>0.70674731960705739</c:v>
                </c:pt>
                <c:pt idx="46">
                  <c:v>0.7071262636211697</c:v>
                </c:pt>
                <c:pt idx="47">
                  <c:v>0.70751798765244223</c:v>
                </c:pt>
                <c:pt idx="48">
                  <c:v>0.70792154514676187</c:v>
                </c:pt>
                <c:pt idx="49">
                  <c:v>0.70833606363246282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80B-4D34-8301-3CFF22BC0326}"/>
            </c:ext>
          </c:extLst>
        </c:ser>
        <c:ser>
          <c:idx val="11"/>
          <c:order val="11"/>
          <c:tx>
            <c:strRef>
              <c:f>Delta!$B$35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Delta!$C$35:$AZ$35</c:f>
              <c:numCache>
                <c:formatCode>General</c:formatCode>
                <c:ptCount val="50"/>
                <c:pt idx="0">
                  <c:v>0.98800422406854482</c:v>
                </c:pt>
                <c:pt idx="1">
                  <c:v>0.94841416414843493</c:v>
                </c:pt>
                <c:pt idx="2">
                  <c:v>0.91276887593354383</c:v>
                </c:pt>
                <c:pt idx="3">
                  <c:v>0.88488828305391432</c:v>
                </c:pt>
                <c:pt idx="4">
                  <c:v>0.8630953437034381</c:v>
                </c:pt>
                <c:pt idx="5">
                  <c:v>0.84574392541104026</c:v>
                </c:pt>
                <c:pt idx="6">
                  <c:v>0.83165762889347106</c:v>
                </c:pt>
                <c:pt idx="7">
                  <c:v>0.82002413987768763</c:v>
                </c:pt>
                <c:pt idx="8">
                  <c:v>0.81027566906216286</c:v>
                </c:pt>
                <c:pt idx="9">
                  <c:v>0.80200640740621953</c:v>
                </c:pt>
                <c:pt idx="10">
                  <c:v>0.79491947342995273</c:v>
                </c:pt>
                <c:pt idx="11">
                  <c:v>0.78879288210338216</c:v>
                </c:pt>
                <c:pt idx="12">
                  <c:v>0.78345734627370889</c:v>
                </c:pt>
                <c:pt idx="13">
                  <c:v>0.77878147630208594</c:v>
                </c:pt>
                <c:pt idx="14">
                  <c:v>0.77466168809838998</c:v>
                </c:pt>
                <c:pt idx="15">
                  <c:v>0.77101517246758522</c:v>
                </c:pt>
                <c:pt idx="16">
                  <c:v>0.76777489866514936</c:v>
                </c:pt>
                <c:pt idx="17">
                  <c:v>0.76488599819098524</c:v>
                </c:pt>
                <c:pt idx="18">
                  <c:v>0.76230310357616227</c:v>
                </c:pt>
                <c:pt idx="19">
                  <c:v>0.75998835998968672</c:v>
                </c:pt>
                <c:pt idx="20">
                  <c:v>0.75790991882476644</c:v>
                </c:pt>
                <c:pt idx="21">
                  <c:v>0.75604078188057566</c:v>
                </c:pt>
                <c:pt idx="22">
                  <c:v>0.75435790418546023</c:v>
                </c:pt>
                <c:pt idx="23">
                  <c:v>0.75284149011470203</c:v>
                </c:pt>
                <c:pt idx="24">
                  <c:v>0.75147443570383365</c:v>
                </c:pt>
                <c:pt idx="25">
                  <c:v>0.75024188276370052</c:v>
                </c:pt>
                <c:pt idx="26">
                  <c:v>0.74913085937474755</c:v>
                </c:pt>
                <c:pt idx="27">
                  <c:v>0.7481299877561316</c:v>
                </c:pt>
                <c:pt idx="28">
                  <c:v>0.74722924515320388</c:v>
                </c:pt>
                <c:pt idx="29">
                  <c:v>0.74641976679143052</c:v>
                </c:pt>
                <c:pt idx="30">
                  <c:v>0.74569368246524304</c:v>
                </c:pt>
                <c:pt idx="31">
                  <c:v>0.74504398021490315</c:v>
                </c:pt>
                <c:pt idx="32">
                  <c:v>0.74446439196685987</c:v>
                </c:pt>
                <c:pt idx="33">
                  <c:v>0.74394929709608681</c:v>
                </c:pt>
                <c:pt idx="34">
                  <c:v>0.74349364070031942</c:v>
                </c:pt>
                <c:pt idx="35">
                  <c:v>0.74309286401940955</c:v>
                </c:pt>
                <c:pt idx="36">
                  <c:v>0.74274284493438492</c:v>
                </c:pt>
                <c:pt idx="37">
                  <c:v>0.74243984687431064</c:v>
                </c:pt>
                <c:pt idx="38">
                  <c:v>0.74218047476991011</c:v>
                </c:pt>
                <c:pt idx="39">
                  <c:v>0.74196163694002004</c:v>
                </c:pt>
                <c:pt idx="40">
                  <c:v>0.74178051199455419</c:v>
                </c:pt>
                <c:pt idx="41">
                  <c:v>0.74163451999655328</c:v>
                </c:pt>
                <c:pt idx="42">
                  <c:v>0.74152129725435389</c:v>
                </c:pt>
                <c:pt idx="43">
                  <c:v>0.74143867421929044</c:v>
                </c:pt>
                <c:pt idx="44">
                  <c:v>0.7413846560495716</c:v>
                </c:pt>
                <c:pt idx="45">
                  <c:v>0.7413574054708757</c:v>
                </c:pt>
                <c:pt idx="46">
                  <c:v>0.74135522762181916</c:v>
                </c:pt>
                <c:pt idx="47">
                  <c:v>0.74137655662009583</c:v>
                </c:pt>
                <c:pt idx="48">
                  <c:v>0.74141994362468844</c:v>
                </c:pt>
                <c:pt idx="49">
                  <c:v>0.74148404620256403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80B-4D34-8301-3CFF22BC0326}"/>
            </c:ext>
          </c:extLst>
        </c:ser>
        <c:ser>
          <c:idx val="12"/>
          <c:order val="12"/>
          <c:tx>
            <c:strRef>
              <c:f>Delta!$B$36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Delta!$C$36:$AZ$36</c:f>
              <c:numCache>
                <c:formatCode>General</c:formatCode>
                <c:ptCount val="50"/>
                <c:pt idx="0">
                  <c:v>0.99830623193923973</c:v>
                </c:pt>
                <c:pt idx="1">
                  <c:v>0.9823760534317052</c:v>
                </c:pt>
                <c:pt idx="2">
                  <c:v>0.95963958476134859</c:v>
                </c:pt>
                <c:pt idx="3">
                  <c:v>0.93776106845399343</c:v>
                </c:pt>
                <c:pt idx="4">
                  <c:v>0.91853340172068842</c:v>
                </c:pt>
                <c:pt idx="5">
                  <c:v>0.90200659044195886</c:v>
                </c:pt>
                <c:pt idx="6">
                  <c:v>0.88783196322373703</c:v>
                </c:pt>
                <c:pt idx="7">
                  <c:v>0.87562125149536263</c:v>
                </c:pt>
                <c:pt idx="8">
                  <c:v>0.86503450040480123</c:v>
                </c:pt>
                <c:pt idx="9">
                  <c:v>0.85579311074329822</c:v>
                </c:pt>
                <c:pt idx="10">
                  <c:v>0.84767325376920599</c:v>
                </c:pt>
                <c:pt idx="11">
                  <c:v>0.84049564093646389</c:v>
                </c:pt>
                <c:pt idx="12">
                  <c:v>0.83411609200229975</c:v>
                </c:pt>
                <c:pt idx="13">
                  <c:v>0.82841785932926038</c:v>
                </c:pt>
                <c:pt idx="14">
                  <c:v>0.82330564788877481</c:v>
                </c:pt>
                <c:pt idx="15">
                  <c:v>0.81870102600765715</c:v>
                </c:pt>
                <c:pt idx="16">
                  <c:v>0.8145389131715145</c:v>
                </c:pt>
                <c:pt idx="17">
                  <c:v>0.81076488391057833</c:v>
                </c:pt>
                <c:pt idx="18">
                  <c:v>0.80733308591355057</c:v>
                </c:pt>
                <c:pt idx="19">
                  <c:v>0.80420462073819765</c:v>
                </c:pt>
                <c:pt idx="20">
                  <c:v>0.80134627444347384</c:v>
                </c:pt>
                <c:pt idx="21">
                  <c:v>0.79872951457967079</c:v>
                </c:pt>
                <c:pt idx="22">
                  <c:v>0.79632969139800991</c:v>
                </c:pt>
                <c:pt idx="23">
                  <c:v>0.79412539683463423</c:v>
                </c:pt>
                <c:pt idx="24">
                  <c:v>0.79209794632892327</c:v>
                </c:pt>
                <c:pt idx="25">
                  <c:v>0.79023095700323709</c:v>
                </c:pt>
                <c:pt idx="26">
                  <c:v>0.7885100019976452</c:v>
                </c:pt>
                <c:pt idx="27">
                  <c:v>0.78692232542120943</c:v>
                </c:pt>
                <c:pt idx="28">
                  <c:v>0.78545660588307509</c:v>
                </c:pt>
                <c:pt idx="29">
                  <c:v>0.78410275921225236</c:v>
                </c:pt>
                <c:pt idx="30">
                  <c:v>0.78285177298823272</c:v>
                </c:pt>
                <c:pt idx="31">
                  <c:v>0.78169556704747278</c:v>
                </c:pt>
                <c:pt idx="32">
                  <c:v>0.78062687532141095</c:v>
                </c:pt>
                <c:pt idx="33">
                  <c:v>0.7796391452866307</c:v>
                </c:pt>
                <c:pt idx="34">
                  <c:v>0.77872645203101665</c:v>
                </c:pt>
                <c:pt idx="35">
                  <c:v>0.77788342450878645</c:v>
                </c:pt>
                <c:pt idx="36">
                  <c:v>0.77710518200767997</c:v>
                </c:pt>
                <c:pt idx="37">
                  <c:v>0.77638727921015382</c:v>
                </c:pt>
                <c:pt idx="38">
                  <c:v>0.77572565851744935</c:v>
                </c:pt>
                <c:pt idx="39">
                  <c:v>0.77511660853638908</c:v>
                </c:pt>
                <c:pt idx="40">
                  <c:v>0.77455672781557094</c:v>
                </c:pt>
                <c:pt idx="41">
                  <c:v>0.77404289306948471</c:v>
                </c:pt>
                <c:pt idx="42">
                  <c:v>0.77357223125306285</c:v>
                </c:pt>
                <c:pt idx="43">
                  <c:v>0.7731420949508816</c:v>
                </c:pt>
                <c:pt idx="44">
                  <c:v>0.77275004062901287</c:v>
                </c:pt>
                <c:pt idx="45">
                  <c:v>0.77239380936682056</c:v>
                </c:pt>
                <c:pt idx="46">
                  <c:v>0.7720713097435552</c:v>
                </c:pt>
                <c:pt idx="47">
                  <c:v>0.77178060260256687</c:v>
                </c:pt>
                <c:pt idx="48">
                  <c:v>0.77151988745610334</c:v>
                </c:pt>
                <c:pt idx="49">
                  <c:v>0.77128749032735988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80B-4D34-8301-3CFF22BC0326}"/>
            </c:ext>
          </c:extLst>
        </c:ser>
        <c:ser>
          <c:idx val="13"/>
          <c:order val="13"/>
          <c:tx>
            <c:strRef>
              <c:f>Delta!$B$37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Delta!$C$37:$AZ$37</c:f>
              <c:numCache>
                <c:formatCode>General</c:formatCode>
                <c:ptCount val="50"/>
                <c:pt idx="0">
                  <c:v>0.99982531626414572</c:v>
                </c:pt>
                <c:pt idx="1">
                  <c:v>0.99479497737862488</c:v>
                </c:pt>
                <c:pt idx="2">
                  <c:v>0.98296199066116863</c:v>
                </c:pt>
                <c:pt idx="3">
                  <c:v>0.96848451708238714</c:v>
                </c:pt>
                <c:pt idx="4">
                  <c:v>0.95390232385199913</c:v>
                </c:pt>
                <c:pt idx="5">
                  <c:v>0.9402142801511969</c:v>
                </c:pt>
                <c:pt idx="6">
                  <c:v>0.92772250848626392</c:v>
                </c:pt>
                <c:pt idx="7">
                  <c:v>0.91644879859772543</c:v>
                </c:pt>
                <c:pt idx="8">
                  <c:v>0.90631047116941144</c:v>
                </c:pt>
                <c:pt idx="9">
                  <c:v>0.89719292559733332</c:v>
                </c:pt>
                <c:pt idx="10">
                  <c:v>0.88897903737389494</c:v>
                </c:pt>
                <c:pt idx="11">
                  <c:v>0.8815603627368549</c:v>
                </c:pt>
                <c:pt idx="12">
                  <c:v>0.87484062708497556</c:v>
                </c:pt>
                <c:pt idx="13">
                  <c:v>0.86873599496390286</c:v>
                </c:pt>
                <c:pt idx="14">
                  <c:v>0.86317408529565187</c:v>
                </c:pt>
                <c:pt idx="15">
                  <c:v>0.85809259113583936</c:v>
                </c:pt>
                <c:pt idx="16">
                  <c:v>0.85343787131348137</c:v>
                </c:pt>
                <c:pt idx="17">
                  <c:v>0.84916365964424545</c:v>
                </c:pt>
                <c:pt idx="18">
                  <c:v>0.84522993792045253</c:v>
                </c:pt>
                <c:pt idx="19">
                  <c:v>0.84160197553171501</c:v>
                </c:pt>
                <c:pt idx="20">
                  <c:v>0.83824952116468987</c:v>
                </c:pt>
                <c:pt idx="21">
                  <c:v>0.83514612650216724</c:v>
                </c:pt>
                <c:pt idx="22">
                  <c:v>0.83226858156440675</c:v>
                </c:pt>
                <c:pt idx="23">
                  <c:v>0.82959644318508963</c:v>
                </c:pt>
                <c:pt idx="24">
                  <c:v>0.82711164063784071</c:v>
                </c:pt>
                <c:pt idx="25">
                  <c:v>0.82479814497758941</c:v>
                </c:pt>
                <c:pt idx="26">
                  <c:v>0.82264169096945594</c:v>
                </c:pt>
                <c:pt idx="27">
                  <c:v>0.82062954246290754</c:v>
                </c:pt>
                <c:pt idx="28">
                  <c:v>0.81875029372883756</c:v>
                </c:pt>
                <c:pt idx="29">
                  <c:v>0.81699370064357868</c:v>
                </c:pt>
                <c:pt idx="30">
                  <c:v>0.81535053671878033</c:v>
                </c:pt>
                <c:pt idx="31">
                  <c:v>0.81381246988166467</c:v>
                </c:pt>
                <c:pt idx="32">
                  <c:v>0.81237195664435846</c:v>
                </c:pt>
                <c:pt idx="33">
                  <c:v>0.8110221508961285</c:v>
                </c:pt>
                <c:pt idx="34">
                  <c:v>0.80975682503527047</c:v>
                </c:pt>
                <c:pt idx="35">
                  <c:v>0.80857030154998499</c:v>
                </c:pt>
                <c:pt idx="36">
                  <c:v>0.80745739347747991</c:v>
                </c:pt>
                <c:pt idx="37">
                  <c:v>0.80641335243193102</c:v>
                </c:pt>
                <c:pt idx="38">
                  <c:v>0.80543382310614586</c:v>
                </c:pt>
                <c:pt idx="39">
                  <c:v>0.8045148033278835</c:v>
                </c:pt>
                <c:pt idx="40">
                  <c:v>0.8036526088970154</c:v>
                </c:pt>
                <c:pt idx="41">
                  <c:v>0.80284384254987895</c:v>
                </c:pt>
                <c:pt idx="42">
                  <c:v>0.80208536649692608</c:v>
                </c:pt>
                <c:pt idx="43">
                  <c:v>0.80137427806283157</c:v>
                </c:pt>
                <c:pt idx="44">
                  <c:v>0.80070788802762782</c:v>
                </c:pt>
                <c:pt idx="45">
                  <c:v>0.80008370132558593</c:v>
                </c:pt>
                <c:pt idx="46">
                  <c:v>0.79949939980745621</c:v>
                </c:pt>
                <c:pt idx="47">
                  <c:v>0.79895282681290514</c:v>
                </c:pt>
                <c:pt idx="48">
                  <c:v>0.79844197333484324</c:v>
                </c:pt>
                <c:pt idx="49">
                  <c:v>0.79796496558691377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80B-4D34-8301-3CFF22BC0326}"/>
            </c:ext>
          </c:extLst>
        </c:ser>
        <c:ser>
          <c:idx val="14"/>
          <c:order val="14"/>
          <c:tx>
            <c:strRef>
              <c:f>Delta!$B$38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Delta!$C$38:$AZ$38</c:f>
              <c:numCache>
                <c:formatCode>General</c:formatCode>
                <c:ptCount val="50"/>
                <c:pt idx="0">
                  <c:v>0.99998640314018139</c:v>
                </c:pt>
                <c:pt idx="1">
                  <c:v>0.99865188998007925</c:v>
                </c:pt>
                <c:pt idx="2">
                  <c:v>0.99337921785148087</c:v>
                </c:pt>
                <c:pt idx="3">
                  <c:v>0.98496017489321974</c:v>
                </c:pt>
                <c:pt idx="4">
                  <c:v>0.97507573833647321</c:v>
                </c:pt>
                <c:pt idx="5">
                  <c:v>0.96483221684018183</c:v>
                </c:pt>
                <c:pt idx="6">
                  <c:v>0.95481273623086027</c:v>
                </c:pt>
                <c:pt idx="7">
                  <c:v>0.94529214699556019</c:v>
                </c:pt>
                <c:pt idx="8">
                  <c:v>0.93638087415065951</c:v>
                </c:pt>
                <c:pt idx="9">
                  <c:v>0.92810491023994268</c:v>
                </c:pt>
                <c:pt idx="10">
                  <c:v>0.92044836377481254</c:v>
                </c:pt>
                <c:pt idx="11">
                  <c:v>0.91337585752270423</c:v>
                </c:pt>
                <c:pt idx="12">
                  <c:v>0.90684426475380653</c:v>
                </c:pt>
                <c:pt idx="13">
                  <c:v>0.90080878767234707</c:v>
                </c:pt>
                <c:pt idx="14">
                  <c:v>0.89522601216204511</c:v>
                </c:pt>
                <c:pt idx="15">
                  <c:v>0.89005533922078739</c:v>
                </c:pt>
                <c:pt idx="16">
                  <c:v>0.88525954704595555</c:v>
                </c:pt>
                <c:pt idx="17">
                  <c:v>0.88080489432473497</c:v>
                </c:pt>
                <c:pt idx="18">
                  <c:v>0.87666098999602649</c:v>
                </c:pt>
                <c:pt idx="19">
                  <c:v>0.87280055331254425</c:v>
                </c:pt>
                <c:pt idx="20">
                  <c:v>0.86919913182089226</c:v>
                </c:pt>
                <c:pt idx="21">
                  <c:v>0.86583481345852564</c:v>
                </c:pt>
                <c:pt idx="22">
                  <c:v>0.86268795133379672</c:v>
                </c:pt>
                <c:pt idx="23">
                  <c:v>0.85974090988039731</c:v>
                </c:pt>
                <c:pt idx="24">
                  <c:v>0.85697783560711094</c:v>
                </c:pt>
                <c:pt idx="25">
                  <c:v>0.85438445270714336</c:v>
                </c:pt>
                <c:pt idx="26">
                  <c:v>0.85194788227017393</c:v>
                </c:pt>
                <c:pt idx="27">
                  <c:v>0.84965648313433739</c:v>
                </c:pt>
                <c:pt idx="28">
                  <c:v>0.84749971216564512</c:v>
                </c:pt>
                <c:pt idx="29">
                  <c:v>0.84546800175065795</c:v>
                </c:pt>
                <c:pt idx="30">
                  <c:v>0.84355265241406552</c:v>
                </c:pt>
                <c:pt idx="31">
                  <c:v>0.84174573865705637</c:v>
                </c:pt>
                <c:pt idx="32">
                  <c:v>0.8400400263160438</c:v>
                </c:pt>
                <c:pt idx="33">
                  <c:v>0.83842889994318892</c:v>
                </c:pt>
                <c:pt idx="34">
                  <c:v>0.8369062988993492</c:v>
                </c:pt>
                <c:pt idx="35">
                  <c:v>0.83546666102169909</c:v>
                </c:pt>
                <c:pt idx="36">
                  <c:v>0.83410487288078916</c:v>
                </c:pt>
                <c:pt idx="37">
                  <c:v>0.83281622577559544</c:v>
                </c:pt>
                <c:pt idx="38">
                  <c:v>0.83159637673143105</c:v>
                </c:pt>
                <c:pt idx="39">
                  <c:v>0.83044131386615572</c:v>
                </c:pt>
                <c:pt idx="40">
                  <c:v>0.82934732557673785</c:v>
                </c:pt>
                <c:pt idx="41">
                  <c:v>0.82831097307265555</c:v>
                </c:pt>
                <c:pt idx="42">
                  <c:v>0.82732906584652122</c:v>
                </c:pt>
                <c:pt idx="43">
                  <c:v>0.82639863972712369</c:v>
                </c:pt>
                <c:pt idx="44">
                  <c:v>0.82551693720712416</c:v>
                </c:pt>
                <c:pt idx="45">
                  <c:v>0.82468138977801386</c:v>
                </c:pt>
                <c:pt idx="46">
                  <c:v>0.82388960203965023</c:v>
                </c:pt>
                <c:pt idx="47">
                  <c:v>0.823139337381526</c:v>
                </c:pt>
                <c:pt idx="48">
                  <c:v>0.82242850505864395</c:v>
                </c:pt>
                <c:pt idx="49">
                  <c:v>0.82175514850703979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80B-4D34-8301-3CFF22BC0326}"/>
            </c:ext>
          </c:extLst>
        </c:ser>
        <c:ser>
          <c:idx val="15"/>
          <c:order val="15"/>
          <c:tx>
            <c:strRef>
              <c:f>Delta!$B$39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Delta!$C$39:$AZ$39</c:f>
              <c:numCache>
                <c:formatCode>General</c:formatCode>
                <c:ptCount val="50"/>
                <c:pt idx="0">
                  <c:v>0.99999917643923686</c:v>
                </c:pt>
                <c:pt idx="1">
                  <c:v>0.99968959215435294</c:v>
                </c:pt>
                <c:pt idx="2">
                  <c:v>0.99761170131759624</c:v>
                </c:pt>
                <c:pt idx="3">
                  <c:v>0.99319515409537595</c:v>
                </c:pt>
                <c:pt idx="4">
                  <c:v>0.987063941065492</c:v>
                </c:pt>
                <c:pt idx="5">
                  <c:v>0.97998098357938546</c:v>
                </c:pt>
                <c:pt idx="6">
                  <c:v>0.97250574341060869</c:v>
                </c:pt>
                <c:pt idx="7">
                  <c:v>0.9649914282191755</c:v>
                </c:pt>
                <c:pt idx="8">
                  <c:v>0.95764540824748623</c:v>
                </c:pt>
                <c:pt idx="9">
                  <c:v>0.95058198959185258</c:v>
                </c:pt>
                <c:pt idx="10">
                  <c:v>0.94385839476434752</c:v>
                </c:pt>
                <c:pt idx="11">
                  <c:v>0.93749754196810553</c:v>
                </c:pt>
                <c:pt idx="12">
                  <c:v>0.9315021035556853</c:v>
                </c:pt>
                <c:pt idx="13">
                  <c:v>0.92586311059898629</c:v>
                </c:pt>
                <c:pt idx="14">
                  <c:v>0.92056520501120953</c:v>
                </c:pt>
                <c:pt idx="15">
                  <c:v>0.91558983663775007</c:v>
                </c:pt>
                <c:pt idx="16">
                  <c:v>0.91091719701009333</c:v>
                </c:pt>
                <c:pt idx="17">
                  <c:v>0.90652737304469355</c:v>
                </c:pt>
                <c:pt idx="18">
                  <c:v>0.90240101732937894</c:v>
                </c:pt>
                <c:pt idx="19">
                  <c:v>0.89851971842195577</c:v>
                </c:pt>
                <c:pt idx="20">
                  <c:v>0.89486618542892538</c:v>
                </c:pt>
                <c:pt idx="21">
                  <c:v>0.89142431851722892</c:v>
                </c:pt>
                <c:pt idx="22">
                  <c:v>0.88817921050979554</c:v>
                </c:pt>
                <c:pt idx="23">
                  <c:v>0.88511710808853661</c:v>
                </c:pt>
                <c:pt idx="24">
                  <c:v>0.88222535061430718</c:v>
                </c:pt>
                <c:pt idx="25">
                  <c:v>0.87949229788090455</c:v>
                </c:pt>
                <c:pt idx="26">
                  <c:v>0.87690725383924817</c:v>
                </c:pt>
                <c:pt idx="27">
                  <c:v>0.87446039058151104</c:v>
                </c:pt>
                <c:pt idx="28">
                  <c:v>0.8721426751123591</c:v>
                </c:pt>
                <c:pt idx="29">
                  <c:v>0.86994580030636615</c:v>
                </c:pt>
                <c:pt idx="30">
                  <c:v>0.86786212073377345</c:v>
                </c:pt>
                <c:pt idx="31">
                  <c:v>0.86588459358713898</c:v>
                </c:pt>
                <c:pt idx="32">
                  <c:v>0.86400672466568595</c:v>
                </c:pt>
                <c:pt idx="33">
                  <c:v>0.8622225192113997</c:v>
                </c:pt>
                <c:pt idx="34">
                  <c:v>0.86052643730119605</c:v>
                </c:pt>
                <c:pt idx="35">
                  <c:v>0.85891335345657371</c:v>
                </c:pt>
                <c:pt idx="36">
                  <c:v>0.85737852011876825</c:v>
                </c:pt>
                <c:pt idx="37">
                  <c:v>0.85591753464221598</c:v>
                </c:pt>
                <c:pt idx="38">
                  <c:v>0.85452630947463359</c:v>
                </c:pt>
                <c:pt idx="39">
                  <c:v>0.85320104521339801</c:v>
                </c:pt>
                <c:pt idx="40">
                  <c:v>0.85193820625201755</c:v>
                </c:pt>
                <c:pt idx="41">
                  <c:v>0.85073449875535412</c:v>
                </c:pt>
                <c:pt idx="42">
                  <c:v>0.84958685072666618</c:v>
                </c:pt>
                <c:pt idx="43">
                  <c:v>0.84849239395275633</c:v>
                </c:pt>
                <c:pt idx="44">
                  <c:v>0.84744844763516447</c:v>
                </c:pt>
                <c:pt idx="45">
                  <c:v>0.84645250353524748</c:v>
                </c:pt>
                <c:pt idx="46">
                  <c:v>0.84550221247909474</c:v>
                </c:pt>
                <c:pt idx="47">
                  <c:v>0.84459537208459934</c:v>
                </c:pt>
                <c:pt idx="48">
                  <c:v>0.84372991558770938</c:v>
                </c:pt>
                <c:pt idx="49">
                  <c:v>0.8429039016580514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80B-4D34-8301-3CFF22BC0326}"/>
            </c:ext>
          </c:extLst>
        </c:ser>
        <c:ser>
          <c:idx val="16"/>
          <c:order val="16"/>
          <c:tx>
            <c:strRef>
              <c:f>Delta!$B$40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Delta!$C$40:$AZ$40</c:f>
              <c:numCache>
                <c:formatCode>General</c:formatCode>
                <c:ptCount val="50"/>
                <c:pt idx="0">
                  <c:v>0.99999996008829672</c:v>
                </c:pt>
                <c:pt idx="1">
                  <c:v>0.99993565599706147</c:v>
                </c:pt>
                <c:pt idx="2">
                  <c:v>0.99919396953371908</c:v>
                </c:pt>
                <c:pt idx="3">
                  <c:v>0.99706463005532564</c:v>
                </c:pt>
                <c:pt idx="4">
                  <c:v>0.9935275944696309</c:v>
                </c:pt>
                <c:pt idx="5">
                  <c:v>0.98893439681623385</c:v>
                </c:pt>
                <c:pt idx="6">
                  <c:v>0.98367272820713014</c:v>
                </c:pt>
                <c:pt idx="7">
                  <c:v>0.97805296953813903</c:v>
                </c:pt>
                <c:pt idx="8">
                  <c:v>0.97229624527713165</c:v>
                </c:pt>
                <c:pt idx="9">
                  <c:v>0.96655118639654458</c:v>
                </c:pt>
                <c:pt idx="10">
                  <c:v>0.96091377292747471</c:v>
                </c:pt>
                <c:pt idx="11">
                  <c:v>0.95544350726145821</c:v>
                </c:pt>
                <c:pt idx="12">
                  <c:v>0.95017519398193306</c:v>
                </c:pt>
                <c:pt idx="13">
                  <c:v>0.94512714047457236</c:v>
                </c:pt>
                <c:pt idx="14">
                  <c:v>0.94030675572790823</c:v>
                </c:pt>
                <c:pt idx="15">
                  <c:v>0.93571434163899236</c:v>
                </c:pt>
                <c:pt idx="16">
                  <c:v>0.93134565211879805</c:v>
                </c:pt>
                <c:pt idx="17">
                  <c:v>0.92719361792621136</c:v>
                </c:pt>
                <c:pt idx="18">
                  <c:v>0.92324950724689181</c:v>
                </c:pt>
                <c:pt idx="19">
                  <c:v>0.91950370400292614</c:v>
                </c:pt>
                <c:pt idx="20">
                  <c:v>0.91594622648341406</c:v>
                </c:pt>
                <c:pt idx="21">
                  <c:v>0.9125670690951263</c:v>
                </c:pt>
                <c:pt idx="22">
                  <c:v>0.90935642339173028</c:v>
                </c:pt>
                <c:pt idx="23">
                  <c:v>0.90630481665296148</c:v>
                </c:pt>
                <c:pt idx="24">
                  <c:v>0.90340319421918036</c:v>
                </c:pt>
                <c:pt idx="25">
                  <c:v>0.90064296360236429</c:v>
                </c:pt>
                <c:pt idx="26">
                  <c:v>0.89801601281062093</c:v>
                </c:pt>
                <c:pt idx="27">
                  <c:v>0.89551471149155926</c:v>
                </c:pt>
                <c:pt idx="28">
                  <c:v>0.89313190085618699</c:v>
                </c:pt>
                <c:pt idx="29">
                  <c:v>0.89086087651205026</c:v>
                </c:pt>
                <c:pt idx="30">
                  <c:v>0.88869536705806285</c:v>
                </c:pt>
                <c:pt idx="31">
                  <c:v>0.88662951040174853</c:v>
                </c:pt>
                <c:pt idx="32">
                  <c:v>0.88465782913500135</c:v>
                </c:pt>
                <c:pt idx="33">
                  <c:v>0.88277520586634617</c:v>
                </c:pt>
                <c:pt idx="34">
                  <c:v>0.88097685910034351</c:v>
                </c:pt>
                <c:pt idx="35">
                  <c:v>0.87925832003952709</c:v>
                </c:pt>
                <c:pt idx="36">
                  <c:v>0.87761541053404946</c:v>
                </c:pt>
                <c:pt idx="37">
                  <c:v>0.87604422230002188</c:v>
                </c:pt>
                <c:pt idx="38">
                  <c:v>0.87454109745600184</c:v>
                </c:pt>
                <c:pt idx="39">
                  <c:v>0.87310261037867953</c:v>
                </c:pt>
                <c:pt idx="40">
                  <c:v>0.87172555084681502</c:v>
                </c:pt>
                <c:pt idx="41">
                  <c:v>0.87040690842206447</c:v>
                </c:pt>
                <c:pt idx="42">
                  <c:v>0.86914385800306726</c:v>
                </c:pt>
                <c:pt idx="43">
                  <c:v>0.86793374648258959</c:v>
                </c:pt>
                <c:pt idx="44">
                  <c:v>0.86677408043488025</c:v>
                </c:pt>
                <c:pt idx="45">
                  <c:v>0.86566251476041689</c:v>
                </c:pt>
                <c:pt idx="46">
                  <c:v>0.86459684221702826</c:v>
                </c:pt>
                <c:pt idx="47">
                  <c:v>0.8635749837693103</c:v>
                </c:pt>
                <c:pt idx="48">
                  <c:v>0.86259497969187304</c:v>
                </c:pt>
                <c:pt idx="49">
                  <c:v>0.86165498136593754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80B-4D34-8301-3CFF22BC032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555746736"/>
        <c:axId val="555743856"/>
        <c:axId val="249271712"/>
      </c:surface3DChart>
      <c:catAx>
        <c:axId val="55574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43856"/>
        <c:crosses val="autoZero"/>
        <c:auto val="1"/>
        <c:lblAlgn val="ctr"/>
        <c:lblOffset val="100"/>
        <c:noMultiLvlLbl val="0"/>
      </c:catAx>
      <c:valAx>
        <c:axId val="55574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46736"/>
        <c:crosses val="autoZero"/>
        <c:crossBetween val="midCat"/>
      </c:valAx>
      <c:serAx>
        <c:axId val="249271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4385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Delta,</a:t>
            </a:r>
            <a:r>
              <a:rPr lang="en-US" baseline="0"/>
              <a:t> vol=40%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55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Delta!$B$45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Delta!$C$45:$AZ$45</c:f>
              <c:numCache>
                <c:formatCode>General</c:formatCode>
                <c:ptCount val="50"/>
                <c:pt idx="0">
                  <c:v>3.6348798618850601E-5</c:v>
                </c:pt>
                <c:pt idx="1">
                  <c:v>2.9347952278814616E-3</c:v>
                </c:pt>
                <c:pt idx="2">
                  <c:v>1.360988181147996E-2</c:v>
                </c:pt>
                <c:pt idx="3">
                  <c:v>3.0265004057260802E-2</c:v>
                </c:pt>
                <c:pt idx="4">
                  <c:v>4.9784954467223613E-2</c:v>
                </c:pt>
                <c:pt idx="5">
                  <c:v>7.0187182774665971E-2</c:v>
                </c:pt>
                <c:pt idx="6">
                  <c:v>9.0426217613309767E-2</c:v>
                </c:pt>
                <c:pt idx="7">
                  <c:v>0.10999496331968239</c:v>
                </c:pt>
                <c:pt idx="8">
                  <c:v>0.12867223491743277</c:v>
                </c:pt>
                <c:pt idx="9">
                  <c:v>0.14638508011679635</c:v>
                </c:pt>
                <c:pt idx="10">
                  <c:v>0.16313595237605982</c:v>
                </c:pt>
                <c:pt idx="11">
                  <c:v>0.17896423964249314</c:v>
                </c:pt>
                <c:pt idx="12">
                  <c:v>0.19392586790274308</c:v>
                </c:pt>
                <c:pt idx="13">
                  <c:v>0.20808250359311675</c:v>
                </c:pt>
                <c:pt idx="14">
                  <c:v>0.22149591812442285</c:v>
                </c:pt>
                <c:pt idx="15">
                  <c:v>0.23422515725615581</c:v>
                </c:pt>
                <c:pt idx="16">
                  <c:v>0.24632524179349535</c:v>
                </c:pt>
                <c:pt idx="17">
                  <c:v>0.25784670102891127</c:v>
                </c:pt>
                <c:pt idx="18">
                  <c:v>0.26883555112730839</c:v>
                </c:pt>
                <c:pt idx="19">
                  <c:v>0.27933350159524006</c:v>
                </c:pt>
                <c:pt idx="20">
                  <c:v>0.28937826843258113</c:v>
                </c:pt>
                <c:pt idx="21">
                  <c:v>0.29900392651809304</c:v>
                </c:pt>
                <c:pt idx="22">
                  <c:v>0.30824126453022821</c:v>
                </c:pt>
                <c:pt idx="23">
                  <c:v>0.31711812329593969</c:v>
                </c:pt>
                <c:pt idx="24">
                  <c:v>0.3256597085017835</c:v>
                </c:pt>
                <c:pt idx="25">
                  <c:v>0.33388887437341552</c:v>
                </c:pt>
                <c:pt idx="26">
                  <c:v>0.34182637805914323</c:v>
                </c:pt>
                <c:pt idx="27">
                  <c:v>0.34949110610236778</c:v>
                </c:pt>
                <c:pt idx="28">
                  <c:v>0.3569002751790083</c:v>
                </c:pt>
                <c:pt idx="29">
                  <c:v>0.36406960957634826</c:v>
                </c:pt>
                <c:pt idx="30">
                  <c:v>0.37101349791624305</c:v>
                </c:pt>
                <c:pt idx="31">
                  <c:v>0.37774513150641048</c:v>
                </c:pt>
                <c:pt idx="32">
                  <c:v>0.38427662651378192</c:v>
                </c:pt>
                <c:pt idx="33">
                  <c:v>0.39061913193706671</c:v>
                </c:pt>
                <c:pt idx="34">
                  <c:v>0.39678292513624147</c:v>
                </c:pt>
                <c:pt idx="35">
                  <c:v>0.40277749646773625</c:v>
                </c:pt>
                <c:pt idx="36">
                  <c:v>0.40861162438204168</c:v>
                </c:pt>
                <c:pt idx="37">
                  <c:v>0.41429344216778757</c:v>
                </c:pt>
                <c:pt idx="38">
                  <c:v>0.41983049737330103</c:v>
                </c:pt>
                <c:pt idx="39">
                  <c:v>0.42522980480229544</c:v>
                </c:pt>
                <c:pt idx="40">
                  <c:v>0.43049789386314785</c:v>
                </c:pt>
                <c:pt idx="41">
                  <c:v>0.43564085094942484</c:v>
                </c:pt>
                <c:pt idx="42">
                  <c:v>0.44066435744113563</c:v>
                </c:pt>
                <c:pt idx="43">
                  <c:v>0.44557372383992944</c:v>
                </c:pt>
                <c:pt idx="44">
                  <c:v>0.45037392048554237</c:v>
                </c:pt>
                <c:pt idx="45">
                  <c:v>0.45506960524385925</c:v>
                </c:pt>
                <c:pt idx="46">
                  <c:v>0.45966514850773377</c:v>
                </c:pt>
                <c:pt idx="47">
                  <c:v>0.46416465580915051</c:v>
                </c:pt>
                <c:pt idx="48">
                  <c:v>0.46857198830446917</c:v>
                </c:pt>
                <c:pt idx="49">
                  <c:v>0.47289078136256424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20-43D6-84CC-C699A1347F19}"/>
            </c:ext>
          </c:extLst>
        </c:ser>
        <c:ser>
          <c:idx val="1"/>
          <c:order val="1"/>
          <c:tx>
            <c:strRef>
              <c:f>Delta!$B$46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Delta!$C$46:$AZ$46</c:f>
              <c:numCache>
                <c:formatCode>General</c:formatCode>
                <c:ptCount val="50"/>
                <c:pt idx="0">
                  <c:v>4.2728488546924404E-4</c:v>
                </c:pt>
                <c:pt idx="1">
                  <c:v>1.051273913450264E-2</c:v>
                </c:pt>
                <c:pt idx="2">
                  <c:v>3.2663889910136988E-2</c:v>
                </c:pt>
                <c:pt idx="3">
                  <c:v>5.9318937498893519E-2</c:v>
                </c:pt>
                <c:pt idx="4">
                  <c:v>8.6291874805857233E-2</c:v>
                </c:pt>
                <c:pt idx="5">
                  <c:v>0.11198072234702855</c:v>
                </c:pt>
                <c:pt idx="6">
                  <c:v>0.13589239512780618</c:v>
                </c:pt>
                <c:pt idx="7">
                  <c:v>0.15797175049937368</c:v>
                </c:pt>
                <c:pt idx="8">
                  <c:v>0.17832717034907883</c:v>
                </c:pt>
                <c:pt idx="9">
                  <c:v>0.19711889872301622</c:v>
                </c:pt>
                <c:pt idx="10">
                  <c:v>0.21451386883190346</c:v>
                </c:pt>
                <c:pt idx="11">
                  <c:v>0.23066826366925255</c:v>
                </c:pt>
                <c:pt idx="12">
                  <c:v>0.24572180715035019</c:v>
                </c:pt>
                <c:pt idx="13">
                  <c:v>0.2597969751822673</c:v>
                </c:pt>
                <c:pt idx="14">
                  <c:v>0.273000162439339</c:v>
                </c:pt>
                <c:pt idx="15">
                  <c:v>0.28542350457572935</c:v>
                </c:pt>
                <c:pt idx="16">
                  <c:v>0.29714679446464531</c:v>
                </c:pt>
                <c:pt idx="17">
                  <c:v>0.30823926426944614</c:v>
                </c:pt>
                <c:pt idx="18">
                  <c:v>0.31876115555360818</c:v>
                </c:pt>
                <c:pt idx="19">
                  <c:v>0.32876506603937317</c:v>
                </c:pt>
                <c:pt idx="20">
                  <c:v>0.33829708907669576</c:v>
                </c:pt>
                <c:pt idx="21">
                  <c:v>0.3473977713604377</c:v>
                </c:pt>
                <c:pt idx="22">
                  <c:v>0.35610291583533005</c:v>
                </c:pt>
                <c:pt idx="23">
                  <c:v>0.36444425474762099</c:v>
                </c:pt>
                <c:pt idx="24">
                  <c:v>0.37245001464328276</c:v>
                </c:pt>
                <c:pt idx="25">
                  <c:v>0.38014539177875106</c:v>
                </c:pt>
                <c:pt idx="26">
                  <c:v>0.38755295332611189</c:v>
                </c:pt>
                <c:pt idx="27">
                  <c:v>0.39469297706945788</c:v>
                </c:pt>
                <c:pt idx="28">
                  <c:v>0.40158374002487252</c:v>
                </c:pt>
                <c:pt idx="29">
                  <c:v>0.40824176454108435</c:v>
                </c:pt>
                <c:pt idx="30">
                  <c:v>0.41468202890007333</c:v>
                </c:pt>
                <c:pt idx="31">
                  <c:v>0.42091814818279433</c:v>
                </c:pt>
                <c:pt idx="32">
                  <c:v>0.42696253014489016</c:v>
                </c:pt>
                <c:pt idx="33">
                  <c:v>0.43282651001763006</c:v>
                </c:pt>
                <c:pt idx="34">
                  <c:v>0.43852046747417944</c:v>
                </c:pt>
                <c:pt idx="35">
                  <c:v>0.44405392845101516</c:v>
                </c:pt>
                <c:pt idx="36">
                  <c:v>0.44943565406475838</c:v>
                </c:pt>
                <c:pt idx="37">
                  <c:v>0.45467371849649713</c:v>
                </c:pt>
                <c:pt idx="38">
                  <c:v>0.45977557741321967</c:v>
                </c:pt>
                <c:pt idx="39">
                  <c:v>0.46474812824678075</c:v>
                </c:pt>
                <c:pt idx="40">
                  <c:v>0.46959776344484505</c:v>
                </c:pt>
                <c:pt idx="41">
                  <c:v>0.47433041763745992</c:v>
                </c:pt>
                <c:pt idx="42">
                  <c:v>0.47895160952082649</c:v>
                </c:pt>
                <c:pt idx="43">
                  <c:v>0.48346647914127072</c:v>
                </c:pt>
                <c:pt idx="44">
                  <c:v>0.48787982116314299</c:v>
                </c:pt>
                <c:pt idx="45">
                  <c:v>0.49219611462101098</c:v>
                </c:pt>
                <c:pt idx="46">
                  <c:v>0.49641954958627732</c:v>
                </c:pt>
                <c:pt idx="47">
                  <c:v>0.50055405111901408</c:v>
                </c:pt>
                <c:pt idx="48">
                  <c:v>0.50460330082551696</c:v>
                </c:pt>
                <c:pt idx="49">
                  <c:v>0.50857075629934234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20-43D6-84CC-C699A1347F19}"/>
            </c:ext>
          </c:extLst>
        </c:ser>
        <c:ser>
          <c:idx val="2"/>
          <c:order val="2"/>
          <c:tx>
            <c:strRef>
              <c:f>Delta!$B$47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Delta!$C$47:$AZ$47</c:f>
              <c:numCache>
                <c:formatCode>General</c:formatCode>
                <c:ptCount val="50"/>
                <c:pt idx="0">
                  <c:v>2.9924113097969758E-3</c:v>
                </c:pt>
                <c:pt idx="1">
                  <c:v>2.9162282770729148E-2</c:v>
                </c:pt>
                <c:pt idx="2">
                  <c:v>6.6193749134958235E-2</c:v>
                </c:pt>
                <c:pt idx="3">
                  <c:v>0.10247416506520698</c:v>
                </c:pt>
                <c:pt idx="4">
                  <c:v>0.13524445862330023</c:v>
                </c:pt>
                <c:pt idx="5">
                  <c:v>0.16431448488991046</c:v>
                </c:pt>
                <c:pt idx="6">
                  <c:v>0.19010165873202847</c:v>
                </c:pt>
                <c:pt idx="7">
                  <c:v>0.21310592913364301</c:v>
                </c:pt>
                <c:pt idx="8">
                  <c:v>0.2337761844504363</c:v>
                </c:pt>
                <c:pt idx="9">
                  <c:v>0.25248592719738844</c:v>
                </c:pt>
                <c:pt idx="10">
                  <c:v>0.26953876271604549</c:v>
                </c:pt>
                <c:pt idx="11">
                  <c:v>0.28518036325967305</c:v>
                </c:pt>
                <c:pt idx="12">
                  <c:v>0.29961015441343708</c:v>
                </c:pt>
                <c:pt idx="13">
                  <c:v>0.3129910688249794</c:v>
                </c:pt>
                <c:pt idx="14">
                  <c:v>0.3254572611565324</c:v>
                </c:pt>
                <c:pt idx="15">
                  <c:v>0.33712009305478297</c:v>
                </c:pt>
                <c:pt idx="16">
                  <c:v>0.34807275288643552</c:v>
                </c:pt>
                <c:pt idx="17">
                  <c:v>0.35839382798203667</c:v>
                </c:pt>
                <c:pt idx="18">
                  <c:v>0.36815008104144986</c:v>
                </c:pt>
                <c:pt idx="19">
                  <c:v>0.37739862258955037</c:v>
                </c:pt>
                <c:pt idx="20">
                  <c:v>0.38618862360414741</c:v>
                </c:pt>
                <c:pt idx="21">
                  <c:v>0.39456267609286716</c:v>
                </c:pt>
                <c:pt idx="22">
                  <c:v>0.40255788231368816</c:v>
                </c:pt>
                <c:pt idx="23">
                  <c:v>0.41020673331111279</c:v>
                </c:pt>
                <c:pt idx="24">
                  <c:v>0.41753782265167289</c:v>
                </c:pt>
                <c:pt idx="25">
                  <c:v>0.42457643029079289</c:v>
                </c:pt>
                <c:pt idx="26">
                  <c:v>0.43134500335381365</c:v>
                </c:pt>
                <c:pt idx="27">
                  <c:v>0.43786355451394665</c:v>
                </c:pt>
                <c:pt idx="28">
                  <c:v>0.44414999405375627</c:v>
                </c:pt>
                <c:pt idx="29">
                  <c:v>0.45022040820989573</c:v>
                </c:pt>
                <c:pt idx="30">
                  <c:v>0.4560892937371312</c:v>
                </c:pt>
                <c:pt idx="31">
                  <c:v>0.46176975657877584</c:v>
                </c:pt>
                <c:pt idx="32">
                  <c:v>0.46727368094395511</c:v>
                </c:pt>
                <c:pt idx="33">
                  <c:v>0.47261187385525133</c:v>
                </c:pt>
                <c:pt idx="34">
                  <c:v>0.47779418925993722</c:v>
                </c:pt>
                <c:pt idx="35">
                  <c:v>0.48282963503207305</c:v>
                </c:pt>
                <c:pt idx="36">
                  <c:v>0.48772646558455635</c:v>
                </c:pt>
                <c:pt idx="37">
                  <c:v>0.49249226232453253</c:v>
                </c:pt>
                <c:pt idx="38">
                  <c:v>0.49713400379559403</c:v>
                </c:pt>
                <c:pt idx="39">
                  <c:v>0.50165812703540635</c:v>
                </c:pt>
                <c:pt idx="40">
                  <c:v>0.50607058142202777</c:v>
                </c:pt>
                <c:pt idx="41">
                  <c:v>0.51037687607400606</c:v>
                </c:pt>
                <c:pt idx="42">
                  <c:v>0.51458212169884177</c:v>
                </c:pt>
                <c:pt idx="43">
                  <c:v>0.51869106764414719</c:v>
                </c:pt>
                <c:pt idx="44">
                  <c:v>0.52270813478995759</c:v>
                </c:pt>
                <c:pt idx="45">
                  <c:v>0.52663744482452124</c:v>
                </c:pt>
                <c:pt idx="46">
                  <c:v>0.53048284636583687</c:v>
                </c:pt>
                <c:pt idx="47">
                  <c:v>0.53424793832427908</c:v>
                </c:pt>
                <c:pt idx="48">
                  <c:v>0.53793609084549021</c:v>
                </c:pt>
                <c:pt idx="49">
                  <c:v>0.54155046412543162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20-43D6-84CC-C699A1347F19}"/>
            </c:ext>
          </c:extLst>
        </c:ser>
        <c:ser>
          <c:idx val="3"/>
          <c:order val="3"/>
          <c:tx>
            <c:strRef>
              <c:f>Delta!$B$48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Delta!$C$48:$AZ$48</c:f>
              <c:numCache>
                <c:formatCode>General</c:formatCode>
                <c:ptCount val="50"/>
                <c:pt idx="0">
                  <c:v>1.3791200219193302E-2</c:v>
                </c:pt>
                <c:pt idx="1">
                  <c:v>6.5832485090132453E-2</c:v>
                </c:pt>
                <c:pt idx="2">
                  <c:v>0.11705357528675224</c:v>
                </c:pt>
                <c:pt idx="3">
                  <c:v>0.15990199888113449</c:v>
                </c:pt>
                <c:pt idx="4">
                  <c:v>0.19544327877901002</c:v>
                </c:pt>
                <c:pt idx="5">
                  <c:v>0.22536287402130098</c:v>
                </c:pt>
                <c:pt idx="6">
                  <c:v>0.25099366683999813</c:v>
                </c:pt>
                <c:pt idx="7">
                  <c:v>0.27330433377669394</c:v>
                </c:pt>
                <c:pt idx="8">
                  <c:v>0.29299538112299139</c:v>
                </c:pt>
                <c:pt idx="9">
                  <c:v>0.31058064052082335</c:v>
                </c:pt>
                <c:pt idx="10">
                  <c:v>0.32644418764821215</c:v>
                </c:pt>
                <c:pt idx="11">
                  <c:v>0.34087863774100191</c:v>
                </c:pt>
                <c:pt idx="12">
                  <c:v>0.35411094888388894</c:v>
                </c:pt>
                <c:pt idx="13">
                  <c:v>0.36632004943763552</c:v>
                </c:pt>
                <c:pt idx="14">
                  <c:v>0.37764909444356476</c:v>
                </c:pt>
                <c:pt idx="15">
                  <c:v>0.38821414515192038</c:v>
                </c:pt>
                <c:pt idx="16">
                  <c:v>0.39811042566493376</c:v>
                </c:pt>
                <c:pt idx="17">
                  <c:v>0.40741690902710193</c:v>
                </c:pt>
                <c:pt idx="18">
                  <c:v>0.41619973134634747</c:v>
                </c:pt>
                <c:pt idx="19">
                  <c:v>0.42451477006807481</c:v>
                </c:pt>
                <c:pt idx="20">
                  <c:v>0.43240961684804458</c:v>
                </c:pt>
                <c:pt idx="21">
                  <c:v>0.4399251055868133</c:v>
                </c:pt>
                <c:pt idx="22">
                  <c:v>0.44709650921463712</c:v>
                </c:pt>
                <c:pt idx="23">
                  <c:v>0.45395448674063954</c:v>
                </c:pt>
                <c:pt idx="24">
                  <c:v>0.46052583984846002</c:v>
                </c:pt>
                <c:pt idx="25">
                  <c:v>0.4668341226928221</c:v>
                </c:pt>
                <c:pt idx="26">
                  <c:v>0.47290013741925119</c:v>
                </c:pt>
                <c:pt idx="27">
                  <c:v>0.47874233990006554</c:v>
                </c:pt>
                <c:pt idx="28">
                  <c:v>0.48437717432082955</c:v>
                </c:pt>
                <c:pt idx="29">
                  <c:v>0.48981935092909773</c:v>
                </c:pt>
                <c:pt idx="30">
                  <c:v>0.49508207803560694</c:v>
                </c:pt>
                <c:pt idx="31">
                  <c:v>0.50017725693353243</c:v>
                </c:pt>
                <c:pt idx="32">
                  <c:v>0.5051156465601625</c:v>
                </c:pt>
                <c:pt idx="33">
                  <c:v>0.50990700331505301</c:v>
                </c:pt>
                <c:pt idx="34">
                  <c:v>0.51456020035980077</c:v>
                </c:pt>
                <c:pt idx="35">
                  <c:v>0.51908332987737693</c:v>
                </c:pt>
                <c:pt idx="36">
                  <c:v>0.52348379110508292</c:v>
                </c:pt>
                <c:pt idx="37">
                  <c:v>0.52776836643141323</c:v>
                </c:pt>
                <c:pt idx="38">
                  <c:v>0.53194328743120745</c:v>
                </c:pt>
                <c:pt idx="39">
                  <c:v>0.53601429238119502</c:v>
                </c:pt>
                <c:pt idx="40">
                  <c:v>0.53998667653102927</c:v>
                </c:pt>
                <c:pt idx="41">
                  <c:v>0.54386533618916799</c:v>
                </c:pt>
                <c:pt idx="42">
                  <c:v>0.54765480750771012</c:v>
                </c:pt>
                <c:pt idx="43">
                  <c:v>0.55135930070724748</c:v>
                </c:pt>
                <c:pt idx="44">
                  <c:v>0.55498273036544388</c:v>
                </c:pt>
                <c:pt idx="45">
                  <c:v>0.55852874229636651</c:v>
                </c:pt>
                <c:pt idx="46">
                  <c:v>0.56200073746757617</c:v>
                </c:pt>
                <c:pt idx="47">
                  <c:v>0.56540189333548008</c:v>
                </c:pt>
                <c:pt idx="48">
                  <c:v>0.5687351829239653</c:v>
                </c:pt>
                <c:pt idx="49">
                  <c:v>0.57200339192485661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20-43D6-84CC-C699A1347F19}"/>
            </c:ext>
          </c:extLst>
        </c:ser>
        <c:ser>
          <c:idx val="4"/>
          <c:order val="4"/>
          <c:tx>
            <c:strRef>
              <c:f>Delta!$B$49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Delta!$C$49:$AZ$49</c:f>
              <c:numCache>
                <c:formatCode>General</c:formatCode>
                <c:ptCount val="50"/>
                <c:pt idx="0">
                  <c:v>4.5232166826357695E-2</c:v>
                </c:pt>
                <c:pt idx="1">
                  <c:v>0.12573476660876617</c:v>
                </c:pt>
                <c:pt idx="2">
                  <c:v>0.18532172601710542</c:v>
                </c:pt>
                <c:pt idx="3">
                  <c:v>0.22972590021732603</c:v>
                </c:pt>
                <c:pt idx="4">
                  <c:v>0.26440206825440993</c:v>
                </c:pt>
                <c:pt idx="5">
                  <c:v>0.29256442982550196</c:v>
                </c:pt>
                <c:pt idx="6">
                  <c:v>0.31613993431871834</c:v>
                </c:pt>
                <c:pt idx="7">
                  <c:v>0.33634498536164692</c:v>
                </c:pt>
                <c:pt idx="8">
                  <c:v>0.35398599803509384</c:v>
                </c:pt>
                <c:pt idx="9">
                  <c:v>0.36962040571176735</c:v>
                </c:pt>
                <c:pt idx="10">
                  <c:v>0.38364727638171875</c:v>
                </c:pt>
                <c:pt idx="11">
                  <c:v>0.39636084596642496</c:v>
                </c:pt>
                <c:pt idx="12">
                  <c:v>0.40798354332467751</c:v>
                </c:pt>
                <c:pt idx="13">
                  <c:v>0.41868714769065773</c:v>
                </c:pt>
                <c:pt idx="14">
                  <c:v>0.42860679551102504</c:v>
                </c:pt>
                <c:pt idx="15">
                  <c:v>0.43785052263626045</c:v>
                </c:pt>
                <c:pt idx="16">
                  <c:v>0.4465059301532594</c:v>
                </c:pt>
                <c:pt idx="17">
                  <c:v>0.45464494511975417</c:v>
                </c:pt>
                <c:pt idx="18">
                  <c:v>0.4623272881378962</c:v>
                </c:pt>
                <c:pt idx="19">
                  <c:v>0.4696030437194853</c:v>
                </c:pt>
                <c:pt idx="20">
                  <c:v>0.47651459582703398</c:v>
                </c:pt>
                <c:pt idx="21">
                  <c:v>0.48309810623486343</c:v>
                </c:pt>
                <c:pt idx="22">
                  <c:v>0.48938465833691452</c:v>
                </c:pt>
                <c:pt idx="23">
                  <c:v>0.4954011525523136</c:v>
                </c:pt>
                <c:pt idx="24">
                  <c:v>0.50117101483206639</c:v>
                </c:pt>
                <c:pt idx="25">
                  <c:v>0.50671476282286954</c:v>
                </c:pt>
                <c:pt idx="26">
                  <c:v>0.51205046240397722</c:v>
                </c:pt>
                <c:pt idx="27">
                  <c:v>0.51719409891900581</c:v>
                </c:pt>
                <c:pt idx="28">
                  <c:v>0.52215988139250236</c:v>
                </c:pt>
                <c:pt idx="29">
                  <c:v>0.52696049363181263</c:v>
                </c:pt>
                <c:pt idx="30">
                  <c:v>0.53160730288355651</c:v>
                </c:pt>
                <c:pt idx="31">
                  <c:v>0.53611053430946942</c:v>
                </c:pt>
                <c:pt idx="32">
                  <c:v>0.5404794177388812</c:v>
                </c:pt>
                <c:pt idx="33">
                  <c:v>0.5447223117835619</c:v>
                </c:pt>
                <c:pt idx="34">
                  <c:v>0.54884680935070751</c:v>
                </c:pt>
                <c:pt idx="35">
                  <c:v>0.55285982777936749</c:v>
                </c:pt>
                <c:pt idx="36">
                  <c:v>0.55676768619512962</c:v>
                </c:pt>
                <c:pt idx="37">
                  <c:v>0.5605761721837792</c:v>
                </c:pt>
                <c:pt idx="38">
                  <c:v>0.56429059949475369</c:v>
                </c:pt>
                <c:pt idx="39">
                  <c:v>0.56791585817552204</c:v>
                </c:pt>
                <c:pt idx="40">
                  <c:v>0.57145645829049585</c:v>
                </c:pt>
                <c:pt idx="41">
                  <c:v>0.57491656817909398</c:v>
                </c:pt>
                <c:pt idx="42">
                  <c:v>0.57830004804670487</c:v>
                </c:pt>
                <c:pt idx="43">
                  <c:v>0.5816104795515471</c:v>
                </c:pt>
                <c:pt idx="44">
                  <c:v>0.58485119194362345</c:v>
                </c:pt>
                <c:pt idx="45">
                  <c:v>0.58802528522430353</c:v>
                </c:pt>
                <c:pt idx="46">
                  <c:v>0.59113565072278729</c:v>
                </c:pt>
                <c:pt idx="47">
                  <c:v>0.5941849894258322</c:v>
                </c:pt>
                <c:pt idx="48">
                  <c:v>0.59717582834734784</c:v>
                </c:pt>
                <c:pt idx="49">
                  <c:v>0.60011053518287927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A20-43D6-84CC-C699A1347F19}"/>
            </c:ext>
          </c:extLst>
        </c:ser>
        <c:ser>
          <c:idx val="5"/>
          <c:order val="5"/>
          <c:tx>
            <c:strRef>
              <c:f>Delta!$B$50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Delta!$C$50:$AZ$50</c:f>
              <c:numCache>
                <c:formatCode>General</c:formatCode>
                <c:ptCount val="50"/>
                <c:pt idx="0">
                  <c:v>0.11243617506121638</c:v>
                </c:pt>
                <c:pt idx="1">
                  <c:v>0.2095782853157486</c:v>
                </c:pt>
                <c:pt idx="2">
                  <c:v>0.26810429772510852</c:v>
                </c:pt>
                <c:pt idx="3">
                  <c:v>0.30849881949673674</c:v>
                </c:pt>
                <c:pt idx="4">
                  <c:v>0.33889082669355786</c:v>
                </c:pt>
                <c:pt idx="5">
                  <c:v>0.36307804213620654</c:v>
                </c:pt>
                <c:pt idx="6">
                  <c:v>0.38309214483647591</c:v>
                </c:pt>
                <c:pt idx="7">
                  <c:v>0.4001309771418155</c:v>
                </c:pt>
                <c:pt idx="8">
                  <c:v>0.41495334564628428</c:v>
                </c:pt>
                <c:pt idx="9">
                  <c:v>0.42806710328227227</c:v>
                </c:pt>
                <c:pt idx="10">
                  <c:v>0.43982721269800579</c:v>
                </c:pt>
                <c:pt idx="11">
                  <c:v>0.4504906312174804</c:v>
                </c:pt>
                <c:pt idx="12">
                  <c:v>0.4602488327175141</c:v>
                </c:pt>
                <c:pt idx="13">
                  <c:v>0.46924800313645465</c:v>
                </c:pt>
                <c:pt idx="14">
                  <c:v>0.47760208281747407</c:v>
                </c:pt>
                <c:pt idx="15">
                  <c:v>0.48540147415917123</c:v>
                </c:pt>
                <c:pt idx="16">
                  <c:v>0.49271902378784854</c:v>
                </c:pt>
                <c:pt idx="17">
                  <c:v>0.49961423563029866</c:v>
                </c:pt>
                <c:pt idx="18">
                  <c:v>0.50613630335864257</c:v>
                </c:pt>
                <c:pt idx="19">
                  <c:v>0.51232633546348627</c:v>
                </c:pt>
                <c:pt idx="20">
                  <c:v>0.51821901613051369</c:v>
                </c:pt>
                <c:pt idx="21">
                  <c:v>0.52384386416404083</c:v>
                </c:pt>
                <c:pt idx="22">
                  <c:v>0.52922620053420411</c:v>
                </c:pt>
                <c:pt idx="23">
                  <c:v>0.53438790136939418</c:v>
                </c:pt>
                <c:pt idx="24">
                  <c:v>0.53934799069841521</c:v>
                </c:pt>
                <c:pt idx="25">
                  <c:v>0.54412311193988194</c:v>
                </c:pt>
                <c:pt idx="26">
                  <c:v>0.54872790655031389</c:v>
                </c:pt>
                <c:pt idx="27">
                  <c:v>0.55317532080514553</c:v>
                </c:pt>
                <c:pt idx="28">
                  <c:v>0.55747685638581812</c:v>
                </c:pt>
                <c:pt idx="29">
                  <c:v>0.56164277661704709</c:v>
                </c:pt>
                <c:pt idx="30">
                  <c:v>0.5656822773982908</c:v>
                </c:pt>
                <c:pt idx="31">
                  <c:v>0.56960362980235024</c:v>
                </c:pt>
                <c:pt idx="32">
                  <c:v>0.57341429976579006</c:v>
                </c:pt>
                <c:pt idx="33">
                  <c:v>0.57712104912697981</c:v>
                </c:pt>
                <c:pt idx="34">
                  <c:v>0.58073002137687157</c:v>
                </c:pt>
                <c:pt idx="35">
                  <c:v>0.58424681480303509</c:v>
                </c:pt>
                <c:pt idx="36">
                  <c:v>0.58767654517698897</c:v>
                </c:pt>
                <c:pt idx="37">
                  <c:v>0.59102389972064651</c:v>
                </c:pt>
                <c:pt idx="38">
                  <c:v>0.59429318376191809</c:v>
                </c:pt>
                <c:pt idx="39">
                  <c:v>0.59748836123155791</c:v>
                </c:pt>
                <c:pt idx="40">
                  <c:v>0.60061308994775553</c:v>
                </c:pt>
                <c:pt idx="41">
                  <c:v>0.60367075247014479</c:v>
                </c:pt>
                <c:pt idx="42">
                  <c:v>0.60666448317196797</c:v>
                </c:pt>
                <c:pt idx="43">
                  <c:v>0.60959719207134611</c:v>
                </c:pt>
                <c:pt idx="44">
                  <c:v>0.61247158587474571</c:v>
                </c:pt>
                <c:pt idx="45">
                  <c:v>0.61529018661376234</c:v>
                </c:pt>
                <c:pt idx="46">
                  <c:v>0.61805534819710672</c:v>
                </c:pt>
                <c:pt idx="47">
                  <c:v>0.62076927115070513</c:v>
                </c:pt>
                <c:pt idx="48">
                  <c:v>0.62343401577816748</c:v>
                </c:pt>
                <c:pt idx="49">
                  <c:v>0.62605151393996661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A20-43D6-84CC-C699A1347F19}"/>
            </c:ext>
          </c:extLst>
        </c:ser>
        <c:ser>
          <c:idx val="6"/>
          <c:order val="6"/>
          <c:tx>
            <c:strRef>
              <c:f>Delta!$B$51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Delta!$C$51:$AZ$51</c:f>
              <c:numCache>
                <c:formatCode>General</c:formatCode>
                <c:ptCount val="50"/>
                <c:pt idx="0">
                  <c:v>0.22309065574114884</c:v>
                </c:pt>
                <c:pt idx="1">
                  <c:v>0.31264738900926425</c:v>
                </c:pt>
                <c:pt idx="2">
                  <c:v>0.36029694556710035</c:v>
                </c:pt>
                <c:pt idx="3">
                  <c:v>0.39197641006635819</c:v>
                </c:pt>
                <c:pt idx="4">
                  <c:v>0.41550489713399108</c:v>
                </c:pt>
                <c:pt idx="5">
                  <c:v>0.43417080716206979</c:v>
                </c:pt>
                <c:pt idx="6">
                  <c:v>0.44963789751983563</c:v>
                </c:pt>
                <c:pt idx="7">
                  <c:v>0.46285427356997333</c:v>
                </c:pt>
                <c:pt idx="8">
                  <c:v>0.47440724227051817</c:v>
                </c:pt>
                <c:pt idx="9">
                  <c:v>0.48468386657648194</c:v>
                </c:pt>
                <c:pt idx="10">
                  <c:v>0.49395175437327304</c:v>
                </c:pt>
                <c:pt idx="11">
                  <c:v>0.50240312252979091</c:v>
                </c:pt>
                <c:pt idx="12">
                  <c:v>0.51018040359494143</c:v>
                </c:pt>
                <c:pt idx="13">
                  <c:v>0.51739190941314617</c:v>
                </c:pt>
                <c:pt idx="14">
                  <c:v>0.52412182729800927</c:v>
                </c:pt>
                <c:pt idx="15">
                  <c:v>0.53043683079550608</c:v>
                </c:pt>
                <c:pt idx="16">
                  <c:v>0.53639058652758587</c:v>
                </c:pt>
                <c:pt idx="17">
                  <c:v>0.54202690843046319</c:v>
                </c:pt>
                <c:pt idx="18">
                  <c:v>0.547382016482162</c:v>
                </c:pt>
                <c:pt idx="19">
                  <c:v>0.55248618710535036</c:v>
                </c:pt>
                <c:pt idx="20">
                  <c:v>0.55736498084718145</c:v>
                </c:pt>
                <c:pt idx="21">
                  <c:v>0.56204017032076969</c:v>
                </c:pt>
                <c:pt idx="22">
                  <c:v>0.5665304517364752</c:v>
                </c:pt>
                <c:pt idx="23">
                  <c:v>0.57085199762144978</c:v>
                </c:pt>
                <c:pt idx="24">
                  <c:v>0.57501889126529915</c:v>
                </c:pt>
                <c:pt idx="25">
                  <c:v>0.57904347189293048</c:v>
                </c:pt>
                <c:pt idx="26">
                  <c:v>0.5829366116237078</c:v>
                </c:pt>
                <c:pt idx="27">
                  <c:v>0.58670793971901714</c:v>
                </c:pt>
                <c:pt idx="28">
                  <c:v>0.59036602567358543</c:v>
                </c:pt>
                <c:pt idx="29">
                  <c:v>0.59391852986404525</c:v>
                </c:pt>
                <c:pt idx="30">
                  <c:v>0.59737232839587873</c:v>
                </c:pt>
                <c:pt idx="31">
                  <c:v>0.60073361726080055</c:v>
                </c:pt>
                <c:pt idx="32">
                  <c:v>0.60400799977607811</c:v>
                </c:pt>
                <c:pt idx="33">
                  <c:v>0.60720056041783987</c:v>
                </c:pt>
                <c:pt idx="34">
                  <c:v>0.6103159275066381</c:v>
                </c:pt>
                <c:pt idx="35">
                  <c:v>0.61335832670177981</c:v>
                </c:pt>
                <c:pt idx="36">
                  <c:v>0.61633162687263843</c:v>
                </c:pt>
                <c:pt idx="37">
                  <c:v>0.6192393796123129</c:v>
                </c:pt>
                <c:pt idx="38">
                  <c:v>0.62208485342105968</c:v>
                </c:pt>
                <c:pt idx="39">
                  <c:v>0.6248710633986635</c:v>
                </c:pt>
                <c:pt idx="40">
                  <c:v>0.62760079713500816</c:v>
                </c:pt>
                <c:pt idx="41">
                  <c:v>0.63027663736797446</c:v>
                </c:pt>
                <c:pt idx="42">
                  <c:v>0.6329009818809721</c:v>
                </c:pt>
                <c:pt idx="43">
                  <c:v>0.63547606103393273</c:v>
                </c:pt>
                <c:pt idx="44">
                  <c:v>0.63800395325764914</c:v>
                </c:pt>
                <c:pt idx="45">
                  <c:v>0.64048659878897385</c:v>
                </c:pt>
                <c:pt idx="46">
                  <c:v>0.64292581188130338</c:v>
                </c:pt>
                <c:pt idx="47">
                  <c:v>0.6453232916891507</c:v>
                </c:pt>
                <c:pt idx="48">
                  <c:v>0.64768063199603654</c:v>
                </c:pt>
                <c:pt idx="49">
                  <c:v>0.64999932993026976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A20-43D6-84CC-C699A1347F19}"/>
            </c:ext>
          </c:extLst>
        </c:ser>
        <c:ser>
          <c:idx val="7"/>
          <c:order val="7"/>
          <c:tx>
            <c:strRef>
              <c:f>Delta!$B$52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Delta!$C$52:$AZ$52</c:f>
              <c:numCache>
                <c:formatCode>General</c:formatCode>
                <c:ptCount val="50"/>
                <c:pt idx="0">
                  <c:v>0.3690547708387194</c:v>
                </c:pt>
                <c:pt idx="1">
                  <c:v>0.42617722149121895</c:v>
                </c:pt>
                <c:pt idx="2">
                  <c:v>0.4558544795480643</c:v>
                </c:pt>
                <c:pt idx="3">
                  <c:v>0.47589780066988158</c:v>
                </c:pt>
                <c:pt idx="4">
                  <c:v>0.4911242045127357</c:v>
                </c:pt>
                <c:pt idx="5">
                  <c:v>0.50348505750802586</c:v>
                </c:pt>
                <c:pt idx="6">
                  <c:v>0.51395234445237192</c:v>
                </c:pt>
                <c:pt idx="7">
                  <c:v>0.52307669879380081</c:v>
                </c:pt>
                <c:pt idx="8">
                  <c:v>0.53119894479835106</c:v>
                </c:pt>
                <c:pt idx="9">
                  <c:v>0.53854419075348625</c:v>
                </c:pt>
                <c:pt idx="10">
                  <c:v>0.54526869329803718</c:v>
                </c:pt>
                <c:pt idx="11">
                  <c:v>0.55148526450238888</c:v>
                </c:pt>
                <c:pt idx="12">
                  <c:v>0.55727798836580722</c:v>
                </c:pt>
                <c:pt idx="13">
                  <c:v>0.56271121064090002</c:v>
                </c:pt>
                <c:pt idx="14">
                  <c:v>0.56783527592126681</c:v>
                </c:pt>
                <c:pt idx="15">
                  <c:v>0.57269032550478327</c:v>
                </c:pt>
                <c:pt idx="16">
                  <c:v>0.57730889104572092</c:v>
                </c:pt>
                <c:pt idx="17">
                  <c:v>0.58171771395402005</c:v>
                </c:pt>
                <c:pt idx="18">
                  <c:v>0.58593905179691852</c:v>
                </c:pt>
                <c:pt idx="19">
                  <c:v>0.58999163576649438</c:v>
                </c:pt>
                <c:pt idx="20">
                  <c:v>0.59389138525736551</c:v>
                </c:pt>
                <c:pt idx="21">
                  <c:v>0.59765194986601289</c:v>
                </c:pt>
                <c:pt idx="22">
                  <c:v>0.60128512649989996</c:v>
                </c:pt>
                <c:pt idx="23">
                  <c:v>0.60480118460403898</c:v>
                </c:pt>
                <c:pt idx="24">
                  <c:v>0.60820912277336259</c:v>
                </c:pt>
                <c:pt idx="25">
                  <c:v>0.61151687342782668</c:v>
                </c:pt>
                <c:pt idx="26">
                  <c:v>0.61473146768465403</c:v>
                </c:pt>
                <c:pt idx="27">
                  <c:v>0.617859169379533</c:v>
                </c:pt>
                <c:pt idx="28">
                  <c:v>0.62090558492483205</c:v>
                </c:pt>
                <c:pt idx="29">
                  <c:v>0.6238757540601797</c:v>
                </c:pt>
                <c:pt idx="30">
                  <c:v>0.62677422535801997</c:v>
                </c:pt>
                <c:pt idx="31">
                  <c:v>0.62960511946502495</c:v>
                </c:pt>
                <c:pt idx="32">
                  <c:v>0.63237218240123627</c:v>
                </c:pt>
                <c:pt idx="33">
                  <c:v>0.63507883074119742</c:v>
                </c:pt>
                <c:pt idx="34">
                  <c:v>0.63772819012198667</c:v>
                </c:pt>
                <c:pt idx="35">
                  <c:v>0.64032312823128867</c:v>
                </c:pt>
                <c:pt idx="36">
                  <c:v>0.64286628320232841</c:v>
                </c:pt>
                <c:pt idx="37">
                  <c:v>0.64536008816558321</c:v>
                </c:pt>
                <c:pt idx="38">
                  <c:v>0.64780679256786677</c:v>
                </c:pt>
                <c:pt idx="39">
                  <c:v>0.65020848075889248</c:v>
                </c:pt>
                <c:pt idx="40">
                  <c:v>0.65256708825723053</c:v>
                </c:pt>
                <c:pt idx="41">
                  <c:v>0.65488441603673553</c:v>
                </c:pt>
                <c:pt idx="42">
                  <c:v>0.65716214311728105</c:v>
                </c:pt>
                <c:pt idx="43">
                  <c:v>0.65940183769714</c:v>
                </c:pt>
                <c:pt idx="44">
                  <c:v>0.6616049670263624</c:v>
                </c:pt>
                <c:pt idx="45">
                  <c:v>0.66377290618932328</c:v>
                </c:pt>
                <c:pt idx="46">
                  <c:v>0.66590694593888844</c:v>
                </c:pt>
                <c:pt idx="47">
                  <c:v>0.66800829970333764</c:v>
                </c:pt>
                <c:pt idx="48">
                  <c:v>0.67007810986943939</c:v>
                </c:pt>
                <c:pt idx="49">
                  <c:v>0.67211745343025231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A20-43D6-84CC-C699A1347F19}"/>
            </c:ext>
          </c:extLst>
        </c:ser>
        <c:ser>
          <c:idx val="8"/>
          <c:order val="8"/>
          <c:tx>
            <c:strRef>
              <c:f>Delta!$B$53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Delta!$C$53:$AZ$53</c:f>
              <c:numCache>
                <c:formatCode>General</c:formatCode>
                <c:ptCount val="50"/>
                <c:pt idx="0">
                  <c:v>0.52836130900185174</c:v>
                </c:pt>
                <c:pt idx="1">
                  <c:v>0.54007515440860199</c:v>
                </c:pt>
                <c:pt idx="2">
                  <c:v>0.54904051427844991</c:v>
                </c:pt>
                <c:pt idx="3">
                  <c:v>0.55657946195545982</c:v>
                </c:pt>
                <c:pt idx="4">
                  <c:v>0.56320457211528641</c:v>
                </c:pt>
                <c:pt idx="5">
                  <c:v>0.56917896198055495</c:v>
                </c:pt>
                <c:pt idx="6">
                  <c:v>0.57465907506793834</c:v>
                </c:pt>
                <c:pt idx="7">
                  <c:v>0.57974693392650745</c:v>
                </c:pt>
                <c:pt idx="8">
                  <c:v>0.58451346694099515</c:v>
                </c:pt>
                <c:pt idx="9">
                  <c:v>0.58901036286872965</c:v>
                </c:pt>
                <c:pt idx="10">
                  <c:v>0.59327667759883407</c:v>
                </c:pt>
                <c:pt idx="11">
                  <c:v>0.59734278103568972</c:v>
                </c:pt>
                <c:pt idx="12">
                  <c:v>0.60123284664154708</c:v>
                </c:pt>
                <c:pt idx="13">
                  <c:v>0.60496649199295116</c:v>
                </c:pt>
                <c:pt idx="14">
                  <c:v>0.60855989955510725</c:v>
                </c:pt>
                <c:pt idx="15">
                  <c:v>0.6120266058609285</c:v>
                </c:pt>
                <c:pt idx="16">
                  <c:v>0.61537807168890857</c:v>
                </c:pt>
                <c:pt idx="17">
                  <c:v>0.61862410325459449</c:v>
                </c:pt>
                <c:pt idx="18">
                  <c:v>0.62177316941688865</c:v>
                </c:pt>
                <c:pt idx="19">
                  <c:v>0.62483264466500554</c:v>
                </c:pt>
                <c:pt idx="20">
                  <c:v>0.62780899807570822</c:v>
                </c:pt>
                <c:pt idx="21">
                  <c:v>0.6307079422427182</c:v>
                </c:pt>
                <c:pt idx="22">
                  <c:v>0.63353455208287435</c:v>
                </c:pt>
                <c:pt idx="23">
                  <c:v>0.6362933606506207</c:v>
                </c:pt>
                <c:pt idx="24">
                  <c:v>0.63898843717850951</c:v>
                </c:pt>
                <c:pt idx="25">
                  <c:v>0.64162345121685915</c:v>
                </c:pt>
                <c:pt idx="26">
                  <c:v>0.64420172578582313</c:v>
                </c:pt>
                <c:pt idx="27">
                  <c:v>0.64672628175773994</c:v>
                </c:pt>
                <c:pt idx="28">
                  <c:v>0.64919987517704203</c:v>
                </c:pt>
                <c:pt idx="29">
                  <c:v>0.65162502884545082</c:v>
                </c:pt>
                <c:pt idx="30">
                  <c:v>0.65400405921480276</c:v>
                </c:pt>
                <c:pt idx="31">
                  <c:v>0.65633909941300272</c:v>
                </c:pt>
                <c:pt idx="32">
                  <c:v>0.65863211906221009</c:v>
                </c:pt>
                <c:pt idx="33">
                  <c:v>0.66088494141951859</c:v>
                </c:pt>
                <c:pt idx="34">
                  <c:v>0.66309925826977012</c:v>
                </c:pt>
                <c:pt idx="35">
                  <c:v>0.66527664292093025</c:v>
                </c:pt>
                <c:pt idx="36">
                  <c:v>0.66741856158964397</c:v>
                </c:pt>
                <c:pt idx="37">
                  <c:v>0.6695263834144114</c:v>
                </c:pt>
                <c:pt idx="38">
                  <c:v>0.67160138929350044</c:v>
                </c:pt>
                <c:pt idx="39">
                  <c:v>0.67364477971208003</c:v>
                </c:pt>
                <c:pt idx="40">
                  <c:v>0.67565768169651563</c:v>
                </c:pt>
                <c:pt idx="41">
                  <c:v>0.67764115501204425</c:v>
                </c:pt>
                <c:pt idx="42">
                  <c:v>0.67959619770217961</c:v>
                </c:pt>
                <c:pt idx="43">
                  <c:v>0.68152375105343233</c:v>
                </c:pt>
                <c:pt idx="44">
                  <c:v>0.68342470405665567</c:v>
                </c:pt>
                <c:pt idx="45">
                  <c:v>0.6852998974261012</c:v>
                </c:pt>
                <c:pt idx="46">
                  <c:v>0.6871501272286864</c:v>
                </c:pt>
                <c:pt idx="47">
                  <c:v>0.68897614816876274</c:v>
                </c:pt>
                <c:pt idx="48">
                  <c:v>0.69077867656758185</c:v>
                </c:pt>
                <c:pt idx="49">
                  <c:v>0.69255839307148281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20-43D6-84CC-C699A1347F19}"/>
            </c:ext>
          </c:extLst>
        </c:ser>
        <c:ser>
          <c:idx val="9"/>
          <c:order val="9"/>
          <c:tx>
            <c:strRef>
              <c:f>Delta!$B$54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Delta!$C$54:$AZ$54</c:f>
              <c:numCache>
                <c:formatCode>General</c:formatCode>
                <c:ptCount val="50"/>
                <c:pt idx="0">
                  <c:v>0.67611824571104273</c:v>
                </c:pt>
                <c:pt idx="1">
                  <c:v>0.64556285071940933</c:v>
                </c:pt>
                <c:pt idx="2">
                  <c:v>0.63530353683739615</c:v>
                </c:pt>
                <c:pt idx="3">
                  <c:v>0.63124876563153487</c:v>
                </c:pt>
                <c:pt idx="4">
                  <c:v>0.62990370035210641</c:v>
                </c:pt>
                <c:pt idx="5">
                  <c:v>0.62996242441975325</c:v>
                </c:pt>
                <c:pt idx="6">
                  <c:v>0.63082418297129694</c:v>
                </c:pt>
                <c:pt idx="7">
                  <c:v>0.63217475322688765</c:v>
                </c:pt>
                <c:pt idx="8">
                  <c:v>0.63383475624841346</c:v>
                </c:pt>
                <c:pt idx="9">
                  <c:v>0.63569510392185968</c:v>
                </c:pt>
                <c:pt idx="10">
                  <c:v>0.63768622515091133</c:v>
                </c:pt>
                <c:pt idx="11">
                  <c:v>0.63976209537161788</c:v>
                </c:pt>
                <c:pt idx="12">
                  <c:v>0.64189138229991727</c:v>
                </c:pt>
                <c:pt idx="13">
                  <c:v>0.64405227007829391</c:v>
                </c:pt>
                <c:pt idx="14">
                  <c:v>0.64622929949243746</c:v>
                </c:pt>
                <c:pt idx="15">
                  <c:v>0.64841136787189346</c:v>
                </c:pt>
                <c:pt idx="16">
                  <c:v>0.65059042368569309</c:v>
                </c:pt>
                <c:pt idx="17">
                  <c:v>0.6527605919168209</c:v>
                </c:pt>
                <c:pt idx="18">
                  <c:v>0.6549175746346424</c:v>
                </c:pt>
                <c:pt idx="19">
                  <c:v>0.65705823198940361</c:v>
                </c:pt>
                <c:pt idx="20">
                  <c:v>0.65918028421389419</c:v>
                </c:pt>
                <c:pt idx="21">
                  <c:v>0.66128209643149849</c:v>
                </c:pt>
                <c:pt idx="22">
                  <c:v>0.66336252115193817</c:v>
                </c:pt>
                <c:pt idx="23">
                  <c:v>0.66542078160343643</c:v>
                </c:pt>
                <c:pt idx="24">
                  <c:v>0.6674563843907737</c:v>
                </c:pt>
                <c:pt idx="25">
                  <c:v>0.66946905348778174</c:v>
                </c:pt>
                <c:pt idx="26">
                  <c:v>0.67145867993353181</c:v>
                </c:pt>
                <c:pt idx="27">
                  <c:v>0.67342528321114214</c:v>
                </c:pt>
                <c:pt idx="28">
                  <c:v>0.67536898140218171</c:v>
                </c:pt>
                <c:pt idx="29">
                  <c:v>0.67728996799127406</c:v>
                </c:pt>
                <c:pt idx="30">
                  <c:v>0.67918849375083457</c:v>
                </c:pt>
                <c:pt idx="31">
                  <c:v>0.68106485253502125</c:v>
                </c:pt>
                <c:pt idx="32">
                  <c:v>0.68291937010195569</c:v>
                </c:pt>
                <c:pt idx="33">
                  <c:v>0.68475239529604037</c:v>
                </c:pt>
                <c:pt idx="34">
                  <c:v>0.6865642930797613</c:v>
                </c:pt>
                <c:pt idx="35">
                  <c:v>0.68835543902205276</c:v>
                </c:pt>
                <c:pt idx="36">
                  <c:v>0.6901262149389128</c:v>
                </c:pt>
                <c:pt idx="37">
                  <c:v>0.69187700544917163</c:v>
                </c:pt>
                <c:pt idx="38">
                  <c:v>0.69360819525966311</c:v>
                </c:pt>
                <c:pt idx="39">
                  <c:v>0.69532016703352617</c:v>
                </c:pt>
                <c:pt idx="40">
                  <c:v>0.69701329972590598</c:v>
                </c:pt>
                <c:pt idx="41">
                  <c:v>0.69868796729508709</c:v>
                </c:pt>
                <c:pt idx="42">
                  <c:v>0.70034453771567862</c:v>
                </c:pt>
                <c:pt idx="43">
                  <c:v>0.70198337223508567</c:v>
                </c:pt>
                <c:pt idx="44">
                  <c:v>0.70360482482604902</c:v>
                </c:pt>
                <c:pt idx="45">
                  <c:v>0.70520924179719002</c:v>
                </c:pt>
                <c:pt idx="46">
                  <c:v>0.70679696153080096</c:v>
                </c:pt>
                <c:pt idx="47">
                  <c:v>0.70836831432295611</c:v>
                </c:pt>
                <c:pt idx="48">
                  <c:v>0.70992362230570483</c:v>
                </c:pt>
                <c:pt idx="49">
                  <c:v>0.71146319943488745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A20-43D6-84CC-C699A1347F19}"/>
            </c:ext>
          </c:extLst>
        </c:ser>
        <c:ser>
          <c:idx val="10"/>
          <c:order val="10"/>
          <c:tx>
            <c:strRef>
              <c:f>Delta!$B$55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Delta!$C$55:$AZ$55</c:f>
              <c:numCache>
                <c:formatCode>General</c:formatCode>
                <c:ptCount val="50"/>
                <c:pt idx="0">
                  <c:v>0.79521324074085409</c:v>
                </c:pt>
                <c:pt idx="1">
                  <c:v>0.73677132806161283</c:v>
                </c:pt>
                <c:pt idx="2">
                  <c:v>0.71166897498697956</c:v>
                </c:pt>
                <c:pt idx="3">
                  <c:v>0.69813673514819785</c:v>
                </c:pt>
                <c:pt idx="4">
                  <c:v>0.69007798097999373</c:v>
                </c:pt>
                <c:pt idx="5">
                  <c:v>0.68506027549519866</c:v>
                </c:pt>
                <c:pt idx="6">
                  <c:v>0.68190844250350346</c:v>
                </c:pt>
                <c:pt idx="7">
                  <c:v>0.67998117873921649</c:v>
                </c:pt>
                <c:pt idx="8">
                  <c:v>0.67889752276808935</c:v>
                </c:pt>
                <c:pt idx="9">
                  <c:v>0.67841652953561393</c:v>
                </c:pt>
                <c:pt idx="10">
                  <c:v>0.67837828152097746</c:v>
                </c:pt>
                <c:pt idx="11">
                  <c:v>0.67867250258230838</c:v>
                </c:pt>
                <c:pt idx="12">
                  <c:v>0.67922075051936703</c:v>
                </c:pt>
                <c:pt idx="13">
                  <c:v>0.67996577625121424</c:v>
                </c:pt>
                <c:pt idx="14">
                  <c:v>0.68086488764682573</c:v>
                </c:pt>
                <c:pt idx="15">
                  <c:v>0.68188565960518654</c:v>
                </c:pt>
                <c:pt idx="16">
                  <c:v>0.68300307474996325</c:v>
                </c:pt>
                <c:pt idx="17">
                  <c:v>0.68419756673834808</c:v>
                </c:pt>
                <c:pt idx="18">
                  <c:v>0.68545365013733406</c:v>
                </c:pt>
                <c:pt idx="19">
                  <c:v>0.68675894146125127</c:v>
                </c:pt>
                <c:pt idx="20">
                  <c:v>0.68810344707336035</c:v>
                </c:pt>
                <c:pt idx="21">
                  <c:v>0.68947903687552947</c:v>
                </c:pt>
                <c:pt idx="22">
                  <c:v>0.6908790497056867</c:v>
                </c:pt>
                <c:pt idx="23">
                  <c:v>0.69229799363884914</c:v>
                </c:pt>
                <c:pt idx="24">
                  <c:v>0.69373131568757618</c:v>
                </c:pt>
                <c:pt idx="25">
                  <c:v>0.69517522293611245</c:v>
                </c:pt>
                <c:pt idx="26">
                  <c:v>0.69662654226236631</c:v>
                </c:pt>
                <c:pt idx="27">
                  <c:v>0.69808260933640931</c:v>
                </c:pt>
                <c:pt idx="28">
                  <c:v>0.6995411800610698</c:v>
                </c:pt>
                <c:pt idx="29">
                  <c:v>0.70100035937994698</c:v>
                </c:pt>
                <c:pt idx="30">
                  <c:v>0.70245854364440063</c:v>
                </c:pt>
                <c:pt idx="31">
                  <c:v>0.70391437365293852</c:v>
                </c:pt>
                <c:pt idx="32">
                  <c:v>0.70536669615494385</c:v>
                </c:pt>
                <c:pt idx="33">
                  <c:v>0.70681453211518752</c:v>
                </c:pt>
                <c:pt idx="34">
                  <c:v>0.70825705041423959</c:v>
                </c:pt>
                <c:pt idx="35">
                  <c:v>0.70969354594665934</c:v>
                </c:pt>
                <c:pt idx="36">
                  <c:v>0.71112342129780426</c:v>
                </c:pt>
                <c:pt idx="37">
                  <c:v>0.71254617134859832</c:v>
                </c:pt>
                <c:pt idx="38">
                  <c:v>0.71396137028822182</c:v>
                </c:pt>
                <c:pt idx="39">
                  <c:v>0.71536866061664361</c:v>
                </c:pt>
                <c:pt idx="40">
                  <c:v>0.71676774379902597</c:v>
                </c:pt>
                <c:pt idx="41">
                  <c:v>0.71815837229735302</c:v>
                </c:pt>
                <c:pt idx="42">
                  <c:v>0.71954034275498913</c:v>
                </c:pt>
                <c:pt idx="43">
                  <c:v>0.7209134901501365</c:v>
                </c:pt>
                <c:pt idx="44">
                  <c:v>0.72227768276651616</c:v>
                </c:pt>
                <c:pt idx="45">
                  <c:v>0.72363281785573808</c:v>
                </c:pt>
                <c:pt idx="46">
                  <c:v>0.72497881788704244</c:v>
                </c:pt>
                <c:pt idx="47">
                  <c:v>0.72631562729739074</c:v>
                </c:pt>
                <c:pt idx="48">
                  <c:v>0.72764320966904483</c:v>
                </c:pt>
                <c:pt idx="49">
                  <c:v>0.72896154527342505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A20-43D6-84CC-C699A1347F19}"/>
            </c:ext>
          </c:extLst>
        </c:ser>
        <c:ser>
          <c:idx val="11"/>
          <c:order val="11"/>
          <c:tx>
            <c:strRef>
              <c:f>Delta!$B$56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Delta!$C$56:$AZ$56</c:f>
              <c:numCache>
                <c:formatCode>General</c:formatCode>
                <c:ptCount val="50"/>
                <c:pt idx="0">
                  <c:v>0.88021583185504604</c:v>
                </c:pt>
                <c:pt idx="1">
                  <c:v>0.81108890153677393</c:v>
                </c:pt>
                <c:pt idx="2">
                  <c:v>0.77671943972975221</c:v>
                </c:pt>
                <c:pt idx="3">
                  <c:v>0.75639716521685774</c:v>
                </c:pt>
                <c:pt idx="4">
                  <c:v>0.74319667438721471</c:v>
                </c:pt>
                <c:pt idx="5">
                  <c:v>0.73413390137873957</c:v>
                </c:pt>
                <c:pt idx="6">
                  <c:v>0.7276985245669445</c:v>
                </c:pt>
                <c:pt idx="7">
                  <c:v>0.72303875290811948</c:v>
                </c:pt>
                <c:pt idx="8">
                  <c:v>0.71963542011049753</c:v>
                </c:pt>
                <c:pt idx="9">
                  <c:v>0.71715306616066388</c:v>
                </c:pt>
                <c:pt idx="10">
                  <c:v>0.71536483500453407</c:v>
                </c:pt>
                <c:pt idx="11">
                  <c:v>0.71411161135791834</c:v>
                </c:pt>
                <c:pt idx="12">
                  <c:v>0.7132784047815599</c:v>
                </c:pt>
                <c:pt idx="13">
                  <c:v>0.71278001434305782</c:v>
                </c:pt>
                <c:pt idx="14">
                  <c:v>0.71255196442030311</c:v>
                </c:pt>
                <c:pt idx="15">
                  <c:v>0.71254457257773407</c:v>
                </c:pt>
                <c:pt idx="16">
                  <c:v>0.71271895109651995</c:v>
                </c:pt>
                <c:pt idx="17">
                  <c:v>0.71304424219192442</c:v>
                </c:pt>
                <c:pt idx="18">
                  <c:v>0.71349566314057644</c:v>
                </c:pt>
                <c:pt idx="19">
                  <c:v>0.71405309659886251</c:v>
                </c:pt>
                <c:pt idx="20">
                  <c:v>0.71470005613882304</c:v>
                </c:pt>
                <c:pt idx="21">
                  <c:v>0.71542291516782497</c:v>
                </c:pt>
                <c:pt idx="22">
                  <c:v>0.71621032403103158</c:v>
                </c:pt>
                <c:pt idx="23">
                  <c:v>0.71705276372950333</c:v>
                </c:pt>
                <c:pt idx="24">
                  <c:v>0.71794220026230193</c:v>
                </c:pt>
                <c:pt idx="25">
                  <c:v>0.7188718140654482</c:v>
                </c:pt>
                <c:pt idx="26">
                  <c:v>0.7198357861754815</c:v>
                </c:pt>
                <c:pt idx="27">
                  <c:v>0.72082912771629937</c:v>
                </c:pt>
                <c:pt idx="28">
                  <c:v>0.72184754281265784</c:v>
                </c:pt>
                <c:pt idx="29">
                  <c:v>0.72288731753825886</c:v>
                </c:pt>
                <c:pt idx="30">
                  <c:v>0.72394522931865968</c:v>
                </c:pt>
                <c:pt idx="31">
                  <c:v>0.72501847253587903</c:v>
                </c:pt>
                <c:pt idx="32">
                  <c:v>0.7261045970631963</c:v>
                </c:pt>
                <c:pt idx="33">
                  <c:v>0.72720145719226925</c:v>
                </c:pt>
                <c:pt idx="34">
                  <c:v>0.72830716896814551</c:v>
                </c:pt>
                <c:pt idx="35">
                  <c:v>0.72942007436891587</c:v>
                </c:pt>
                <c:pt idx="36">
                  <c:v>0.73053871108993107</c:v>
                </c:pt>
                <c:pt idx="37">
                  <c:v>0.73166178694237893</c:v>
                </c:pt>
                <c:pt idx="38">
                  <c:v>0.7327881580706469</c:v>
                </c:pt>
                <c:pt idx="39">
                  <c:v>0.73391681034551604</c:v>
                </c:pt>
                <c:pt idx="40">
                  <c:v>0.73504684341070659</c:v>
                </c:pt>
                <c:pt idx="41">
                  <c:v>0.7361774569559637</c:v>
                </c:pt>
                <c:pt idx="42">
                  <c:v>0.73730793886629287</c:v>
                </c:pt>
                <c:pt idx="43">
                  <c:v>0.73843765495833558</c:v>
                </c:pt>
                <c:pt idx="44">
                  <c:v>0.7395660400644295</c:v>
                </c:pt>
                <c:pt idx="45">
                  <c:v>0.74069259026511935</c:v>
                </c:pt>
                <c:pt idx="46">
                  <c:v>0.74181685610365933</c:v>
                </c:pt>
                <c:pt idx="47">
                  <c:v>0.74293843664290993</c:v>
                </c:pt>
                <c:pt idx="48">
                  <c:v>0.74405697424710637</c:v>
                </c:pt>
                <c:pt idx="49">
                  <c:v>0.74517214998922932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A20-43D6-84CC-C699A1347F19}"/>
            </c:ext>
          </c:extLst>
        </c:ser>
        <c:ser>
          <c:idx val="12"/>
          <c:order val="12"/>
          <c:tx>
            <c:strRef>
              <c:f>Delta!$B$57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Delta!$C$57:$AZ$57</c:f>
              <c:numCache>
                <c:formatCode>General</c:formatCode>
                <c:ptCount val="50"/>
                <c:pt idx="0">
                  <c:v>0.93480042009614039</c:v>
                </c:pt>
                <c:pt idx="1">
                  <c:v>0.86860722319458827</c:v>
                </c:pt>
                <c:pt idx="2">
                  <c:v>0.8303167771142137</c:v>
                </c:pt>
                <c:pt idx="3">
                  <c:v>0.80592899227632175</c:v>
                </c:pt>
                <c:pt idx="4">
                  <c:v>0.78921576011256067</c:v>
                </c:pt>
                <c:pt idx="5">
                  <c:v>0.77718615535252056</c:v>
                </c:pt>
                <c:pt idx="6">
                  <c:v>0.76823248267039035</c:v>
                </c:pt>
                <c:pt idx="7">
                  <c:v>0.76141151560368958</c:v>
                </c:pt>
                <c:pt idx="8">
                  <c:v>0.75613168702939038</c:v>
                </c:pt>
                <c:pt idx="9">
                  <c:v>0.75200220647013261</c:v>
                </c:pt>
                <c:pt idx="10">
                  <c:v>0.7487540088667346</c:v>
                </c:pt>
                <c:pt idx="11">
                  <c:v>0.74619549137089491</c:v>
                </c:pt>
                <c:pt idx="12">
                  <c:v>0.74418634836810016</c:v>
                </c:pt>
                <c:pt idx="13">
                  <c:v>0.7426213939370746</c:v>
                </c:pt>
                <c:pt idx="14">
                  <c:v>0.74142017407246608</c:v>
                </c:pt>
                <c:pt idx="15">
                  <c:v>0.74052007812711207</c:v>
                </c:pt>
                <c:pt idx="16">
                  <c:v>0.73987164200883204</c:v>
                </c:pt>
                <c:pt idx="17">
                  <c:v>0.73943526731763154</c:v>
                </c:pt>
                <c:pt idx="18">
                  <c:v>0.73917888029653178</c:v>
                </c:pt>
                <c:pt idx="19">
                  <c:v>0.73907622962258757</c:v>
                </c:pt>
                <c:pt idx="20">
                  <c:v>0.73910562774429445</c:v>
                </c:pt>
                <c:pt idx="21">
                  <c:v>0.7392490060590764</c:v>
                </c:pt>
                <c:pt idx="22">
                  <c:v>0.7394911959684447</c:v>
                </c:pt>
                <c:pt idx="23">
                  <c:v>0.73981937502493877</c:v>
                </c:pt>
                <c:pt idx="24">
                  <c:v>0.74022263544306699</c:v>
                </c:pt>
                <c:pt idx="25">
                  <c:v>0.74069164447031677</c:v>
                </c:pt>
                <c:pt idx="26">
                  <c:v>0.74121837453002326</c:v>
                </c:pt>
                <c:pt idx="27">
                  <c:v>0.74179588693227849</c:v>
                </c:pt>
                <c:pt idx="28">
                  <c:v>0.7424181571224866</c:v>
                </c:pt>
                <c:pt idx="29">
                  <c:v>0.74307993243623416</c:v>
                </c:pt>
                <c:pt idx="30">
                  <c:v>0.74377661551062824</c:v>
                </c:pt>
                <c:pt idx="31">
                  <c:v>0.74450416810701781</c:v>
                </c:pt>
                <c:pt idx="32">
                  <c:v>0.74525903129296556</c:v>
                </c:pt>
                <c:pt idx="33">
                  <c:v>0.74603805882687435</c:v>
                </c:pt>
                <c:pt idx="34">
                  <c:v>0.74683846126710229</c:v>
                </c:pt>
                <c:pt idx="35">
                  <c:v>0.74765775884579777</c:v>
                </c:pt>
                <c:pt idx="36">
                  <c:v>0.7484937415469779</c:v>
                </c:pt>
                <c:pt idx="37">
                  <c:v>0.7493444351382792</c:v>
                </c:pt>
                <c:pt idx="38">
                  <c:v>0.75020807214804053</c:v>
                </c:pt>
                <c:pt idx="39">
                  <c:v>0.75108306697001759</c:v>
                </c:pt>
                <c:pt idx="40">
                  <c:v>0.75196799442898765</c:v>
                </c:pt>
                <c:pt idx="41">
                  <c:v>0.75286157126080089</c:v>
                </c:pt>
                <c:pt idx="42">
                  <c:v>0.75376264005681681</c:v>
                </c:pt>
                <c:pt idx="43">
                  <c:v>0.75467015530032944</c:v>
                </c:pt>
                <c:pt idx="44">
                  <c:v>0.75558317118547014</c:v>
                </c:pt>
                <c:pt idx="45">
                  <c:v>0.75650083096026743</c:v>
                </c:pt>
                <c:pt idx="46">
                  <c:v>0.75742235757739429</c:v>
                </c:pt>
                <c:pt idx="47">
                  <c:v>0.75834704547050091</c:v>
                </c:pt>
                <c:pt idx="48">
                  <c:v>0.75927425330239129</c:v>
                </c:pt>
                <c:pt idx="49">
                  <c:v>0.76020339755477973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A20-43D6-84CC-C699A1347F19}"/>
            </c:ext>
          </c:extLst>
        </c:ser>
        <c:ser>
          <c:idx val="13"/>
          <c:order val="13"/>
          <c:tx>
            <c:strRef>
              <c:f>Delta!$B$58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Delta!$C$58:$AZ$58</c:f>
              <c:numCache>
                <c:formatCode>General</c:formatCode>
                <c:ptCount val="50"/>
                <c:pt idx="0">
                  <c:v>0.96676611016617031</c:v>
                </c:pt>
                <c:pt idx="1">
                  <c:v>0.91117618510776843</c:v>
                </c:pt>
                <c:pt idx="2">
                  <c:v>0.87321975231296856</c:v>
                </c:pt>
                <c:pt idx="3">
                  <c:v>0.84716614531784817</c:v>
                </c:pt>
                <c:pt idx="4">
                  <c:v>0.8284430661740726</c:v>
                </c:pt>
                <c:pt idx="5">
                  <c:v>0.81446662562292138</c:v>
                </c:pt>
                <c:pt idx="6">
                  <c:v>0.80372924169692972</c:v>
                </c:pt>
                <c:pt idx="7">
                  <c:v>0.79530038144333182</c:v>
                </c:pt>
                <c:pt idx="8">
                  <c:v>0.78857558854601151</c:v>
                </c:pt>
                <c:pt idx="9">
                  <c:v>0.78314500611625992</c:v>
                </c:pt>
                <c:pt idx="10">
                  <c:v>0.77872062944802334</c:v>
                </c:pt>
                <c:pt idx="11">
                  <c:v>0.77509394460053127</c:v>
                </c:pt>
                <c:pt idx="12">
                  <c:v>0.77211013138345019</c:v>
                </c:pt>
                <c:pt idx="13">
                  <c:v>0.76965173390750141</c:v>
                </c:pt>
                <c:pt idx="14">
                  <c:v>0.76762797255215032</c:v>
                </c:pt>
                <c:pt idx="15">
                  <c:v>0.76596754215870766</c:v>
                </c:pt>
                <c:pt idx="16">
                  <c:v>0.76461363445115649</c:v>
                </c:pt>
                <c:pt idx="17">
                  <c:v>0.76352041993585817</c:v>
                </c:pt>
                <c:pt idx="18">
                  <c:v>0.76265051156835906</c:v>
                </c:pt>
                <c:pt idx="19">
                  <c:v>0.7619731036081745</c:v>
                </c:pt>
                <c:pt idx="20">
                  <c:v>0.76146258410227097</c:v>
                </c:pt>
                <c:pt idx="21">
                  <c:v>0.76109748557842427</c:v>
                </c:pt>
                <c:pt idx="22">
                  <c:v>0.76085968116879199</c:v>
                </c:pt>
                <c:pt idx="23">
                  <c:v>0.7607337614598676</c:v>
                </c:pt>
                <c:pt idx="24">
                  <c:v>0.76070654621025924</c:v>
                </c:pt>
                <c:pt idx="25">
                  <c:v>0.76076669795097018</c:v>
                </c:pt>
                <c:pt idx="26">
                  <c:v>0.76090441341891479</c:v>
                </c:pt>
                <c:pt idx="27">
                  <c:v>0.76111117506969139</c:v>
                </c:pt>
                <c:pt idx="28">
                  <c:v>0.76137954941128783</c:v>
                </c:pt>
                <c:pt idx="29">
                  <c:v>0.7617030221515525</c:v>
                </c:pt>
                <c:pt idx="30">
                  <c:v>0.76207586253102577</c:v>
                </c:pt>
                <c:pt idx="31">
                  <c:v>0.76249301097218136</c:v>
                </c:pt>
                <c:pt idx="32">
                  <c:v>0.76294998549075188</c:v>
                </c:pt>
                <c:pt idx="33">
                  <c:v>0.7634428033064018</c:v>
                </c:pt>
                <c:pt idx="34">
                  <c:v>0.76396791484458604</c:v>
                </c:pt>
                <c:pt idx="35">
                  <c:v>0.76452214790045381</c:v>
                </c:pt>
                <c:pt idx="36">
                  <c:v>0.76510266018343398</c:v>
                </c:pt>
                <c:pt idx="37">
                  <c:v>0.76570689880999643</c:v>
                </c:pt>
                <c:pt idx="38">
                  <c:v>0.76633256558574914</c:v>
                </c:pt>
                <c:pt idx="39">
                  <c:v>0.76697758713414288</c:v>
                </c:pt>
                <c:pt idx="40">
                  <c:v>0.76764008910076664</c:v>
                </c:pt>
                <c:pt idx="41">
                  <c:v>0.76831837379946522</c:v>
                </c:pt>
                <c:pt idx="42">
                  <c:v>0.76901090077682088</c:v>
                </c:pt>
                <c:pt idx="43">
                  <c:v>0.76971626986067621</c:v>
                </c:pt>
                <c:pt idx="44">
                  <c:v>0.77043320633076628</c:v>
                </c:pt>
                <c:pt idx="45">
                  <c:v>0.771160547908599</c:v>
                </c:pt>
                <c:pt idx="46">
                  <c:v>0.77189723331215376</c:v>
                </c:pt>
                <c:pt idx="47">
                  <c:v>0.77264229216084157</c:v>
                </c:pt>
                <c:pt idx="48">
                  <c:v>0.77339483604914516</c:v>
                </c:pt>
                <c:pt idx="49">
                  <c:v>0.77415405063473164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A20-43D6-84CC-C699A1347F19}"/>
            </c:ext>
          </c:extLst>
        </c:ser>
        <c:ser>
          <c:idx val="14"/>
          <c:order val="14"/>
          <c:tx>
            <c:strRef>
              <c:f>Delta!$B$59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Delta!$C$59:$AZ$59</c:f>
              <c:numCache>
                <c:formatCode>General</c:formatCode>
                <c:ptCount val="50"/>
                <c:pt idx="0">
                  <c:v>0.98403647973885566</c:v>
                </c:pt>
                <c:pt idx="1">
                  <c:v>0.94147582473157476</c:v>
                </c:pt>
                <c:pt idx="2">
                  <c:v>0.90670948712270572</c:v>
                </c:pt>
                <c:pt idx="3">
                  <c:v>0.8808782060892546</c:v>
                </c:pt>
                <c:pt idx="4">
                  <c:v>0.86141458089990475</c:v>
                </c:pt>
                <c:pt idx="5">
                  <c:v>0.84638729515909628</c:v>
                </c:pt>
                <c:pt idx="6">
                  <c:v>0.83452737778348751</c:v>
                </c:pt>
                <c:pt idx="7">
                  <c:v>0.82499671068322522</c:v>
                </c:pt>
                <c:pt idx="8">
                  <c:v>0.81722605676269411</c:v>
                </c:pt>
                <c:pt idx="9">
                  <c:v>0.81081691168019066</c:v>
                </c:pt>
                <c:pt idx="10">
                  <c:v>0.80548237650641141</c:v>
                </c:pt>
                <c:pt idx="11">
                  <c:v>0.80101071527298862</c:v>
                </c:pt>
                <c:pt idx="12">
                  <c:v>0.79724223269328021</c:v>
                </c:pt>
                <c:pt idx="13">
                  <c:v>0.79405417296698322</c:v>
                </c:pt>
                <c:pt idx="14">
                  <c:v>0.79135058806995129</c:v>
                </c:pt>
                <c:pt idx="15">
                  <c:v>0.78905537183453434</c:v>
                </c:pt>
                <c:pt idx="16">
                  <c:v>0.78710736387800817</c:v>
                </c:pt>
                <c:pt idx="17">
                  <c:v>0.78545683943597688</c:v>
                </c:pt>
                <c:pt idx="18">
                  <c:v>0.78406294746807415</c:v>
                </c:pt>
                <c:pt idx="19">
                  <c:v>0.78289181047996426</c:v>
                </c:pt>
                <c:pt idx="20">
                  <c:v>0.78191509442255258</c:v>
                </c:pt>
                <c:pt idx="21">
                  <c:v>0.78110891800510263</c:v>
                </c:pt>
                <c:pt idx="22">
                  <c:v>0.7804530107430816</c:v>
                </c:pt>
                <c:pt idx="23">
                  <c:v>0.77993005578106667</c:v>
                </c:pt>
                <c:pt idx="24">
                  <c:v>0.77952517170010704</c:v>
                </c:pt>
                <c:pt idx="25">
                  <c:v>0.77922550007377089</c:v>
                </c:pt>
                <c:pt idx="26">
                  <c:v>0.7790198743421799</c:v>
                </c:pt>
                <c:pt idx="27">
                  <c:v>0.77889855183396262</c:v>
                </c:pt>
                <c:pt idx="28">
                  <c:v>0.77885299527460949</c:v>
                </c:pt>
                <c:pt idx="29">
                  <c:v>0.77887569340516616</c:v>
                </c:pt>
                <c:pt idx="30">
                  <c:v>0.77896001275594895</c:v>
                </c:pt>
                <c:pt idx="31">
                  <c:v>0.77910007442202889</c:v>
                </c:pt>
                <c:pt idx="32">
                  <c:v>0.7792906510417279</c:v>
                </c:pt>
                <c:pt idx="33">
                  <c:v>0.77952708020669381</c:v>
                </c:pt>
                <c:pt idx="34">
                  <c:v>0.77980519131791826</c:v>
                </c:pt>
                <c:pt idx="35">
                  <c:v>0.78012124350794576</c:v>
                </c:pt>
                <c:pt idx="36">
                  <c:v>0.78047187272019247</c:v>
                </c:pt>
                <c:pt idx="37">
                  <c:v>0.78085404640453582</c:v>
                </c:pt>
                <c:pt idx="38">
                  <c:v>0.78126502457837732</c:v>
                </c:pt>
                <c:pt idx="39">
                  <c:v>0.78170232623227709</c:v>
                </c:pt>
                <c:pt idx="40">
                  <c:v>0.78216370024258719</c:v>
                </c:pt>
                <c:pt idx="41">
                  <c:v>0.78264710010053817</c:v>
                </c:pt>
                <c:pt idx="42">
                  <c:v>0.78315066188578841</c:v>
                </c:pt>
                <c:pt idx="43">
                  <c:v>0.78367268500853671</c:v>
                </c:pt>
                <c:pt idx="44">
                  <c:v>0.78421161532257289</c:v>
                </c:pt>
                <c:pt idx="45">
                  <c:v>0.78476603027568803</c:v>
                </c:pt>
                <c:pt idx="46">
                  <c:v>0.78533462581652158</c:v>
                </c:pt>
                <c:pt idx="47">
                  <c:v>0.78591620482038993</c:v>
                </c:pt>
                <c:pt idx="48">
                  <c:v>0.78650966683267165</c:v>
                </c:pt>
                <c:pt idx="49">
                  <c:v>0.78711399895831202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A20-43D6-84CC-C699A1347F19}"/>
            </c:ext>
          </c:extLst>
        </c:ser>
        <c:ser>
          <c:idx val="15"/>
          <c:order val="15"/>
          <c:tx>
            <c:strRef>
              <c:f>Delta!$B$60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Delta!$C$60:$AZ$60</c:f>
              <c:numCache>
                <c:formatCode>General</c:formatCode>
                <c:ptCount val="50"/>
                <c:pt idx="0">
                  <c:v>0.99273097066954352</c:v>
                </c:pt>
                <c:pt idx="1">
                  <c:v>0.96231931456995112</c:v>
                </c:pt>
                <c:pt idx="2">
                  <c:v>0.93228420294986081</c:v>
                </c:pt>
                <c:pt idx="3">
                  <c:v>0.90800507158858346</c:v>
                </c:pt>
                <c:pt idx="4">
                  <c:v>0.88879200936476455</c:v>
                </c:pt>
                <c:pt idx="5">
                  <c:v>0.87345322872898401</c:v>
                </c:pt>
                <c:pt idx="6">
                  <c:v>0.86103529530746403</c:v>
                </c:pt>
                <c:pt idx="7">
                  <c:v>0.85084490557274406</c:v>
                </c:pt>
                <c:pt idx="8">
                  <c:v>0.84238268981732101</c:v>
                </c:pt>
                <c:pt idx="9">
                  <c:v>0.83528471396815041</c:v>
                </c:pt>
                <c:pt idx="10">
                  <c:v>0.82928111351080591</c:v>
                </c:pt>
                <c:pt idx="11">
                  <c:v>0.82416813446055315</c:v>
                </c:pt>
                <c:pt idx="12">
                  <c:v>0.81978927611550167</c:v>
                </c:pt>
                <c:pt idx="13">
                  <c:v>0.81602242224032828</c:v>
                </c:pt>
                <c:pt idx="14">
                  <c:v>0.81277091427294867</c:v>
                </c:pt>
                <c:pt idx="15">
                  <c:v>0.80995725012782704</c:v>
                </c:pt>
                <c:pt idx="16">
                  <c:v>0.80751855958604368</c:v>
                </c:pt>
                <c:pt idx="17">
                  <c:v>0.80540330225176304</c:v>
                </c:pt>
                <c:pt idx="18">
                  <c:v>0.80356882100026894</c:v>
                </c:pt>
                <c:pt idx="19">
                  <c:v>0.80197950371166271</c:v>
                </c:pt>
                <c:pt idx="20">
                  <c:v>0.80060538408493487</c:v>
                </c:pt>
                <c:pt idx="21">
                  <c:v>0.79942106388775225</c:v>
                </c:pt>
                <c:pt idx="22">
                  <c:v>0.79840487362093215</c:v>
                </c:pt>
                <c:pt idx="23">
                  <c:v>0.79753821218461463</c:v>
                </c:pt>
                <c:pt idx="24">
                  <c:v>0.79680502246680474</c:v>
                </c:pt>
                <c:pt idx="25">
                  <c:v>0.79619137123290107</c:v>
                </c:pt>
                <c:pt idx="26">
                  <c:v>0.79568510983784535</c:v>
                </c:pt>
                <c:pt idx="27">
                  <c:v>0.7952755981409293</c:v>
                </c:pt>
                <c:pt idx="28">
                  <c:v>0.79495347826680907</c:v>
                </c:pt>
                <c:pt idx="29">
                  <c:v>0.79471048799277033</c:v>
                </c:pt>
                <c:pt idx="30">
                  <c:v>0.79453930587319721</c:v>
                </c:pt>
                <c:pt idx="31">
                  <c:v>0.79443342196103739</c:v>
                </c:pt>
                <c:pt idx="32">
                  <c:v>0.79438702930999938</c:v>
                </c:pt>
                <c:pt idx="33">
                  <c:v>0.79439493245200921</c:v>
                </c:pt>
                <c:pt idx="34">
                  <c:v>0.79445246982234052</c:v>
                </c:pt>
                <c:pt idx="35">
                  <c:v>0.79455544770800479</c:v>
                </c:pt>
                <c:pt idx="36">
                  <c:v>0.79470008376603218</c:v>
                </c:pt>
                <c:pt idx="37">
                  <c:v>0.79488295852861235</c:v>
                </c:pt>
                <c:pt idx="38">
                  <c:v>0.79510097360510379</c:v>
                </c:pt>
                <c:pt idx="39">
                  <c:v>0.79535131552420124</c:v>
                </c:pt>
                <c:pt idx="40">
                  <c:v>0.79563142434632439</c:v>
                </c:pt>
                <c:pt idx="41">
                  <c:v>0.79593896632666783</c:v>
                </c:pt>
                <c:pt idx="42">
                  <c:v>0.79627181003104042</c:v>
                </c:pt>
                <c:pt idx="43">
                  <c:v>0.79662800540559553</c:v>
                </c:pt>
                <c:pt idx="44">
                  <c:v>0.79700576538243539</c:v>
                </c:pt>
                <c:pt idx="45">
                  <c:v>0.7974034496694653</c:v>
                </c:pt>
                <c:pt idx="46">
                  <c:v>0.79781955042761199</c:v>
                </c:pt>
                <c:pt idx="47">
                  <c:v>0.79825267958383783</c:v>
                </c:pt>
                <c:pt idx="48">
                  <c:v>0.79870155756605188</c:v>
                </c:pt>
                <c:pt idx="49">
                  <c:v>0.79916500327744178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A20-43D6-84CC-C699A1347F19}"/>
            </c:ext>
          </c:extLst>
        </c:ser>
        <c:ser>
          <c:idx val="16"/>
          <c:order val="16"/>
          <c:tx>
            <c:strRef>
              <c:f>Delta!$B$61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Delta!$C$61:$AZ$61</c:f>
              <c:numCache>
                <c:formatCode>General</c:formatCode>
                <c:ptCount val="50"/>
                <c:pt idx="0">
                  <c:v>0.99684477113655101</c:v>
                </c:pt>
                <c:pt idx="1">
                  <c:v>0.97623574851505368</c:v>
                </c:pt>
                <c:pt idx="2">
                  <c:v>0.95144373521317527</c:v>
                </c:pt>
                <c:pt idx="3">
                  <c:v>0.92953353906359115</c:v>
                </c:pt>
                <c:pt idx="4">
                  <c:v>0.91128461684100237</c:v>
                </c:pt>
                <c:pt idx="5">
                  <c:v>0.89620927302909015</c:v>
                </c:pt>
                <c:pt idx="6">
                  <c:v>0.88369286259387581</c:v>
                </c:pt>
                <c:pt idx="7">
                  <c:v>0.87321366704250614</c:v>
                </c:pt>
                <c:pt idx="8">
                  <c:v>0.86436355159317801</c:v>
                </c:pt>
                <c:pt idx="9">
                  <c:v>0.85682899304336257</c:v>
                </c:pt>
                <c:pt idx="10">
                  <c:v>0.8503687471154171</c:v>
                </c:pt>
                <c:pt idx="11">
                  <c:v>0.84479556165893566</c:v>
                </c:pt>
                <c:pt idx="12">
                  <c:v>0.8399624713823034</c:v>
                </c:pt>
                <c:pt idx="13">
                  <c:v>0.83575278553498977</c:v>
                </c:pt>
                <c:pt idx="14">
                  <c:v>0.83207279933994505</c:v>
                </c:pt>
                <c:pt idx="15">
                  <c:v>0.82884645927256206</c:v>
                </c:pt>
                <c:pt idx="16">
                  <c:v>0.82601142211036538</c:v>
                </c:pt>
                <c:pt idx="17">
                  <c:v>0.82351611210254883</c:v>
                </c:pt>
                <c:pt idx="18">
                  <c:v>0.82131749878169558</c:v>
                </c:pt>
                <c:pt idx="19">
                  <c:v>0.81937940032948497</c:v>
                </c:pt>
                <c:pt idx="20">
                  <c:v>0.81767117435656411</c:v>
                </c:pt>
                <c:pt idx="21">
                  <c:v>0.81616669737031899</c:v>
                </c:pt>
                <c:pt idx="22">
                  <c:v>0.81484356164927041</c:v>
                </c:pt>
                <c:pt idx="23">
                  <c:v>0.81368243751686387</c:v>
                </c:pt>
                <c:pt idx="24">
                  <c:v>0.81266656267410953</c:v>
                </c:pt>
                <c:pt idx="25">
                  <c:v>0.81178133003915598</c:v>
                </c:pt>
                <c:pt idx="26">
                  <c:v>0.8110139526240302</c:v>
                </c:pt>
                <c:pt idx="27">
                  <c:v>0.81035318915388099</c:v>
                </c:pt>
                <c:pt idx="28">
                  <c:v>0.80978911795217123</c:v>
                </c:pt>
                <c:pt idx="29">
                  <c:v>0.80931294945842069</c:v>
                </c:pt>
                <c:pt idx="30">
                  <c:v>0.80891686988108003</c:v>
                </c:pt>
                <c:pt idx="31">
                  <c:v>0.80859391010644566</c:v>
                </c:pt>
                <c:pt idx="32">
                  <c:v>0.80833783522058178</c:v>
                </c:pt>
                <c:pt idx="33">
                  <c:v>0.80814305095254135</c:v>
                </c:pt>
                <c:pt idx="34">
                  <c:v>0.80800452408474011</c:v>
                </c:pt>
                <c:pt idx="35">
                  <c:v>0.807917714452137</c:v>
                </c:pt>
                <c:pt idx="36">
                  <c:v>0.80787851660436605</c:v>
                </c:pt>
                <c:pt idx="37">
                  <c:v>0.80788320956280235</c:v>
                </c:pt>
                <c:pt idx="38">
                  <c:v>0.80792841338921162</c:v>
                </c:pt>
                <c:pt idx="39">
                  <c:v>0.80801105151040675</c:v>
                </c:pt>
                <c:pt idx="40">
                  <c:v>0.80812831792655304</c:v>
                </c:pt>
                <c:pt idx="41">
                  <c:v>0.80827764857893181</c:v>
                </c:pt>
                <c:pt idx="42">
                  <c:v>0.80845669627337968</c:v>
                </c:pt>
                <c:pt idx="43">
                  <c:v>0.80866330865392544</c:v>
                </c:pt>
                <c:pt idx="44">
                  <c:v>0.80889550880179084</c:v>
                </c:pt>
                <c:pt idx="45">
                  <c:v>0.80915147810134336</c:v>
                </c:pt>
                <c:pt idx="46">
                  <c:v>0.80942954106953913</c:v>
                </c:pt>
                <c:pt idx="47">
                  <c:v>0.80972815189102654</c:v>
                </c:pt>
                <c:pt idx="48">
                  <c:v>0.81004588243912845</c:v>
                </c:pt>
                <c:pt idx="49">
                  <c:v>0.81038141159475252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A20-43D6-84CC-C699A1347F19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317935584"/>
        <c:axId val="320220816"/>
        <c:axId val="547799968"/>
      </c:surface3DChart>
      <c:catAx>
        <c:axId val="31793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20816"/>
        <c:crosses val="autoZero"/>
        <c:auto val="1"/>
        <c:lblAlgn val="ctr"/>
        <c:lblOffset val="100"/>
        <c:noMultiLvlLbl val="0"/>
      </c:catAx>
      <c:valAx>
        <c:axId val="32022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35584"/>
        <c:crosses val="autoZero"/>
        <c:crossBetween val="midCat"/>
      </c:valAx>
      <c:serAx>
        <c:axId val="5477999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2081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Gamma,</a:t>
            </a:r>
            <a:r>
              <a:rPr lang="en-US" baseline="0"/>
              <a:t> vol=10%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5222821660036118E-2"/>
          <c:y val="0.21389850057670129"/>
          <c:w val="0.89555438816025057"/>
          <c:h val="0.50612665631328957"/>
        </c:manualLayout>
      </c:layout>
      <c:surface3DChart>
        <c:wireframe val="0"/>
        <c:ser>
          <c:idx val="0"/>
          <c:order val="0"/>
          <c:tx>
            <c:strRef>
              <c:f>Gamma!$B$3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Gamma!$C$3:$AZ$3</c:f>
              <c:numCache>
                <c:formatCode>General</c:formatCode>
                <c:ptCount val="50"/>
                <c:pt idx="0">
                  <c:v>9.8181668070315382E-58</c:v>
                </c:pt>
                <c:pt idx="1">
                  <c:v>1.4877614568192042E-29</c:v>
                </c:pt>
                <c:pt idx="2">
                  <c:v>3.3715886606540406E-20</c:v>
                </c:pt>
                <c:pt idx="3">
                  <c:v>1.5374265651823356E-15</c:v>
                </c:pt>
                <c:pt idx="4">
                  <c:v>9.3540877738933165E-13</c:v>
                </c:pt>
                <c:pt idx="5">
                  <c:v>6.6022100125858922E-11</c:v>
                </c:pt>
                <c:pt idx="6">
                  <c:v>1.3641015888556876E-9</c:v>
                </c:pt>
                <c:pt idx="7">
                  <c:v>1.309790020055326E-8</c:v>
                </c:pt>
                <c:pt idx="8">
                  <c:v>7.5530633187758109E-8</c:v>
                </c:pt>
                <c:pt idx="9">
                  <c:v>3.0503159925846612E-7</c:v>
                </c:pt>
                <c:pt idx="10">
                  <c:v>9.5121394259865129E-7</c:v>
                </c:pt>
                <c:pt idx="11">
                  <c:v>2.4443342622052874E-6</c:v>
                </c:pt>
                <c:pt idx="12">
                  <c:v>5.413964489629683E-6</c:v>
                </c:pt>
                <c:pt idx="13">
                  <c:v>1.0672587299213475E-5</c:v>
                </c:pt>
                <c:pt idx="14">
                  <c:v>1.9170056555515457E-5</c:v>
                </c:pt>
                <c:pt idx="15">
                  <c:v>3.1931280756622618E-5</c:v>
                </c:pt>
                <c:pt idx="16">
                  <c:v>4.999000592778726E-5</c:v>
                </c:pt>
                <c:pt idx="17">
                  <c:v>7.4328618349887621E-5</c:v>
                </c:pt>
                <c:pt idx="18">
                  <c:v>1.058298681962173E-4</c:v>
                </c:pt>
                <c:pt idx="19">
                  <c:v>1.4524281869372589E-4</c:v>
                </c:pt>
                <c:pt idx="20">
                  <c:v>1.9316274717843477E-4</c:v>
                </c:pt>
                <c:pt idx="21">
                  <c:v>2.5002320222478573E-4</c:v>
                </c:pt>
                <c:pt idx="22">
                  <c:v>3.1609774186313342E-4</c:v>
                </c:pt>
                <c:pt idx="23">
                  <c:v>3.9150877005365587E-4</c:v>
                </c:pt>
                <c:pt idx="24">
                  <c:v>4.7624111367904195E-4</c:v>
                </c:pt>
                <c:pt idx="25">
                  <c:v>5.7015836483492049E-4</c:v>
                </c:pt>
                <c:pt idx="26">
                  <c:v>6.730204390180387E-4</c:v>
                </c:pt>
                <c:pt idx="27">
                  <c:v>7.8450120319180914E-4</c:v>
                </c:pt>
                <c:pt idx="28">
                  <c:v>9.0420537654301871E-4</c:v>
                </c:pt>
                <c:pt idx="29">
                  <c:v>1.0316841901525141E-3</c:v>
                </c:pt>
                <c:pt idx="30">
                  <c:v>1.1664495110299679E-3</c:v>
                </c:pt>
                <c:pt idx="31">
                  <c:v>1.3079862982968309E-3</c:v>
                </c:pt>
                <c:pt idx="32">
                  <c:v>1.4557633743250606E-3</c:v>
                </c:pt>
                <c:pt idx="33">
                  <c:v>1.6092425710987691E-3</c:v>
                </c:pt>
                <c:pt idx="34">
                  <c:v>1.7678863607937067E-3</c:v>
                </c:pt>
                <c:pt idx="35">
                  <c:v>1.9311641070432544E-3</c:v>
                </c:pt>
                <c:pt idx="36">
                  <c:v>2.0985570856236588E-3</c:v>
                </c:pt>
                <c:pt idx="37">
                  <c:v>2.269562425063854E-3</c:v>
                </c:pt>
                <c:pt idx="38">
                  <c:v>2.4436961125434498E-3</c:v>
                </c:pt>
                <c:pt idx="39">
                  <c:v>2.6204952010288858E-3</c:v>
                </c:pt>
                <c:pt idx="40">
                  <c:v>2.7995193418148983E-3</c:v>
                </c:pt>
                <c:pt idx="41">
                  <c:v>2.9803517538177851E-3</c:v>
                </c:pt>
                <c:pt idx="42">
                  <c:v>3.1625997280112809E-3</c:v>
                </c:pt>
                <c:pt idx="43">
                  <c:v>3.3458947528903918E-3</c:v>
                </c:pt>
                <c:pt idx="44">
                  <c:v>3.5298923351491729E-3</c:v>
                </c:pt>
                <c:pt idx="45">
                  <c:v>3.714271579060526E-3</c:v>
                </c:pt>
                <c:pt idx="46">
                  <c:v>3.8987345784309217E-3</c:v>
                </c:pt>
                <c:pt idx="47">
                  <c:v>4.0830056664795319E-3</c:v>
                </c:pt>
                <c:pt idx="48">
                  <c:v>4.2668305615188272E-3</c:v>
                </c:pt>
                <c:pt idx="49">
                  <c:v>4.4499754398238511E-3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50-4F69-B2CB-067B6FD16D6C}"/>
            </c:ext>
          </c:extLst>
        </c:ser>
        <c:ser>
          <c:idx val="1"/>
          <c:order val="1"/>
          <c:tx>
            <c:strRef>
              <c:f>Gamma!$B$4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Gamma!$C$4:$AZ$4</c:f>
              <c:numCache>
                <c:formatCode>General</c:formatCode>
                <c:ptCount val="50"/>
                <c:pt idx="0">
                  <c:v>1.867554133449173E-41</c:v>
                </c:pt>
                <c:pt idx="1">
                  <c:v>1.8565304082520695E-21</c:v>
                </c:pt>
                <c:pt idx="2">
                  <c:v>7.8761142092032751E-15</c:v>
                </c:pt>
                <c:pt idx="3">
                  <c:v>1.5539109604002677E-11</c:v>
                </c:pt>
                <c:pt idx="4">
                  <c:v>1.4365666725428543E-9</c:v>
                </c:pt>
                <c:pt idx="5">
                  <c:v>2.8871903156587544E-8</c:v>
                </c:pt>
                <c:pt idx="6">
                  <c:v>2.4319945667214467E-7</c:v>
                </c:pt>
                <c:pt idx="7">
                  <c:v>1.191420089105155E-6</c:v>
                </c:pt>
                <c:pt idx="8">
                  <c:v>4.0707905271917845E-6</c:v>
                </c:pt>
                <c:pt idx="9">
                  <c:v>1.0815693509621757E-5</c:v>
                </c:pt>
                <c:pt idx="10">
                  <c:v>2.3944434431744491E-5</c:v>
                </c:pt>
                <c:pt idx="11">
                  <c:v>4.6248856703093457E-5</c:v>
                </c:pt>
                <c:pt idx="12">
                  <c:v>8.0453437229498616E-5</c:v>
                </c:pt>
                <c:pt idx="13">
                  <c:v>1.2893624729911796E-4</c:v>
                </c:pt>
                <c:pt idx="14">
                  <c:v>1.9355066407409304E-4</c:v>
                </c:pt>
                <c:pt idx="15">
                  <c:v>2.755467711611144E-4</c:v>
                </c:pt>
                <c:pt idx="16">
                  <c:v>3.7557140106388062E-4</c:v>
                </c:pt>
                <c:pt idx="17">
                  <c:v>4.9372059316376692E-4</c:v>
                </c:pt>
                <c:pt idx="18">
                  <c:v>6.2962099770165144E-4</c:v>
                </c:pt>
                <c:pt idx="19">
                  <c:v>7.8252244975753993E-4</c:v>
                </c:pt>
                <c:pt idx="20">
                  <c:v>9.5138980103538816E-4</c:v>
                </c:pt>
                <c:pt idx="21">
                  <c:v>1.1349869508365884E-3</c:v>
                </c:pt>
                <c:pt idx="22">
                  <c:v>1.3319495713363613E-3</c:v>
                </c:pt>
                <c:pt idx="23">
                  <c:v>1.5408453962359101E-3</c:v>
                </c:pt>
                <c:pt idx="24">
                  <c:v>1.7602223937193432E-3</c:v>
                </c:pt>
                <c:pt idx="25">
                  <c:v>1.9886459388581898E-3</c:v>
                </c:pt>
                <c:pt idx="26">
                  <c:v>2.2247264576399734E-3</c:v>
                </c:pt>
                <c:pt idx="27">
                  <c:v>2.4671390999004145E-3</c:v>
                </c:pt>
                <c:pt idx="28">
                  <c:v>2.7146369271330508E-3</c:v>
                </c:pt>
                <c:pt idx="29">
                  <c:v>2.9660589498737341E-3</c:v>
                </c:pt>
                <c:pt idx="30">
                  <c:v>3.2203341661422597E-3</c:v>
                </c:pt>
                <c:pt idx="31">
                  <c:v>3.4764825657431797E-3</c:v>
                </c:pt>
                <c:pt idx="32">
                  <c:v>3.7336138906653086E-3</c:v>
                </c:pt>
                <c:pt idx="33">
                  <c:v>3.9909247868034573E-3</c:v>
                </c:pt>
                <c:pt idx="34">
                  <c:v>4.2476948492530045E-3</c:v>
                </c:pt>
                <c:pt idx="35">
                  <c:v>4.5032819521822528E-3</c:v>
                </c:pt>
                <c:pt idx="36">
                  <c:v>4.7571171629837853E-3</c:v>
                </c:pt>
                <c:pt idx="37">
                  <c:v>5.0086994666185842E-3</c:v>
                </c:pt>
                <c:pt idx="38">
                  <c:v>5.2575904672104148E-3</c:v>
                </c:pt>
                <c:pt idx="39">
                  <c:v>5.5034091875470377E-3</c:v>
                </c:pt>
                <c:pt idx="40">
                  <c:v>5.7458270509649989E-3</c:v>
                </c:pt>
                <c:pt idx="41">
                  <c:v>5.9845631021919355E-3</c:v>
                </c:pt>
                <c:pt idx="42">
                  <c:v>6.2193795024492494E-3</c:v>
                </c:pt>
                <c:pt idx="43">
                  <c:v>6.4500773181101765E-3</c:v>
                </c:pt>
                <c:pt idx="44">
                  <c:v>6.6764926103418526E-3</c:v>
                </c:pt>
                <c:pt idx="45">
                  <c:v>6.8984928245275174E-3</c:v>
                </c:pt>
                <c:pt idx="46">
                  <c:v>7.1159734721358827E-3</c:v>
                </c:pt>
                <c:pt idx="47">
                  <c:v>7.3288550934994361E-3</c:v>
                </c:pt>
                <c:pt idx="48">
                  <c:v>7.5370804872209778E-3</c:v>
                </c:pt>
                <c:pt idx="49">
                  <c:v>7.7406121902881759E-3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50-4F69-B2CB-067B6FD16D6C}"/>
            </c:ext>
          </c:extLst>
        </c:ser>
        <c:ser>
          <c:idx val="2"/>
          <c:order val="2"/>
          <c:tx>
            <c:strRef>
              <c:f>Gamma!$B$5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Gamma!$C$5:$AZ$5</c:f>
              <c:numCache>
                <c:formatCode>General</c:formatCode>
                <c:ptCount val="50"/>
                <c:pt idx="0">
                  <c:v>7.2920970083605385E-29</c:v>
                </c:pt>
                <c:pt idx="1">
                  <c:v>3.3439581371571196E-15</c:v>
                </c:pt>
                <c:pt idx="2">
                  <c:v>1.0961347486332681E-10</c:v>
                </c:pt>
                <c:pt idx="3">
                  <c:v>1.9009673521623136E-8</c:v>
                </c:pt>
                <c:pt idx="4">
                  <c:v>4.0857545005606398E-7</c:v>
                </c:pt>
                <c:pt idx="5">
                  <c:v>3.1047063387496911E-6</c:v>
                </c:pt>
                <c:pt idx="6">
                  <c:v>1.3055468334454289E-5</c:v>
                </c:pt>
                <c:pt idx="7">
                  <c:v>3.7984667450688666E-5</c:v>
                </c:pt>
                <c:pt idx="8">
                  <c:v>8.6540937665519063E-5</c:v>
                </c:pt>
                <c:pt idx="9">
                  <c:v>1.6626343859570762E-4</c:v>
                </c:pt>
                <c:pt idx="10">
                  <c:v>2.8232321920876173E-4</c:v>
                </c:pt>
                <c:pt idx="11">
                  <c:v>4.3716230282047399E-4</c:v>
                </c:pt>
                <c:pt idx="12">
                  <c:v>6.3074711880356873E-4</c:v>
                </c:pt>
                <c:pt idx="13">
                  <c:v>8.6111092530915796E-4</c:v>
                </c:pt>
                <c:pt idx="14">
                  <c:v>1.1249563903663509E-3</c:v>
                </c:pt>
                <c:pt idx="15">
                  <c:v>1.4181957419552914E-3</c:v>
                </c:pt>
                <c:pt idx="16">
                  <c:v>1.7363808167980457E-3</c:v>
                </c:pt>
                <c:pt idx="17">
                  <c:v>2.0750177136691491E-3</c:v>
                </c:pt>
                <c:pt idx="18">
                  <c:v>2.429780365397074E-3</c:v>
                </c:pt>
                <c:pt idx="19">
                  <c:v>2.7966437332461475E-3</c:v>
                </c:pt>
                <c:pt idx="20">
                  <c:v>3.1719570951389406E-3</c:v>
                </c:pt>
                <c:pt idx="21">
                  <c:v>3.5524749251303988E-3</c:v>
                </c:pt>
                <c:pt idx="22">
                  <c:v>3.9353591752865529E-3</c:v>
                </c:pt>
                <c:pt idx="23">
                  <c:v>4.3181633076544487E-3</c:v>
                </c:pt>
                <c:pt idx="24">
                  <c:v>4.6988055307334055E-3</c:v>
                </c:pt>
                <c:pt idx="25">
                  <c:v>5.0755364320462897E-3</c:v>
                </c:pt>
                <c:pt idx="26">
                  <c:v>5.4469045031631186E-3</c:v>
                </c:pt>
                <c:pt idx="27">
                  <c:v>5.8117218228405853E-3</c:v>
                </c:pt>
                <c:pt idx="28">
                  <c:v>6.1690312931701134E-3</c:v>
                </c:pt>
                <c:pt idx="29">
                  <c:v>6.5180762218454997E-3</c:v>
                </c:pt>
                <c:pt idx="30">
                  <c:v>6.8582726377569908E-3</c:v>
                </c:pt>
                <c:pt idx="31">
                  <c:v>7.1891844609573837E-3</c:v>
                </c:pt>
                <c:pt idx="32">
                  <c:v>7.5105014798205957E-3</c:v>
                </c:pt>
                <c:pt idx="33">
                  <c:v>7.8220199874603439E-3</c:v>
                </c:pt>
                <c:pt idx="34">
                  <c:v>8.1236258743692166E-3</c:v>
                </c:pt>
                <c:pt idx="35">
                  <c:v>8.4152799493561262E-3</c:v>
                </c:pt>
                <c:pt idx="36">
                  <c:v>8.6970052554481894E-3</c:v>
                </c:pt>
                <c:pt idx="37">
                  <c:v>8.9688761540762021E-3</c:v>
                </c:pt>
                <c:pt idx="38">
                  <c:v>9.2310089645536685E-3</c:v>
                </c:pt>
                <c:pt idx="39">
                  <c:v>9.4835539632301003E-3</c:v>
                </c:pt>
                <c:pt idx="40">
                  <c:v>9.7266885655561304E-3</c:v>
                </c:pt>
                <c:pt idx="41">
                  <c:v>9.9606115332469009E-3</c:v>
                </c:pt>
                <c:pt idx="42">
                  <c:v>1.0185538066924585E-2</c:v>
                </c:pt>
                <c:pt idx="43">
                  <c:v>1.0401695661580291E-2</c:v>
                </c:pt>
                <c:pt idx="44">
                  <c:v>1.060932061768317E-2</c:v>
                </c:pt>
                <c:pt idx="45">
                  <c:v>1.0808655114700531E-2</c:v>
                </c:pt>
                <c:pt idx="46">
                  <c:v>1.0999944766195133E-2</c:v>
                </c:pt>
                <c:pt idx="47">
                  <c:v>1.1183436586612196E-2</c:v>
                </c:pt>
                <c:pt idx="48">
                  <c:v>1.1359377309467468E-2</c:v>
                </c:pt>
                <c:pt idx="49">
                  <c:v>1.1528012005023356E-2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50-4F69-B2CB-067B6FD16D6C}"/>
            </c:ext>
          </c:extLst>
        </c:ser>
        <c:ser>
          <c:idx val="3"/>
          <c:order val="3"/>
          <c:tx>
            <c:strRef>
              <c:f>Gamma!$B$6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Gamma!$C$6:$AZ$6</c:f>
              <c:numCache>
                <c:formatCode>General</c:formatCode>
                <c:ptCount val="50"/>
                <c:pt idx="0">
                  <c:v>2.7634460319906588E-19</c:v>
                </c:pt>
                <c:pt idx="1">
                  <c:v>1.8884525527510622E-10</c:v>
                </c:pt>
                <c:pt idx="2">
                  <c:v>1.5233209793360397E-7</c:v>
                </c:pt>
                <c:pt idx="3">
                  <c:v>4.1442242901485525E-6</c:v>
                </c:pt>
                <c:pt idx="4">
                  <c:v>2.9313355232607502E-5</c:v>
                </c:pt>
                <c:pt idx="5">
                  <c:v>1.0617694808839026E-4</c:v>
                </c:pt>
                <c:pt idx="6">
                  <c:v>2.6300061856659871E-4</c:v>
                </c:pt>
                <c:pt idx="7">
                  <c:v>5.1450381124671068E-4</c:v>
                </c:pt>
                <c:pt idx="8">
                  <c:v>8.6084583659867624E-4</c:v>
                </c:pt>
                <c:pt idx="9">
                  <c:v>1.2919311227899844E-3</c:v>
                </c:pt>
                <c:pt idx="10">
                  <c:v>1.7923798333018394E-3</c:v>
                </c:pt>
                <c:pt idx="11">
                  <c:v>2.3452736849611283E-3</c:v>
                </c:pt>
                <c:pt idx="12">
                  <c:v>2.9344360429402502E-3</c:v>
                </c:pt>
                <c:pt idx="13">
                  <c:v>3.5455794962407088E-3</c:v>
                </c:pt>
                <c:pt idx="14">
                  <c:v>4.1667240165623948E-3</c:v>
                </c:pt>
                <c:pt idx="15">
                  <c:v>4.7881999930811502E-3</c:v>
                </c:pt>
                <c:pt idx="16">
                  <c:v>5.4024437118469371E-3</c:v>
                </c:pt>
                <c:pt idx="17">
                  <c:v>6.0037095379608186E-3</c:v>
                </c:pt>
                <c:pt idx="18">
                  <c:v>6.5877673737268754E-3</c:v>
                </c:pt>
                <c:pt idx="19">
                  <c:v>7.1516197776597028E-3</c:v>
                </c:pt>
                <c:pt idx="20">
                  <c:v>7.6932533872035701E-3</c:v>
                </c:pt>
                <c:pt idx="21">
                  <c:v>8.211428537679262E-3</c:v>
                </c:pt>
                <c:pt idx="22">
                  <c:v>8.7055055394259506E-3</c:v>
                </c:pt>
                <c:pt idx="23">
                  <c:v>9.175303661593779E-3</c:v>
                </c:pt>
                <c:pt idx="24">
                  <c:v>9.6209880929964998E-3</c:v>
                </c:pt>
                <c:pt idx="25">
                  <c:v>1.0042980206275004E-2</c:v>
                </c:pt>
                <c:pt idx="26">
                  <c:v>1.0441886890643732E-2</c:v>
                </c:pt>
                <c:pt idx="27">
                  <c:v>1.0818445296346147E-2</c:v>
                </c:pt>
                <c:pt idx="28">
                  <c:v>1.1173479924798793E-2</c:v>
                </c:pt>
                <c:pt idx="29">
                  <c:v>1.1507869542832887E-2</c:v>
                </c:pt>
                <c:pt idx="30">
                  <c:v>1.1822521874123528E-2</c:v>
                </c:pt>
                <c:pt idx="31">
                  <c:v>1.2118354421281499E-2</c:v>
                </c:pt>
                <c:pt idx="32">
                  <c:v>1.2396280102696821E-2</c:v>
                </c:pt>
                <c:pt idx="33">
                  <c:v>1.2657196657370324E-2</c:v>
                </c:pt>
                <c:pt idx="34">
                  <c:v>1.2901978987950383E-2</c:v>
                </c:pt>
                <c:pt idx="35">
                  <c:v>1.3131473785934397E-2</c:v>
                </c:pt>
                <c:pt idx="36">
                  <c:v>1.3346495921454262E-2</c:v>
                </c:pt>
                <c:pt idx="37">
                  <c:v>1.3547826190039768E-2</c:v>
                </c:pt>
                <c:pt idx="38">
                  <c:v>1.373621009589986E-2</c:v>
                </c:pt>
                <c:pt idx="39">
                  <c:v>1.3912357420204602E-2</c:v>
                </c:pt>
                <c:pt idx="40">
                  <c:v>1.4076942377330435E-2</c:v>
                </c:pt>
                <c:pt idx="41">
                  <c:v>1.4230604205045714E-2</c:v>
                </c:pt>
                <c:pt idx="42">
                  <c:v>1.4373948068553079E-2</c:v>
                </c:pt>
                <c:pt idx="43">
                  <c:v>1.4507546185069763E-2</c:v>
                </c:pt>
                <c:pt idx="44">
                  <c:v>1.4631939096719672E-2</c:v>
                </c:pt>
                <c:pt idx="45">
                  <c:v>1.4747637036123728E-2</c:v>
                </c:pt>
                <c:pt idx="46">
                  <c:v>1.485512134214647E-2</c:v>
                </c:pt>
                <c:pt idx="47">
                  <c:v>1.495484589353129E-2</c:v>
                </c:pt>
                <c:pt idx="48">
                  <c:v>1.5047238536220328E-2</c:v>
                </c:pt>
                <c:pt idx="49">
                  <c:v>1.5132702486471094E-2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0-4F69-B2CB-067B6FD16D6C}"/>
            </c:ext>
          </c:extLst>
        </c:ser>
        <c:ser>
          <c:idx val="4"/>
          <c:order val="4"/>
          <c:tx>
            <c:strRef>
              <c:f>Gamma!$B$7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Gamma!$C$7:$AZ$7</c:f>
              <c:numCache>
                <c:formatCode>General</c:formatCode>
                <c:ptCount val="50"/>
                <c:pt idx="0">
                  <c:v>3.3905822708430672E-12</c:v>
                </c:pt>
                <c:pt idx="1">
                  <c:v>6.1021351588952594E-7</c:v>
                </c:pt>
                <c:pt idx="2">
                  <c:v>3.1551352715495865E-5</c:v>
                </c:pt>
                <c:pt idx="3">
                  <c:v>2.1731776002153875E-4</c:v>
                </c:pt>
                <c:pt idx="4">
                  <c:v>6.7417515498728662E-4</c:v>
                </c:pt>
                <c:pt idx="5">
                  <c:v>1.4096380488958409E-3</c:v>
                </c:pt>
                <c:pt idx="6">
                  <c:v>2.3582196949555496E-3</c:v>
                </c:pt>
                <c:pt idx="7">
                  <c:v>3.4369932223750682E-3</c:v>
                </c:pt>
                <c:pt idx="8">
                  <c:v>4.5738968285542487E-3</c:v>
                </c:pt>
                <c:pt idx="9">
                  <c:v>5.7155372876400001E-3</c:v>
                </c:pt>
                <c:pt idx="10">
                  <c:v>6.826009463911935E-3</c:v>
                </c:pt>
                <c:pt idx="11">
                  <c:v>7.8830868977911566E-3</c:v>
                </c:pt>
                <c:pt idx="12">
                  <c:v>8.8743607353373982E-3</c:v>
                </c:pt>
                <c:pt idx="13">
                  <c:v>9.7941120622852939E-3</c:v>
                </c:pt>
                <c:pt idx="14">
                  <c:v>1.0641003860392568E-2</c:v>
                </c:pt>
                <c:pt idx="15">
                  <c:v>1.1416458885178874E-2</c:v>
                </c:pt>
                <c:pt idx="16">
                  <c:v>1.2123553089968977E-2</c:v>
                </c:pt>
                <c:pt idx="17">
                  <c:v>1.2766276858927545E-2</c:v>
                </c:pt>
                <c:pt idx="18">
                  <c:v>1.3349051209191403E-2</c:v>
                </c:pt>
                <c:pt idx="19">
                  <c:v>1.3876417664915323E-2</c:v>
                </c:pt>
                <c:pt idx="20">
                  <c:v>1.4352844998591066E-2</c:v>
                </c:pt>
                <c:pt idx="21">
                  <c:v>1.4782613826540546E-2</c:v>
                </c:pt>
                <c:pt idx="22">
                  <c:v>1.5169752537754695E-2</c:v>
                </c:pt>
                <c:pt idx="23">
                  <c:v>1.5518006646572246E-2</c:v>
                </c:pt>
                <c:pt idx="24">
                  <c:v>1.5830829535525757E-2</c:v>
                </c:pt>
                <c:pt idx="25">
                  <c:v>1.6111386541389234E-2</c:v>
                </c:pt>
                <c:pt idx="26">
                  <c:v>1.6362567033840338E-2</c:v>
                </c:pt>
                <c:pt idx="27">
                  <c:v>1.6587000956220531E-2</c:v>
                </c:pt>
                <c:pt idx="28">
                  <c:v>1.6787077524387201E-2</c:v>
                </c:pt>
                <c:pt idx="29">
                  <c:v>1.6964964604488351E-2</c:v>
                </c:pt>
                <c:pt idx="30">
                  <c:v>1.7122627843512966E-2</c:v>
                </c:pt>
                <c:pt idx="31">
                  <c:v>1.7261848995509897E-2</c:v>
                </c:pt>
                <c:pt idx="32">
                  <c:v>1.7384243130865843E-2</c:v>
                </c:pt>
                <c:pt idx="33">
                  <c:v>1.7491274576265117E-2</c:v>
                </c:pt>
                <c:pt idx="34">
                  <c:v>1.7584271536254789E-2</c:v>
                </c:pt>
                <c:pt idx="35">
                  <c:v>1.7664439412282244E-2</c:v>
                </c:pt>
                <c:pt idx="36">
                  <c:v>1.7732872874295067E-2</c:v>
                </c:pt>
                <c:pt idx="37">
                  <c:v>1.7790566762095304E-2</c:v>
                </c:pt>
                <c:pt idx="38">
                  <c:v>1.7838425904472294E-2</c:v>
                </c:pt>
                <c:pt idx="39">
                  <c:v>1.7877273947675212E-2</c:v>
                </c:pt>
                <c:pt idx="40">
                  <c:v>1.7907861283719205E-2</c:v>
                </c:pt>
                <c:pt idx="41">
                  <c:v>1.7930872165161663E-2</c:v>
                </c:pt>
                <c:pt idx="42">
                  <c:v>1.7946931087550258E-2</c:v>
                </c:pt>
                <c:pt idx="43">
                  <c:v>1.7956608514533092E-2</c:v>
                </c:pt>
                <c:pt idx="44">
                  <c:v>1.7960426014155231E-2</c:v>
                </c:pt>
                <c:pt idx="45">
                  <c:v>1.7958860868473807E-2</c:v>
                </c:pt>
                <c:pt idx="46">
                  <c:v>1.7952350212507063E-2</c:v>
                </c:pt>
                <c:pt idx="47">
                  <c:v>1.7941294752804218E-2</c:v>
                </c:pt>
                <c:pt idx="48">
                  <c:v>1.7926062110639199E-2</c:v>
                </c:pt>
                <c:pt idx="49">
                  <c:v>1.7906989830010486E-2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0-4F69-B2CB-067B6FD16D6C}"/>
            </c:ext>
          </c:extLst>
        </c:ser>
        <c:ser>
          <c:idx val="5"/>
          <c:order val="5"/>
          <c:tx>
            <c:strRef>
              <c:f>Gamma!$B$8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Gamma!$C$8:$AZ$8</c:f>
              <c:numCache>
                <c:formatCode>General</c:formatCode>
                <c:ptCount val="50"/>
                <c:pt idx="0">
                  <c:v>3.4793158250122273E-7</c:v>
                </c:pt>
                <c:pt idx="1">
                  <c:v>1.8120927891742718E-4</c:v>
                </c:pt>
                <c:pt idx="2">
                  <c:v>1.3351896003566924E-3</c:v>
                </c:pt>
                <c:pt idx="3">
                  <c:v>3.4716293491663342E-3</c:v>
                </c:pt>
                <c:pt idx="4">
                  <c:v>6.002867803556796E-3</c:v>
                </c:pt>
                <c:pt idx="5">
                  <c:v>8.5007827825346466E-3</c:v>
                </c:pt>
                <c:pt idx="6">
                  <c:v>1.0765981199439556E-2</c:v>
                </c:pt>
                <c:pt idx="7">
                  <c:v>1.2734636942227621E-2</c:v>
                </c:pt>
                <c:pt idx="8">
                  <c:v>1.4407206646598529E-2</c:v>
                </c:pt>
                <c:pt idx="9">
                  <c:v>1.5810256172317044E-2</c:v>
                </c:pt>
                <c:pt idx="10">
                  <c:v>1.6978284397553434E-2</c:v>
                </c:pt>
                <c:pt idx="11">
                  <c:v>1.7945716109250363E-2</c:v>
                </c:pt>
                <c:pt idx="12">
                  <c:v>1.8743747156104312E-2</c:v>
                </c:pt>
                <c:pt idx="13">
                  <c:v>1.9399412282466211E-2</c:v>
                </c:pt>
                <c:pt idx="14">
                  <c:v>1.9935618528927151E-2</c:v>
                </c:pt>
                <c:pt idx="15">
                  <c:v>2.0371555415962622E-2</c:v>
                </c:pt>
                <c:pt idx="16">
                  <c:v>2.0723213249242645E-2</c:v>
                </c:pt>
                <c:pt idx="17">
                  <c:v>2.1003892934564884E-2</c:v>
                </c:pt>
                <c:pt idx="18">
                  <c:v>2.1224662079564822E-2</c:v>
                </c:pt>
                <c:pt idx="19">
                  <c:v>2.139474487152776E-2</c:v>
                </c:pt>
                <c:pt idx="20">
                  <c:v>2.1521847441877458E-2</c:v>
                </c:pt>
                <c:pt idx="21">
                  <c:v>2.1612425903485721E-2</c:v>
                </c:pt>
                <c:pt idx="22">
                  <c:v>2.16719056929249E-2</c:v>
                </c:pt>
                <c:pt idx="23">
                  <c:v>2.1704860542054501E-2</c:v>
                </c:pt>
                <c:pt idx="24">
                  <c:v>2.1715158426745509E-2</c:v>
                </c:pt>
                <c:pt idx="25">
                  <c:v>2.1706080697378387E-2</c:v>
                </c:pt>
                <c:pt idx="26">
                  <c:v>2.1680419504537175E-2</c:v>
                </c:pt>
                <c:pt idx="27">
                  <c:v>2.1640557676400829E-2</c:v>
                </c:pt>
                <c:pt idx="28">
                  <c:v>2.1588534400753447E-2</c:v>
                </c:pt>
                <c:pt idx="29">
                  <c:v>2.1526099405862077E-2</c:v>
                </c:pt>
                <c:pt idx="30">
                  <c:v>2.1454757802067691E-2</c:v>
                </c:pt>
                <c:pt idx="31">
                  <c:v>2.1375807319016293E-2</c:v>
                </c:pt>
                <c:pt idx="32">
                  <c:v>2.1290369332571966E-2</c:v>
                </c:pt>
                <c:pt idx="33">
                  <c:v>2.1199414803756339E-2</c:v>
                </c:pt>
                <c:pt idx="34">
                  <c:v>2.1103786035546329E-2</c:v>
                </c:pt>
                <c:pt idx="35">
                  <c:v>2.1004214980664671E-2</c:v>
                </c:pt>
                <c:pt idx="36">
                  <c:v>2.0901338695515647E-2</c:v>
                </c:pt>
                <c:pt idx="37">
                  <c:v>2.0795712424927514E-2</c:v>
                </c:pt>
                <c:pt idx="38">
                  <c:v>2.0687820713656921E-2</c:v>
                </c:pt>
                <c:pt idx="39">
                  <c:v>2.0578086869191912E-2</c:v>
                </c:pt>
                <c:pt idx="40">
                  <c:v>2.0466881042717499E-2</c:v>
                </c:pt>
                <c:pt idx="41">
                  <c:v>2.0354527148391106E-2</c:v>
                </c:pt>
                <c:pt idx="42">
                  <c:v>2.0241308803114234E-2</c:v>
                </c:pt>
                <c:pt idx="43">
                  <c:v>2.0127474438042563E-2</c:v>
                </c:pt>
                <c:pt idx="44">
                  <c:v>2.0013241707772886E-2</c:v>
                </c:pt>
                <c:pt idx="45">
                  <c:v>1.9898801302388473E-2</c:v>
                </c:pt>
                <c:pt idx="46">
                  <c:v>1.9784320250465382E-2</c:v>
                </c:pt>
                <c:pt idx="47">
                  <c:v>1.966994478704602E-2</c:v>
                </c:pt>
                <c:pt idx="48">
                  <c:v>1.9555802848917388E-2</c:v>
                </c:pt>
                <c:pt idx="49">
                  <c:v>1.9442006249843845E-2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0-4F69-B2CB-067B6FD16D6C}"/>
            </c:ext>
          </c:extLst>
        </c:ser>
        <c:ser>
          <c:idx val="6"/>
          <c:order val="6"/>
          <c:tx>
            <c:strRef>
              <c:f>Gamma!$B$9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Gamma!$C$9:$AZ$9</c:f>
              <c:numCache>
                <c:formatCode>General</c:formatCode>
                <c:ptCount val="50"/>
                <c:pt idx="0">
                  <c:v>6.3723381042931444E-4</c:v>
                </c:pt>
                <c:pt idx="1">
                  <c:v>7.2202698909513219E-3</c:v>
                </c:pt>
                <c:pt idx="2">
                  <c:v>1.4851555899595272E-2</c:v>
                </c:pt>
                <c:pt idx="3">
                  <c:v>2.0402828136932075E-2</c:v>
                </c:pt>
                <c:pt idx="4">
                  <c:v>2.40587247501736E-2</c:v>
                </c:pt>
                <c:pt idx="5">
                  <c:v>2.6396354113062119E-2</c:v>
                </c:pt>
                <c:pt idx="6">
                  <c:v>2.7859621858699932E-2</c:v>
                </c:pt>
                <c:pt idx="7">
                  <c:v>2.8743231871235137E-2</c:v>
                </c:pt>
                <c:pt idx="8">
                  <c:v>2.92381675347584E-2</c:v>
                </c:pt>
                <c:pt idx="9">
                  <c:v>2.9469063817634214E-2</c:v>
                </c:pt>
                <c:pt idx="10">
                  <c:v>2.9518562264452687E-2</c:v>
                </c:pt>
                <c:pt idx="11">
                  <c:v>2.9442441919150998E-2</c:v>
                </c:pt>
                <c:pt idx="12">
                  <c:v>2.9278998726647597E-2</c:v>
                </c:pt>
                <c:pt idx="13">
                  <c:v>2.9054934010821321E-2</c:v>
                </c:pt>
                <c:pt idx="14">
                  <c:v>2.8789117348416975E-2</c:v>
                </c:pt>
                <c:pt idx="15">
                  <c:v>2.8495036998019165E-2</c:v>
                </c:pt>
                <c:pt idx="16">
                  <c:v>2.8182425472280361E-2</c:v>
                </c:pt>
                <c:pt idx="17">
                  <c:v>2.7858356943680409E-2</c:v>
                </c:pt>
                <c:pt idx="18">
                  <c:v>2.7528000212608917E-2</c:v>
                </c:pt>
                <c:pt idx="19">
                  <c:v>2.7195143108108638E-2</c:v>
                </c:pt>
                <c:pt idx="20">
                  <c:v>2.6862562717162666E-2</c:v>
                </c:pt>
                <c:pt idx="21">
                  <c:v>2.6532290034906311E-2</c:v>
                </c:pt>
                <c:pt idx="22">
                  <c:v>2.6205801291540386E-2</c:v>
                </c:pt>
                <c:pt idx="23">
                  <c:v>2.5884157693900157E-2</c:v>
                </c:pt>
                <c:pt idx="24">
                  <c:v>2.5568108439573696E-2</c:v>
                </c:pt>
                <c:pt idx="25">
                  <c:v>2.5258167293134105E-2</c:v>
                </c:pt>
                <c:pt idx="26">
                  <c:v>2.4954669937826211E-2</c:v>
                </c:pt>
                <c:pt idx="27">
                  <c:v>2.4657817217182819E-2</c:v>
                </c:pt>
                <c:pt idx="28">
                  <c:v>2.4367707931312481E-2</c:v>
                </c:pt>
                <c:pt idx="29">
                  <c:v>2.4084363839664259E-2</c:v>
                </c:pt>
                <c:pt idx="30">
                  <c:v>2.3807748806682828E-2</c:v>
                </c:pt>
                <c:pt idx="31">
                  <c:v>2.3537783516410442E-2</c:v>
                </c:pt>
                <c:pt idx="32">
                  <c:v>2.3274356814561987E-2</c:v>
                </c:pt>
                <c:pt idx="33">
                  <c:v>2.3017334469579567E-2</c:v>
                </c:pt>
                <c:pt idx="34">
                  <c:v>2.2766565948565552E-2</c:v>
                </c:pt>
                <c:pt idx="35">
                  <c:v>2.2521889659583717E-2</c:v>
                </c:pt>
                <c:pt idx="36">
                  <c:v>2.2283137004427529E-2</c:v>
                </c:pt>
                <c:pt idx="37">
                  <c:v>2.2050135505545715E-2</c:v>
                </c:pt>
                <c:pt idx="38">
                  <c:v>2.1822711210221692E-2</c:v>
                </c:pt>
                <c:pt idx="39">
                  <c:v>2.1600690529166151E-2</c:v>
                </c:pt>
                <c:pt idx="40">
                  <c:v>2.1383901631658712E-2</c:v>
                </c:pt>
                <c:pt idx="41">
                  <c:v>2.1172175492530171E-2</c:v>
                </c:pt>
                <c:pt idx="42">
                  <c:v>2.0965346665598798E-2</c:v>
                </c:pt>
                <c:pt idx="43">
                  <c:v>2.0763253842171595E-2</c:v>
                </c:pt>
                <c:pt idx="44">
                  <c:v>2.0565740240783316E-2</c:v>
                </c:pt>
                <c:pt idx="45">
                  <c:v>2.0372653864638709E-2</c:v>
                </c:pt>
                <c:pt idx="46">
                  <c:v>2.0183847655619067E-2</c:v>
                </c:pt>
                <c:pt idx="47">
                  <c:v>1.9999179567735635E-2</c:v>
                </c:pt>
                <c:pt idx="48">
                  <c:v>1.9818512578197525E-2</c:v>
                </c:pt>
                <c:pt idx="49">
                  <c:v>1.964171465053164E-2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50-4F69-B2CB-067B6FD16D6C}"/>
            </c:ext>
          </c:extLst>
        </c:ser>
        <c:ser>
          <c:idx val="7"/>
          <c:order val="7"/>
          <c:tx>
            <c:strRef>
              <c:f>Gamma!$B$10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Gamma!$C$10:$AZ$10</c:f>
              <c:numCache>
                <c:formatCode>General</c:formatCode>
                <c:ptCount val="50"/>
                <c:pt idx="0">
                  <c:v>3.8441261874572009E-2</c:v>
                </c:pt>
                <c:pt idx="1">
                  <c:v>5.2414503254015789E-2</c:v>
                </c:pt>
                <c:pt idx="2">
                  <c:v>5.3227540948401569E-2</c:v>
                </c:pt>
                <c:pt idx="3">
                  <c:v>5.1379281037838453E-2</c:v>
                </c:pt>
                <c:pt idx="4">
                  <c:v>4.9024161779533067E-2</c:v>
                </c:pt>
                <c:pt idx="5">
                  <c:v>4.670622857015766E-2</c:v>
                </c:pt>
                <c:pt idx="6">
                  <c:v>4.4567221413124185E-2</c:v>
                </c:pt>
                <c:pt idx="7">
                  <c:v>4.2631739576590874E-2</c:v>
                </c:pt>
                <c:pt idx="8">
                  <c:v>4.0888684659269085E-2</c:v>
                </c:pt>
                <c:pt idx="9">
                  <c:v>3.9317306319057527E-2</c:v>
                </c:pt>
                <c:pt idx="10">
                  <c:v>3.7895932961868335E-2</c:v>
                </c:pt>
                <c:pt idx="11">
                  <c:v>3.6604787028204494E-2</c:v>
                </c:pt>
                <c:pt idx="12">
                  <c:v>3.5426685718783324E-2</c:v>
                </c:pt>
                <c:pt idx="13">
                  <c:v>3.4346990827101728E-2</c:v>
                </c:pt>
                <c:pt idx="14">
                  <c:v>3.335331829105008E-2</c:v>
                </c:pt>
                <c:pt idx="15">
                  <c:v>3.2435200235792903E-2</c:v>
                </c:pt>
                <c:pt idx="16">
                  <c:v>3.1583769019488048E-2</c:v>
                </c:pt>
                <c:pt idx="17">
                  <c:v>3.0791484240359053E-2</c:v>
                </c:pt>
                <c:pt idx="18">
                  <c:v>3.0051904889462275E-2</c:v>
                </c:pt>
                <c:pt idx="19">
                  <c:v>2.9359502161316494E-2</c:v>
                </c:pt>
                <c:pt idx="20">
                  <c:v>2.8709506660872505E-2</c:v>
                </c:pt>
                <c:pt idx="21">
                  <c:v>2.8097783871693975E-2</c:v>
                </c:pt>
                <c:pt idx="22">
                  <c:v>2.7520732523333185E-2</c:v>
                </c:pt>
                <c:pt idx="23">
                  <c:v>2.6975201402602338E-2</c:v>
                </c:pt>
                <c:pt idx="24">
                  <c:v>2.6458420997554591E-2</c:v>
                </c:pt>
                <c:pt idx="25">
                  <c:v>2.5967947082823985E-2</c:v>
                </c:pt>
                <c:pt idx="26">
                  <c:v>2.5501613943872944E-2</c:v>
                </c:pt>
                <c:pt idx="27">
                  <c:v>2.5057495409369166E-2</c:v>
                </c:pt>
                <c:pt idx="28">
                  <c:v>2.4633872234648736E-2</c:v>
                </c:pt>
                <c:pt idx="29">
                  <c:v>2.4229204673908024E-2</c:v>
                </c:pt>
                <c:pt idx="30">
                  <c:v>2.3842109310802242E-2</c:v>
                </c:pt>
                <c:pt idx="31">
                  <c:v>2.3471339399977437E-2</c:v>
                </c:pt>
                <c:pt idx="32">
                  <c:v>2.3115768116465291E-2</c:v>
                </c:pt>
                <c:pt idx="33">
                  <c:v>2.2774374224258393E-2</c:v>
                </c:pt>
                <c:pt idx="34">
                  <c:v>2.2446229766323472E-2</c:v>
                </c:pt>
                <c:pt idx="35">
                  <c:v>2.2130489450894245E-2</c:v>
                </c:pt>
                <c:pt idx="36">
                  <c:v>2.1826381467059425E-2</c:v>
                </c:pt>
                <c:pt idx="37">
                  <c:v>2.1533199509483875E-2</c:v>
                </c:pt>
                <c:pt idx="38">
                  <c:v>2.1250295829948276E-2</c:v>
                </c:pt>
                <c:pt idx="39">
                  <c:v>2.0977075164115507E-2</c:v>
                </c:pt>
                <c:pt idx="40">
                  <c:v>2.0712989406975881E-2</c:v>
                </c:pt>
                <c:pt idx="41">
                  <c:v>2.045753293092302E-2</c:v>
                </c:pt>
                <c:pt idx="42">
                  <c:v>2.0210238457259114E-2</c:v>
                </c:pt>
                <c:pt idx="43">
                  <c:v>1.9970673405828365E-2</c:v>
                </c:pt>
                <c:pt idx="44">
                  <c:v>1.9738436658990017E-2</c:v>
                </c:pt>
                <c:pt idx="45">
                  <c:v>1.9513155685712526E-2</c:v>
                </c:pt>
                <c:pt idx="46">
                  <c:v>1.9294483979555334E-2</c:v>
                </c:pt>
                <c:pt idx="47">
                  <c:v>1.9082098770989597E-2</c:v>
                </c:pt>
                <c:pt idx="48">
                  <c:v>1.8875698980125085E-2</c:v>
                </c:pt>
                <c:pt idx="49">
                  <c:v>1.8675003380643759E-2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50-4F69-B2CB-067B6FD16D6C}"/>
            </c:ext>
          </c:extLst>
        </c:ser>
        <c:ser>
          <c:idx val="8"/>
          <c:order val="8"/>
          <c:tx>
            <c:strRef>
              <c:f>Gamma!$B$11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Gamma!$C$11:$AZ$11</c:f>
              <c:numCache>
                <c:formatCode>General</c:formatCode>
                <c:ptCount val="50"/>
                <c:pt idx="0">
                  <c:v>0.12601477970020519</c:v>
                </c:pt>
                <c:pt idx="1">
                  <c:v>8.9005717478522636E-2</c:v>
                </c:pt>
                <c:pt idx="2">
                  <c:v>7.2591153003284115E-2</c:v>
                </c:pt>
                <c:pt idx="3">
                  <c:v>6.2795098352771278E-2</c:v>
                </c:pt>
                <c:pt idx="4">
                  <c:v>5.6102492608372502E-2</c:v>
                </c:pt>
                <c:pt idx="5">
                  <c:v>5.1156750826999199E-2</c:v>
                </c:pt>
                <c:pt idx="6">
                  <c:v>4.730869592301469E-2</c:v>
                </c:pt>
                <c:pt idx="7">
                  <c:v>4.4203475996246966E-2</c:v>
                </c:pt>
                <c:pt idx="8">
                  <c:v>4.1628578335024279E-2</c:v>
                </c:pt>
                <c:pt idx="9">
                  <c:v>3.9447933090788895E-2</c:v>
                </c:pt>
                <c:pt idx="10">
                  <c:v>3.7569838573154178E-2</c:v>
                </c:pt>
                <c:pt idx="11">
                  <c:v>3.5929937958321799E-2</c:v>
                </c:pt>
                <c:pt idx="12">
                  <c:v>3.4481554212551765E-2</c:v>
                </c:pt>
                <c:pt idx="13">
                  <c:v>3.3189897401270013E-2</c:v>
                </c:pt>
                <c:pt idx="14">
                  <c:v>3.2028434895757518E-2</c:v>
                </c:pt>
                <c:pt idx="15">
                  <c:v>3.0976530532551543E-2</c:v>
                </c:pt>
                <c:pt idx="16">
                  <c:v>3.0017859681733601E-2</c:v>
                </c:pt>
                <c:pt idx="17">
                  <c:v>2.9139315788165681E-2</c:v>
                </c:pt>
                <c:pt idx="18">
                  <c:v>2.8330237855564874E-2</c:v>
                </c:pt>
                <c:pt idx="19">
                  <c:v>2.7581853166270594E-2</c:v>
                </c:pt>
                <c:pt idx="20">
                  <c:v>2.6886867770049713E-2</c:v>
                </c:pt>
                <c:pt idx="21">
                  <c:v>2.6239160557133951E-2</c:v>
                </c:pt>
                <c:pt idx="22">
                  <c:v>2.5633551306602057E-2</c:v>
                </c:pt>
                <c:pt idx="23">
                  <c:v>2.5065622456674288E-2</c:v>
                </c:pt>
                <c:pt idx="24">
                  <c:v>2.4531580483881502E-2</c:v>
                </c:pt>
                <c:pt idx="25">
                  <c:v>2.4028146890383732E-2</c:v>
                </c:pt>
                <c:pt idx="26">
                  <c:v>2.3552471603653233E-2</c:v>
                </c:pt>
                <c:pt idx="27">
                  <c:v>2.3102063538126733E-2</c:v>
                </c:pt>
                <c:pt idx="28">
                  <c:v>2.2674734438440241E-2</c:v>
                </c:pt>
                <c:pt idx="29">
                  <c:v>2.2268553102305574E-2</c:v>
                </c:pt>
                <c:pt idx="30">
                  <c:v>2.1881807788990112E-2</c:v>
                </c:pt>
                <c:pt idx="31">
                  <c:v>2.1512975137699085E-2</c:v>
                </c:pt>
                <c:pt idx="32">
                  <c:v>2.116069430393883E-2</c:v>
                </c:pt>
                <c:pt idx="33">
                  <c:v>2.0823745309046258E-2</c:v>
                </c:pt>
                <c:pt idx="34">
                  <c:v>2.0501030814938835E-2</c:v>
                </c:pt>
                <c:pt idx="35">
                  <c:v>2.0191560701439622E-2</c:v>
                </c:pt>
                <c:pt idx="36">
                  <c:v>1.9894438950596498E-2</c:v>
                </c:pt>
                <c:pt idx="37">
                  <c:v>1.9608852440866732E-2</c:v>
                </c:pt>
                <c:pt idx="38">
                  <c:v>1.9334061330894017E-2</c:v>
                </c:pt>
                <c:pt idx="39">
                  <c:v>1.9069390773026208E-2</c:v>
                </c:pt>
                <c:pt idx="40">
                  <c:v>1.8814223744540053E-2</c:v>
                </c:pt>
                <c:pt idx="41">
                  <c:v>1.8567994822622547E-2</c:v>
                </c:pt>
                <c:pt idx="42">
                  <c:v>1.8330184759670066E-2</c:v>
                </c:pt>
                <c:pt idx="43">
                  <c:v>1.8100315740050391E-2</c:v>
                </c:pt>
                <c:pt idx="44">
                  <c:v>1.7877947219388072E-2</c:v>
                </c:pt>
                <c:pt idx="45">
                  <c:v>1.7662672263648489E-2</c:v>
                </c:pt>
                <c:pt idx="46">
                  <c:v>1.7454114318564019E-2</c:v>
                </c:pt>
                <c:pt idx="47">
                  <c:v>1.7251924350851457E-2</c:v>
                </c:pt>
                <c:pt idx="48">
                  <c:v>1.7055778311675065E-2</c:v>
                </c:pt>
                <c:pt idx="49">
                  <c:v>1.6865374880276125E-2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B50-4F69-B2CB-067B6FD16D6C}"/>
            </c:ext>
          </c:extLst>
        </c:ser>
        <c:ser>
          <c:idx val="9"/>
          <c:order val="9"/>
          <c:tx>
            <c:strRef>
              <c:f>Gamma!$B$12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Gamma!$C$12:$AZ$12</c:f>
              <c:numCache>
                <c:formatCode>General</c:formatCode>
                <c:ptCount val="50"/>
                <c:pt idx="0">
                  <c:v>3.3926069444668298E-2</c:v>
                </c:pt>
                <c:pt idx="1">
                  <c:v>4.3449753071981685E-2</c:v>
                </c:pt>
                <c:pt idx="2">
                  <c:v>4.3212117686085329E-2</c:v>
                </c:pt>
                <c:pt idx="3">
                  <c:v>4.1278492158452362E-2</c:v>
                </c:pt>
                <c:pt idx="4">
                  <c:v>3.9140464152421513E-2</c:v>
                </c:pt>
                <c:pt idx="5">
                  <c:v>3.7134472308525492E-2</c:v>
                </c:pt>
                <c:pt idx="6">
                  <c:v>3.5328302741473985E-2</c:v>
                </c:pt>
                <c:pt idx="7">
                  <c:v>3.3718545937390328E-2</c:v>
                </c:pt>
                <c:pt idx="8">
                  <c:v>3.2283704705699044E-2</c:v>
                </c:pt>
                <c:pt idx="9">
                  <c:v>3.0999845988993833E-2</c:v>
                </c:pt>
                <c:pt idx="10">
                  <c:v>2.9845154867104241E-2</c:v>
                </c:pt>
                <c:pt idx="11">
                  <c:v>2.8800962084896738E-2</c:v>
                </c:pt>
                <c:pt idx="12">
                  <c:v>2.7851649216456921E-2</c:v>
                </c:pt>
                <c:pt idx="13">
                  <c:v>2.6984239596275317E-2</c:v>
                </c:pt>
                <c:pt idx="14">
                  <c:v>2.6187949205915512E-2</c:v>
                </c:pt>
                <c:pt idx="15">
                  <c:v>2.5453784212774371E-2</c:v>
                </c:pt>
                <c:pt idx="16">
                  <c:v>2.4774205117917496E-2</c:v>
                </c:pt>
                <c:pt idx="17">
                  <c:v>2.4142854638570039E-2</c:v>
                </c:pt>
                <c:pt idx="18">
                  <c:v>2.3554339843767848E-2</c:v>
                </c:pt>
                <c:pt idx="19">
                  <c:v>2.3004058320651034E-2</c:v>
                </c:pt>
                <c:pt idx="20">
                  <c:v>2.2488059330242807E-2</c:v>
                </c:pt>
                <c:pt idx="21">
                  <c:v>2.2002932529617505E-2</c:v>
                </c:pt>
                <c:pt idx="22">
                  <c:v>2.1545718365481119E-2</c:v>
                </c:pt>
                <c:pt idx="23">
                  <c:v>2.1113835528676544E-2</c:v>
                </c:pt>
                <c:pt idx="24">
                  <c:v>2.0705021885851421E-2</c:v>
                </c:pt>
                <c:pt idx="25">
                  <c:v>2.0317286105818386E-2</c:v>
                </c:pt>
                <c:pt idx="26">
                  <c:v>1.994886781655179E-2</c:v>
                </c:pt>
                <c:pt idx="27">
                  <c:v>1.9598204603990407E-2</c:v>
                </c:pt>
                <c:pt idx="28">
                  <c:v>1.9263904528874987E-2</c:v>
                </c:pt>
                <c:pt idx="29">
                  <c:v>1.8944723118837964E-2</c:v>
                </c:pt>
                <c:pt idx="30">
                  <c:v>1.8639544009979449E-2</c:v>
                </c:pt>
                <c:pt idx="31">
                  <c:v>1.83473625804902E-2</c:v>
                </c:pt>
                <c:pt idx="32">
                  <c:v>1.8067272050067282E-2</c:v>
                </c:pt>
                <c:pt idx="33">
                  <c:v>1.7798451621625064E-2</c:v>
                </c:pt>
                <c:pt idx="34">
                  <c:v>1.7540156322711244E-2</c:v>
                </c:pt>
                <c:pt idx="35">
                  <c:v>1.7291708268073674E-2</c:v>
                </c:pt>
                <c:pt idx="36">
                  <c:v>1.7052489115768971E-2</c:v>
                </c:pt>
                <c:pt idx="37">
                  <c:v>1.6821933529941713E-2</c:v>
                </c:pt>
                <c:pt idx="38">
                  <c:v>1.6599523496140179E-2</c:v>
                </c:pt>
                <c:pt idx="39">
                  <c:v>1.6384783361470954E-2</c:v>
                </c:pt>
                <c:pt idx="40">
                  <c:v>1.6177275493342708E-2</c:v>
                </c:pt>
                <c:pt idx="41">
                  <c:v>1.597659646803061E-2</c:v>
                </c:pt>
                <c:pt idx="42">
                  <c:v>1.5782373714603122E-2</c:v>
                </c:pt>
                <c:pt idx="43">
                  <c:v>1.5594262551517697E-2</c:v>
                </c:pt>
                <c:pt idx="44">
                  <c:v>1.5411943562904132E-2</c:v>
                </c:pt>
                <c:pt idx="45">
                  <c:v>1.5235120269603136E-2</c:v>
                </c:pt>
                <c:pt idx="46">
                  <c:v>1.5063517056724691E-2</c:v>
                </c:pt>
                <c:pt idx="47">
                  <c:v>1.4896877325082502E-2</c:v>
                </c:pt>
                <c:pt idx="48">
                  <c:v>1.4734961838547283E-2</c:v>
                </c:pt>
                <c:pt idx="49">
                  <c:v>1.4577547243302309E-2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B50-4F69-B2CB-067B6FD16D6C}"/>
            </c:ext>
          </c:extLst>
        </c:ser>
        <c:ser>
          <c:idx val="10"/>
          <c:order val="10"/>
          <c:tx>
            <c:strRef>
              <c:f>Gamma!$B$13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Gamma!$C$13:$AZ$13</c:f>
              <c:numCache>
                <c:formatCode>General</c:formatCode>
                <c:ptCount val="50"/>
                <c:pt idx="0">
                  <c:v>1.0577125055269184E-3</c:v>
                </c:pt>
                <c:pt idx="1">
                  <c:v>7.2385257929532577E-3</c:v>
                </c:pt>
                <c:pt idx="2">
                  <c:v>1.2585716288856257E-2</c:v>
                </c:pt>
                <c:pt idx="3">
                  <c:v>1.5896481134192911E-2</c:v>
                </c:pt>
                <c:pt idx="4">
                  <c:v>1.7823213843019742E-2</c:v>
                </c:pt>
                <c:pt idx="5">
                  <c:v>1.8908593172743498E-2</c:v>
                </c:pt>
                <c:pt idx="6">
                  <c:v>1.9483332622964502E-2</c:v>
                </c:pt>
                <c:pt idx="7">
                  <c:v>1.9742547542846395E-2</c:v>
                </c:pt>
                <c:pt idx="8">
                  <c:v>1.9803191408745976E-2</c:v>
                </c:pt>
                <c:pt idx="9">
                  <c:v>1.9737190221859435E-2</c:v>
                </c:pt>
                <c:pt idx="10">
                  <c:v>1.9589929669154654E-2</c:v>
                </c:pt>
                <c:pt idx="11">
                  <c:v>1.9390711432614016E-2</c:v>
                </c:pt>
                <c:pt idx="12">
                  <c:v>1.9158821981085879E-2</c:v>
                </c:pt>
                <c:pt idx="13">
                  <c:v>1.890715513011423E-2</c:v>
                </c:pt>
                <c:pt idx="14">
                  <c:v>1.8644433631487912E-2</c:v>
                </c:pt>
                <c:pt idx="15">
                  <c:v>1.8376605941409354E-2</c:v>
                </c:pt>
                <c:pt idx="16">
                  <c:v>1.8107744393202695E-2</c:v>
                </c:pt>
                <c:pt idx="17">
                  <c:v>1.7840634519514936E-2</c:v>
                </c:pt>
                <c:pt idx="18">
                  <c:v>1.7577168740926678E-2</c:v>
                </c:pt>
                <c:pt idx="19">
                  <c:v>1.7318613598151577E-2</c:v>
                </c:pt>
                <c:pt idx="20">
                  <c:v>1.7065793729784985E-2</c:v>
                </c:pt>
                <c:pt idx="21">
                  <c:v>1.6819220121194238E-2</c:v>
                </c:pt>
                <c:pt idx="22">
                  <c:v>1.6579180486053939E-2</c:v>
                </c:pt>
                <c:pt idx="23">
                  <c:v>1.6345803566445494E-2</c:v>
                </c:pt>
                <c:pt idx="24">
                  <c:v>1.6119105248291538E-2</c:v>
                </c:pt>
                <c:pt idx="25">
                  <c:v>1.5899021857614021E-2</c:v>
                </c:pt>
                <c:pt idx="26">
                  <c:v>1.5685434330171975E-2</c:v>
                </c:pt>
                <c:pt idx="27">
                  <c:v>1.5478185825660093E-2</c:v>
                </c:pt>
                <c:pt idx="28">
                  <c:v>1.5277094596122202E-2</c:v>
                </c:pt>
                <c:pt idx="29">
                  <c:v>1.5081963394812055E-2</c:v>
                </c:pt>
                <c:pt idx="30">
                  <c:v>1.4892586347940781E-2</c:v>
                </c:pt>
                <c:pt idx="31">
                  <c:v>1.4708753956283844E-2</c:v>
                </c:pt>
                <c:pt idx="32">
                  <c:v>1.4530256712505492E-2</c:v>
                </c:pt>
                <c:pt idx="33">
                  <c:v>1.4356887690516983E-2</c:v>
                </c:pt>
                <c:pt idx="34">
                  <c:v>1.418844436977096E-2</c:v>
                </c:pt>
                <c:pt idx="35">
                  <c:v>1.4024729889521911E-2</c:v>
                </c:pt>
                <c:pt idx="36">
                  <c:v>1.3865553878423267E-2</c:v>
                </c:pt>
                <c:pt idx="37">
                  <c:v>1.3710732968263587E-2</c:v>
                </c:pt>
                <c:pt idx="38">
                  <c:v>1.3560091073557519E-2</c:v>
                </c:pt>
                <c:pt idx="39">
                  <c:v>1.3413459498534527E-2</c:v>
                </c:pt>
                <c:pt idx="40">
                  <c:v>1.3270676917971298E-2</c:v>
                </c:pt>
                <c:pt idx="41">
                  <c:v>1.3131589266965031E-2</c:v>
                </c:pt>
                <c:pt idx="42">
                  <c:v>1.2996049566180071E-2</c:v>
                </c:pt>
                <c:pt idx="43">
                  <c:v>1.2863917702614122E-2</c:v>
                </c:pt>
                <c:pt idx="44">
                  <c:v>1.2735060181003694E-2</c:v>
                </c:pt>
                <c:pt idx="45">
                  <c:v>1.260934985723686E-2</c:v>
                </c:pt>
                <c:pt idx="46">
                  <c:v>1.2486665662279538E-2</c:v>
                </c:pt>
                <c:pt idx="47">
                  <c:v>1.236689232293476E-2</c:v>
                </c:pt>
                <c:pt idx="48">
                  <c:v>1.2249920084082938E-2</c:v>
                </c:pt>
                <c:pt idx="49">
                  <c:v>1.2135644435772964E-2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B50-4F69-B2CB-067B6FD16D6C}"/>
            </c:ext>
          </c:extLst>
        </c:ser>
        <c:ser>
          <c:idx val="11"/>
          <c:order val="11"/>
          <c:tx>
            <c:strRef>
              <c:f>Gamma!$B$14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Gamma!$C$14:$AZ$14</c:f>
              <c:numCache>
                <c:formatCode>General</c:formatCode>
                <c:ptCount val="50"/>
                <c:pt idx="0">
                  <c:v>5.0939285700327121E-6</c:v>
                </c:pt>
                <c:pt idx="1">
                  <c:v>4.7518343000644376E-4</c:v>
                </c:pt>
                <c:pt idx="2">
                  <c:v>1.9736239926009679E-3</c:v>
                </c:pt>
                <c:pt idx="3">
                  <c:v>3.852788206715317E-3</c:v>
                </c:pt>
                <c:pt idx="4">
                  <c:v>5.6093527215653792E-3</c:v>
                </c:pt>
                <c:pt idx="5">
                  <c:v>7.0830615084530825E-3</c:v>
                </c:pt>
                <c:pt idx="6">
                  <c:v>8.2651375479295131E-3</c:v>
                </c:pt>
                <c:pt idx="7">
                  <c:v>9.1940914034214817E-3</c:v>
                </c:pt>
                <c:pt idx="8">
                  <c:v>9.9164315716425786E-3</c:v>
                </c:pt>
                <c:pt idx="9">
                  <c:v>1.0474112849205521E-2</c:v>
                </c:pt>
                <c:pt idx="10">
                  <c:v>1.0901657745085901E-2</c:v>
                </c:pt>
                <c:pt idx="11">
                  <c:v>1.1226469401526022E-2</c:v>
                </c:pt>
                <c:pt idx="12">
                  <c:v>1.1470001117776157E-2</c:v>
                </c:pt>
                <c:pt idx="13">
                  <c:v>1.1648987085762071E-2</c:v>
                </c:pt>
                <c:pt idx="14">
                  <c:v>1.1776498483790461E-2</c:v>
                </c:pt>
                <c:pt idx="15">
                  <c:v>1.186278531460724E-2</c:v>
                </c:pt>
                <c:pt idx="16">
                  <c:v>1.1915926788068035E-2</c:v>
                </c:pt>
                <c:pt idx="17">
                  <c:v>1.1942327297960445E-2</c:v>
                </c:pt>
                <c:pt idx="18">
                  <c:v>1.1947093147551819E-2</c:v>
                </c:pt>
                <c:pt idx="19">
                  <c:v>1.1934318929118738E-2</c:v>
                </c:pt>
                <c:pt idx="20">
                  <c:v>1.190730597641447E-2</c:v>
                </c:pt>
                <c:pt idx="21">
                  <c:v>1.1868729820784501E-2</c:v>
                </c:pt>
                <c:pt idx="22">
                  <c:v>1.1820769286030574E-2</c:v>
                </c:pt>
                <c:pt idx="23">
                  <c:v>1.1765206612618236E-2</c:v>
                </c:pt>
                <c:pt idx="24">
                  <c:v>1.1703505592063302E-2</c:v>
                </c:pt>
                <c:pt idx="25">
                  <c:v>1.1636872915305791E-2</c:v>
                </c:pt>
                <c:pt idx="26">
                  <c:v>1.1566306630752733E-2</c:v>
                </c:pt>
                <c:pt idx="27">
                  <c:v>1.1492634643367921E-2</c:v>
                </c:pt>
                <c:pt idx="28">
                  <c:v>1.1416545472987236E-2</c:v>
                </c:pt>
                <c:pt idx="29">
                  <c:v>1.1338612960202376E-2</c:v>
                </c:pt>
                <c:pt idx="30">
                  <c:v>1.1259316212514617E-2</c:v>
                </c:pt>
                <c:pt idx="31">
                  <c:v>1.1179055786390299E-2</c:v>
                </c:pt>
                <c:pt idx="32">
                  <c:v>1.1098166876515261E-2</c:v>
                </c:pt>
                <c:pt idx="33">
                  <c:v>1.1016930113157526E-2</c:v>
                </c:pt>
                <c:pt idx="34">
                  <c:v>1.0935580438387377E-2</c:v>
                </c:pt>
                <c:pt idx="35">
                  <c:v>1.0854314431909349E-2</c:v>
                </c:pt>
                <c:pt idx="36">
                  <c:v>1.0773296380013269E-2</c:v>
                </c:pt>
                <c:pt idx="37">
                  <c:v>1.0692663321153491E-2</c:v>
                </c:pt>
                <c:pt idx="38">
                  <c:v>1.0612529254820119E-2</c:v>
                </c:pt>
                <c:pt idx="39">
                  <c:v>1.0532988663603709E-2</c:v>
                </c:pt>
                <c:pt idx="40">
                  <c:v>1.045411946936373E-2</c:v>
                </c:pt>
                <c:pt idx="41">
                  <c:v>1.0375985521439403E-2</c:v>
                </c:pt>
                <c:pt idx="42">
                  <c:v>1.0298638696556605E-2</c:v>
                </c:pt>
                <c:pt idx="43">
                  <c:v>1.0222120675465525E-2</c:v>
                </c:pt>
                <c:pt idx="44">
                  <c:v>1.01464644496065E-2</c:v>
                </c:pt>
                <c:pt idx="45">
                  <c:v>1.0071695601638883E-2</c:v>
                </c:pt>
                <c:pt idx="46">
                  <c:v>9.9978333960094642E-3</c:v>
                </c:pt>
                <c:pt idx="47">
                  <c:v>9.9248917095149988E-3</c:v>
                </c:pt>
                <c:pt idx="48">
                  <c:v>9.8528798267401019E-3</c:v>
                </c:pt>
                <c:pt idx="49">
                  <c:v>9.7818031211006871E-3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50-4F69-B2CB-067B6FD16D6C}"/>
            </c:ext>
          </c:extLst>
        </c:ser>
        <c:ser>
          <c:idx val="12"/>
          <c:order val="12"/>
          <c:tx>
            <c:strRef>
              <c:f>Gamma!$B$15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Gamma!$C$15:$AZ$15</c:f>
              <c:numCache>
                <c:formatCode>General</c:formatCode>
                <c:ptCount val="50"/>
                <c:pt idx="0">
                  <c:v>4.8333065983836836E-9</c:v>
                </c:pt>
                <c:pt idx="1">
                  <c:v>1.3878827508435486E-5</c:v>
                </c:pt>
                <c:pt idx="2">
                  <c:v>1.8065746203269184E-4</c:v>
                </c:pt>
                <c:pt idx="3">
                  <c:v>6.2433347878451608E-4</c:v>
                </c:pt>
                <c:pt idx="4">
                  <c:v>1.280513723504407E-3</c:v>
                </c:pt>
                <c:pt idx="5">
                  <c:v>2.0319475824949755E-3</c:v>
                </c:pt>
                <c:pt idx="6">
                  <c:v>2.7913416838140025E-3</c:v>
                </c:pt>
                <c:pt idx="7">
                  <c:v>3.5093388466936426E-3</c:v>
                </c:pt>
                <c:pt idx="8">
                  <c:v>4.1630686520652089E-3</c:v>
                </c:pt>
                <c:pt idx="9">
                  <c:v>4.7451367772989462E-3</c:v>
                </c:pt>
                <c:pt idx="10">
                  <c:v>5.2563470273733169E-3</c:v>
                </c:pt>
                <c:pt idx="11">
                  <c:v>5.701441643331721E-3</c:v>
                </c:pt>
                <c:pt idx="12">
                  <c:v>6.0867535244754642E-3</c:v>
                </c:pt>
                <c:pt idx="13">
                  <c:v>6.4189702738313096E-3</c:v>
                </c:pt>
                <c:pt idx="14">
                  <c:v>6.7045196326899403E-3</c:v>
                </c:pt>
                <c:pt idx="15">
                  <c:v>6.9492935465572045E-3</c:v>
                </c:pt>
                <c:pt idx="16">
                  <c:v>7.1585521783917392E-3</c:v>
                </c:pt>
                <c:pt idx="17">
                  <c:v>7.3369200920249929E-3</c:v>
                </c:pt>
                <c:pt idx="18">
                  <c:v>7.488426613884428E-3</c:v>
                </c:pt>
                <c:pt idx="19">
                  <c:v>7.6165645282489057E-3</c:v>
                </c:pt>
                <c:pt idx="20">
                  <c:v>7.7243535338541326E-3</c:v>
                </c:pt>
                <c:pt idx="21">
                  <c:v>7.814401654096555E-3</c:v>
                </c:pt>
                <c:pt idx="22">
                  <c:v>7.8889614860402687E-3</c:v>
                </c:pt>
                <c:pt idx="23">
                  <c:v>7.9499801538576303E-3</c:v>
                </c:pt>
                <c:pt idx="24">
                  <c:v>7.9991428598909092E-3</c:v>
                </c:pt>
                <c:pt idx="25">
                  <c:v>8.037910427134691E-3</c:v>
                </c:pt>
                <c:pt idx="26">
                  <c:v>8.0675514399030646E-3</c:v>
                </c:pt>
                <c:pt idx="27">
                  <c:v>8.0891696491791707E-3</c:v>
                </c:pt>
                <c:pt idx="28">
                  <c:v>8.1037272908587223E-3</c:v>
                </c:pt>
                <c:pt idx="29">
                  <c:v>8.1120649104783841E-3</c:v>
                </c:pt>
                <c:pt idx="30">
                  <c:v>8.114918219744029E-3</c:v>
                </c:pt>
                <c:pt idx="31">
                  <c:v>8.112932440177089E-3</c:v>
                </c:pt>
                <c:pt idx="32">
                  <c:v>8.1066745233780279E-3</c:v>
                </c:pt>
                <c:pt idx="33">
                  <c:v>8.0966435783224305E-3</c:v>
                </c:pt>
                <c:pt idx="34">
                  <c:v>8.0832797845118987E-3</c:v>
                </c:pt>
                <c:pt idx="35">
                  <c:v>8.0669720255233217E-3</c:v>
                </c:pt>
                <c:pt idx="36">
                  <c:v>8.0480644399215599E-3</c:v>
                </c:pt>
                <c:pt idx="37">
                  <c:v>8.0268620548382894E-3</c:v>
                </c:pt>
                <c:pt idx="38">
                  <c:v>8.003635640964922E-3</c:v>
                </c:pt>
                <c:pt idx="39">
                  <c:v>7.9786259054980633E-3</c:v>
                </c:pt>
                <c:pt idx="40">
                  <c:v>7.9520471210283994E-3</c:v>
                </c:pt>
                <c:pt idx="41">
                  <c:v>7.9240902728828517E-3</c:v>
                </c:pt>
                <c:pt idx="42">
                  <c:v>7.8949257945064941E-3</c:v>
                </c:pt>
                <c:pt idx="43">
                  <c:v>7.8647059496753744E-3</c:v>
                </c:pt>
                <c:pt idx="44">
                  <c:v>7.8335669113043412E-3</c:v>
                </c:pt>
                <c:pt idx="45">
                  <c:v>7.8016305790555547E-3</c:v>
                </c:pt>
                <c:pt idx="46">
                  <c:v>7.7690061716150184E-3</c:v>
                </c:pt>
                <c:pt idx="47">
                  <c:v>7.7357916241801526E-3</c:v>
                </c:pt>
                <c:pt idx="48">
                  <c:v>7.7020748172209174E-3</c:v>
                </c:pt>
                <c:pt idx="49">
                  <c:v>7.6679346587994884E-3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B50-4F69-B2CB-067B6FD16D6C}"/>
            </c:ext>
          </c:extLst>
        </c:ser>
        <c:ser>
          <c:idx val="13"/>
          <c:order val="13"/>
          <c:tx>
            <c:strRef>
              <c:f>Gamma!$B$16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Gamma!$C$16:$AZ$16</c:f>
              <c:numCache>
                <c:formatCode>General</c:formatCode>
                <c:ptCount val="50"/>
                <c:pt idx="0">
                  <c:v>1.1110259985098397E-12</c:v>
                </c:pt>
                <c:pt idx="1">
                  <c:v>1.9995476488667826E-7</c:v>
                </c:pt>
                <c:pt idx="2">
                  <c:v>1.0338747257813622E-5</c:v>
                </c:pt>
                <c:pt idx="3">
                  <c:v>7.1210683603857566E-5</c:v>
                </c:pt>
                <c:pt idx="4">
                  <c:v>2.2091371478623334E-4</c:v>
                </c:pt>
                <c:pt idx="5">
                  <c:v>4.6191019586218839E-4</c:v>
                </c:pt>
                <c:pt idx="6">
                  <c:v>7.7274142964303325E-4</c:v>
                </c:pt>
                <c:pt idx="7">
                  <c:v>1.1262339391078598E-3</c:v>
                </c:pt>
                <c:pt idx="8">
                  <c:v>1.498774512780653E-3</c:v>
                </c:pt>
                <c:pt idx="9">
                  <c:v>1.8728672584138739E-3</c:v>
                </c:pt>
                <c:pt idx="10">
                  <c:v>2.2367467811346613E-3</c:v>
                </c:pt>
                <c:pt idx="11">
                  <c:v>2.5831299146682031E-3</c:v>
                </c:pt>
                <c:pt idx="12">
                  <c:v>2.9079505257553566E-3</c:v>
                </c:pt>
                <c:pt idx="13">
                  <c:v>3.2093346405696428E-3</c:v>
                </c:pt>
                <c:pt idx="14">
                  <c:v>3.4868441449734341E-3</c:v>
                </c:pt>
                <c:pt idx="15">
                  <c:v>3.7409452474954103E-3</c:v>
                </c:pt>
                <c:pt idx="16">
                  <c:v>3.9726458765210314E-3</c:v>
                </c:pt>
                <c:pt idx="17">
                  <c:v>4.1832536011333762E-3</c:v>
                </c:pt>
                <c:pt idx="18">
                  <c:v>4.374217100227837E-3</c:v>
                </c:pt>
                <c:pt idx="19">
                  <c:v>4.5470245404394521E-3</c:v>
                </c:pt>
                <c:pt idx="20">
                  <c:v>4.7031402491383174E-3</c:v>
                </c:pt>
                <c:pt idx="21">
                  <c:v>4.843966898680805E-3</c:v>
                </c:pt>
                <c:pt idx="22">
                  <c:v>4.9708245115714575E-3</c:v>
                </c:pt>
                <c:pt idx="23">
                  <c:v>5.0849404179487915E-3</c:v>
                </c:pt>
                <c:pt idx="24">
                  <c:v>5.1874462222010779E-3</c:v>
                </c:pt>
                <c:pt idx="25">
                  <c:v>5.2793791418824223E-3</c:v>
                </c:pt>
                <c:pt idx="26">
                  <c:v>5.3616859656488002E-3</c:v>
                </c:pt>
                <c:pt idx="27">
                  <c:v>5.4352284733343408E-3</c:v>
                </c:pt>
                <c:pt idx="28">
                  <c:v>5.5007895631911949E-3</c:v>
                </c:pt>
                <c:pt idx="29">
                  <c:v>5.5590796015987402E-3</c:v>
                </c:pt>
                <c:pt idx="30">
                  <c:v>5.6107426917623264E-3</c:v>
                </c:pt>
                <c:pt idx="31">
                  <c:v>5.6563626788486802E-3</c:v>
                </c:pt>
                <c:pt idx="32">
                  <c:v>5.6964687891221163E-3</c:v>
                </c:pt>
                <c:pt idx="33">
                  <c:v>5.7315408531505539E-3</c:v>
                </c:pt>
                <c:pt idx="34">
                  <c:v>5.7620140969999673E-3</c:v>
                </c:pt>
                <c:pt idx="35">
                  <c:v>5.7882835066166427E-3</c:v>
                </c:pt>
                <c:pt idx="36">
                  <c:v>5.8107077834490062E-3</c:v>
                </c:pt>
                <c:pt idx="37">
                  <c:v>5.8296129166033866E-3</c:v>
                </c:pt>
                <c:pt idx="38">
                  <c:v>5.8452954003774781E-3</c:v>
                </c:pt>
                <c:pt idx="39">
                  <c:v>5.8580251271742132E-3</c:v>
                </c:pt>
                <c:pt idx="40">
                  <c:v>5.8680479854491064E-3</c:v>
                </c:pt>
                <c:pt idx="41">
                  <c:v>5.8755881910801736E-3</c:v>
                </c:pt>
                <c:pt idx="42">
                  <c:v>5.8808503787684662E-3</c:v>
                </c:pt>
                <c:pt idx="43">
                  <c:v>5.8840214780422027E-3</c:v>
                </c:pt>
                <c:pt idx="44">
                  <c:v>5.8852723963183839E-3</c:v>
                </c:pt>
                <c:pt idx="45">
                  <c:v>5.8847595293814959E-3</c:v>
                </c:pt>
                <c:pt idx="46">
                  <c:v>5.8826261176343139E-3</c:v>
                </c:pt>
                <c:pt idx="47">
                  <c:v>5.8790034645988844E-3</c:v>
                </c:pt>
                <c:pt idx="48">
                  <c:v>5.8740120324142515E-3</c:v>
                </c:pt>
                <c:pt idx="49">
                  <c:v>5.8677624274978352E-3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B50-4F69-B2CB-067B6FD16D6C}"/>
            </c:ext>
          </c:extLst>
        </c:ser>
        <c:ser>
          <c:idx val="14"/>
          <c:order val="14"/>
          <c:tx>
            <c:strRef>
              <c:f>Gamma!$B$17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Gamma!$C$17:$AZ$17</c:f>
              <c:numCache>
                <c:formatCode>General</c:formatCode>
                <c:ptCount val="50"/>
                <c:pt idx="0">
                  <c:v>7.3829715398267174E-17</c:v>
                </c:pt>
                <c:pt idx="1">
                  <c:v>1.5520066218442014E-9</c:v>
                </c:pt>
                <c:pt idx="2">
                  <c:v>3.9226661156427158E-7</c:v>
                </c:pt>
                <c:pt idx="3">
                  <c:v>5.9735759091087832E-6</c:v>
                </c:pt>
                <c:pt idx="4">
                  <c:v>2.9830284442140818E-5</c:v>
                </c:pt>
                <c:pt idx="5">
                  <c:v>8.5668780985104936E-5</c:v>
                </c:pt>
                <c:pt idx="6">
                  <c:v>1.7978334895152993E-4</c:v>
                </c:pt>
                <c:pt idx="7">
                  <c:v>3.1058576900406615E-4</c:v>
                </c:pt>
                <c:pt idx="8">
                  <c:v>4.7175720539731358E-4</c:v>
                </c:pt>
                <c:pt idx="9">
                  <c:v>6.5528870342850605E-4</c:v>
                </c:pt>
                <c:pt idx="10">
                  <c:v>8.53360610646639E-4</c:v>
                </c:pt>
                <c:pt idx="11">
                  <c:v>1.0592222477959169E-3</c:v>
                </c:pt>
                <c:pt idx="12">
                  <c:v>1.2674583294664706E-3</c:v>
                </c:pt>
                <c:pt idx="13">
                  <c:v>1.4739439341843702E-3</c:v>
                </c:pt>
                <c:pt idx="14">
                  <c:v>1.6756701842287538E-3</c:v>
                </c:pt>
                <c:pt idx="15">
                  <c:v>1.8705363348374214E-3</c:v>
                </c:pt>
                <c:pt idx="16">
                  <c:v>2.057152672240711E-3</c:v>
                </c:pt>
                <c:pt idx="17">
                  <c:v>2.2346712463663715E-3</c:v>
                </c:pt>
                <c:pt idx="18">
                  <c:v>2.4026480632873774E-3</c:v>
                </c:pt>
                <c:pt idx="19">
                  <c:v>2.5609344709387875E-3</c:v>
                </c:pt>
                <c:pt idx="20">
                  <c:v>2.7095933674900542E-3</c:v>
                </c:pt>
                <c:pt idx="21">
                  <c:v>2.8488355391494201E-3</c:v>
                </c:pt>
                <c:pt idx="22">
                  <c:v>2.9789718631908647E-3</c:v>
                </c:pt>
                <c:pt idx="23">
                  <c:v>3.1003777890098966E-3</c:v>
                </c:pt>
                <c:pt idx="24">
                  <c:v>3.2134672046551047E-3</c:v>
                </c:pt>
                <c:pt idx="25">
                  <c:v>3.3186734150639184E-3</c:v>
                </c:pt>
                <c:pt idx="26">
                  <c:v>3.416435473266137E-3</c:v>
                </c:pt>
                <c:pt idx="27">
                  <c:v>3.5071885185243598E-3</c:v>
                </c:pt>
                <c:pt idx="28">
                  <c:v>3.5913570985693132E-3</c:v>
                </c:pt>
                <c:pt idx="29">
                  <c:v>3.6693507025244649E-3</c:v>
                </c:pt>
                <c:pt idx="30">
                  <c:v>3.7415609218285541E-3</c:v>
                </c:pt>
                <c:pt idx="31">
                  <c:v>3.808359801390335E-3</c:v>
                </c:pt>
                <c:pt idx="32">
                  <c:v>3.8700990529008631E-3</c:v>
                </c:pt>
                <c:pt idx="33">
                  <c:v>3.9271098850357173E-3</c:v>
                </c:pt>
                <c:pt idx="34">
                  <c:v>3.9797032676850749E-3</c:v>
                </c:pt>
                <c:pt idx="35">
                  <c:v>4.0281704943250637E-3</c:v>
                </c:pt>
                <c:pt idx="36">
                  <c:v>4.0727839419730238E-3</c:v>
                </c:pt>
                <c:pt idx="37">
                  <c:v>4.1137979547173189E-3</c:v>
                </c:pt>
                <c:pt idx="38">
                  <c:v>4.1514497967427774E-3</c:v>
                </c:pt>
                <c:pt idx="39">
                  <c:v>4.1859606357164689E-3</c:v>
                </c:pt>
                <c:pt idx="40">
                  <c:v>4.2175365285841062E-3</c:v>
                </c:pt>
                <c:pt idx="41">
                  <c:v>4.2463693901801831E-3</c:v>
                </c:pt>
                <c:pt idx="42">
                  <c:v>4.2726379312724759E-3</c:v>
                </c:pt>
                <c:pt idx="43">
                  <c:v>4.2965085572694234E-3</c:v>
                </c:pt>
                <c:pt idx="44">
                  <c:v>4.3181362222140061E-3</c:v>
                </c:pt>
                <c:pt idx="45">
                  <c:v>4.3376652351696104E-3</c:v>
                </c:pt>
                <c:pt idx="46">
                  <c:v>4.3552300178982834E-3</c:v>
                </c:pt>
                <c:pt idx="47">
                  <c:v>4.3709558140113168E-3</c:v>
                </c:pt>
                <c:pt idx="48">
                  <c:v>4.3849593506653786E-3</c:v>
                </c:pt>
                <c:pt idx="49">
                  <c:v>4.3973494544828021E-3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B50-4F69-B2CB-067B6FD16D6C}"/>
            </c:ext>
          </c:extLst>
        </c:ser>
        <c:ser>
          <c:idx val="15"/>
          <c:order val="15"/>
          <c:tx>
            <c:strRef>
              <c:f>Gamma!$B$18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Gamma!$C$18:$AZ$18</c:f>
              <c:numCache>
                <c:formatCode>General</c:formatCode>
                <c:ptCount val="50"/>
                <c:pt idx="0">
                  <c:v>1.6508431991277696E-21</c:v>
                </c:pt>
                <c:pt idx="1">
                  <c:v>7.0007225305255781E-12</c:v>
                </c:pt>
                <c:pt idx="2">
                  <c:v>1.0377407251949232E-8</c:v>
                </c:pt>
                <c:pt idx="3">
                  <c:v>3.8271106091862608E-7</c:v>
                </c:pt>
                <c:pt idx="4">
                  <c:v>3.2491629195180521E-6</c:v>
                </c:pt>
                <c:pt idx="5">
                  <c:v>1.329193856294594E-5</c:v>
                </c:pt>
                <c:pt idx="6">
                  <c:v>3.5914215033326955E-5</c:v>
                </c:pt>
                <c:pt idx="7">
                  <c:v>7.4991466396696845E-5</c:v>
                </c:pt>
                <c:pt idx="8">
                  <c:v>1.3199891273585568E-4</c:v>
                </c:pt>
                <c:pt idx="9">
                  <c:v>2.0630117799149068E-4</c:v>
                </c:pt>
                <c:pt idx="10">
                  <c:v>2.958738707560984E-4</c:v>
                </c:pt>
                <c:pt idx="11">
                  <c:v>3.979989651551697E-4</c:v>
                </c:pt>
                <c:pt idx="12">
                  <c:v>5.0977312009738444E-4</c:v>
                </c:pt>
                <c:pt idx="13">
                  <c:v>6.2842202842630255E-4</c:v>
                </c:pt>
                <c:pt idx="14">
                  <c:v>7.5146578778924323E-4</c:v>
                </c:pt>
                <c:pt idx="15">
                  <c:v>8.7678533083552948E-4</c:v>
                </c:pt>
                <c:pt idx="16">
                  <c:v>1.0026296030781221E-3</c:v>
                </c:pt>
                <c:pt idx="17">
                  <c:v>1.1275908073526864E-3</c:v>
                </c:pt>
                <c:pt idx="18">
                  <c:v>1.2505649738893698E-3</c:v>
                </c:pt>
                <c:pt idx="19">
                  <c:v>1.3707080362701776E-3</c:v>
                </c:pt>
                <c:pt idx="20">
                  <c:v>1.4873929926081169E-3</c:v>
                </c:pt>
                <c:pt idx="21">
                  <c:v>1.6001709010656244E-3</c:v>
                </c:pt>
                <c:pt idx="22">
                  <c:v>1.7087367996741945E-3</c:v>
                </c:pt>
                <c:pt idx="23">
                  <c:v>1.8129007186155391E-3</c:v>
                </c:pt>
                <c:pt idx="24">
                  <c:v>1.912563478470439E-3</c:v>
                </c:pt>
                <c:pt idx="25">
                  <c:v>2.0076967550680131E-3</c:v>
                </c:pt>
                <c:pt idx="26">
                  <c:v>2.0983268258570561E-3</c:v>
                </c:pt>
                <c:pt idx="27">
                  <c:v>2.1845214251756803E-3</c:v>
                </c:pt>
                <c:pt idx="28">
                  <c:v>2.2663791859700759E-3</c:v>
                </c:pt>
                <c:pt idx="29">
                  <c:v>2.3440212104340022E-3</c:v>
                </c:pt>
                <c:pt idx="30">
                  <c:v>2.4175843792158323E-3</c:v>
                </c:pt>
                <c:pt idx="31">
                  <c:v>2.4872160719390268E-3</c:v>
                </c:pt>
                <c:pt idx="32">
                  <c:v>2.5530700280062056E-3</c:v>
                </c:pt>
                <c:pt idx="33">
                  <c:v>2.6153031251643726E-3</c:v>
                </c:pt>
                <c:pt idx="34">
                  <c:v>2.6740728942842027E-3</c:v>
                </c:pt>
                <c:pt idx="35">
                  <c:v>2.7295356229244763E-3</c:v>
                </c:pt>
                <c:pt idx="36">
                  <c:v>2.7818449283760946E-3</c:v>
                </c:pt>
                <c:pt idx="37">
                  <c:v>2.8311507038962696E-3</c:v>
                </c:pt>
                <c:pt idx="38">
                  <c:v>2.877598360582869E-3</c:v>
                </c:pt>
                <c:pt idx="39">
                  <c:v>2.9213283025393976E-3</c:v>
                </c:pt>
                <c:pt idx="40">
                  <c:v>2.9624755852780478E-3</c:v>
                </c:pt>
                <c:pt idx="41">
                  <c:v>3.0011697172369011E-3</c:v>
                </c:pt>
                <c:pt idx="42">
                  <c:v>3.0375345722925763E-3</c:v>
                </c:pt>
                <c:pt idx="43">
                  <c:v>3.0716883875977672E-3</c:v>
                </c:pt>
                <c:pt idx="44">
                  <c:v>3.103743826262668E-3</c:v>
                </c:pt>
                <c:pt idx="45">
                  <c:v>3.1338080885740497E-3</c:v>
                </c:pt>
                <c:pt idx="46">
                  <c:v>3.1619830588019192E-3</c:v>
                </c:pt>
                <c:pt idx="47">
                  <c:v>3.1883654773409297E-3</c:v>
                </c:pt>
                <c:pt idx="48">
                  <c:v>3.2130471300998212E-3</c:v>
                </c:pt>
                <c:pt idx="49">
                  <c:v>3.236115048790992E-3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B50-4F69-B2CB-067B6FD16D6C}"/>
            </c:ext>
          </c:extLst>
        </c:ser>
        <c:ser>
          <c:idx val="16"/>
          <c:order val="16"/>
          <c:tx>
            <c:strRef>
              <c:f>Gamma!$B$19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Gamma!$C$19:$AZ$19</c:f>
              <c:numCache>
                <c:formatCode>General</c:formatCode>
                <c:ptCount val="50"/>
                <c:pt idx="0">
                  <c:v>1.4160803501951484E-26</c:v>
                </c:pt>
                <c:pt idx="1">
                  <c:v>1.9592554647687543E-14</c:v>
                </c:pt>
                <c:pt idx="2">
                  <c:v>1.9993666289338759E-10</c:v>
                </c:pt>
                <c:pt idx="3">
                  <c:v>1.9346494359707359E-8</c:v>
                </c:pt>
                <c:pt idx="4">
                  <c:v>2.9299443269233378E-7</c:v>
                </c:pt>
                <c:pt idx="5">
                  <c:v>1.7629795738939588E-6</c:v>
                </c:pt>
                <c:pt idx="6">
                  <c:v>6.2750755529855412E-6</c:v>
                </c:pt>
                <c:pt idx="7">
                  <c:v>1.6111450652008568E-5</c:v>
                </c:pt>
                <c:pt idx="8">
                  <c:v>3.3305383198972744E-5</c:v>
                </c:pt>
                <c:pt idx="9">
                  <c:v>5.9197424706742854E-5</c:v>
                </c:pt>
                <c:pt idx="10">
                  <c:v>9.4321114066856106E-5</c:v>
                </c:pt>
                <c:pt idx="11">
                  <c:v>1.3850599978625653E-4</c:v>
                </c:pt>
                <c:pt idx="12">
                  <c:v>1.9106836276662489E-4</c:v>
                </c:pt>
                <c:pt idx="13">
                  <c:v>2.5100643554933143E-4</c:v>
                </c:pt>
                <c:pt idx="14">
                  <c:v>3.1716218012035733E-4</c:v>
                </c:pt>
                <c:pt idx="15">
                  <c:v>3.8833974485907359E-4</c:v>
                </c:pt>
                <c:pt idx="16">
                  <c:v>4.6338416935899564E-4</c:v>
                </c:pt>
                <c:pt idx="17">
                  <c:v>5.4122859409300064E-4</c:v>
                </c:pt>
                <c:pt idx="18">
                  <c:v>6.2091862100203032E-4</c:v>
                </c:pt>
                <c:pt idx="19">
                  <c:v>7.016211594893701E-4</c:v>
                </c:pt>
                <c:pt idx="20">
                  <c:v>7.8262337068783349E-4</c:v>
                </c:pt>
                <c:pt idx="21">
                  <c:v>8.633257383749009E-4</c:v>
                </c:pt>
                <c:pt idx="22">
                  <c:v>9.4323202302677744E-4</c:v>
                </c:pt>
                <c:pt idx="23">
                  <c:v>1.0219379072991357E-3</c:v>
                </c:pt>
                <c:pt idx="24">
                  <c:v>1.0991194672809817E-3</c:v>
                </c:pt>
                <c:pt idx="25">
                  <c:v>1.1745221415734961E-3</c:v>
                </c:pt>
                <c:pt idx="26">
                  <c:v>1.2479505626409085E-3</c:v>
                </c:pt>
                <c:pt idx="27">
                  <c:v>1.3192594163205071E-3</c:v>
                </c:pt>
                <c:pt idx="28">
                  <c:v>1.3883453716372668E-3</c:v>
                </c:pt>
                <c:pt idx="29">
                  <c:v>1.4551400495073856E-3</c:v>
                </c:pt>
                <c:pt idx="30">
                  <c:v>1.5196039582846207E-3</c:v>
                </c:pt>
                <c:pt idx="31">
                  <c:v>1.581721304577151E-3</c:v>
                </c:pt>
                <c:pt idx="32">
                  <c:v>1.6414955813716275E-3</c:v>
                </c:pt>
                <c:pt idx="33">
                  <c:v>1.6989458369614026E-3</c:v>
                </c:pt>
                <c:pt idx="34">
                  <c:v>1.754103534043355E-3</c:v>
                </c:pt>
                <c:pt idx="35">
                  <c:v>1.8070099164202073E-3</c:v>
                </c:pt>
                <c:pt idx="36">
                  <c:v>1.8577138096504827E-3</c:v>
                </c:pt>
                <c:pt idx="37">
                  <c:v>1.9062697909007593E-3</c:v>
                </c:pt>
                <c:pt idx="38">
                  <c:v>1.9527366717044586E-3</c:v>
                </c:pt>
                <c:pt idx="39">
                  <c:v>1.9971762450752021E-3</c:v>
                </c:pt>
                <c:pt idx="40">
                  <c:v>2.0396522553602476E-3</c:v>
                </c:pt>
                <c:pt idx="41">
                  <c:v>2.0802295553354528E-3</c:v>
                </c:pt>
                <c:pt idx="42">
                  <c:v>2.1189734203729818E-3</c:v>
                </c:pt>
                <c:pt idx="43">
                  <c:v>2.1559489941173674E-3</c:v>
                </c:pt>
                <c:pt idx="44">
                  <c:v>2.1912208440574999E-3</c:v>
                </c:pt>
                <c:pt idx="45">
                  <c:v>2.2248526087574262E-3</c:v>
                </c:pt>
                <c:pt idx="46">
                  <c:v>2.2569067213804241E-3</c:v>
                </c:pt>
                <c:pt idx="47">
                  <c:v>2.2874441965769696E-3</c:v>
                </c:pt>
                <c:pt idx="48">
                  <c:v>2.316524469868944E-3</c:v>
                </c:pt>
                <c:pt idx="49">
                  <c:v>2.3442052804045392E-3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B50-4F69-B2CB-067B6FD16D6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386561232"/>
        <c:axId val="907020736"/>
        <c:axId val="901729456"/>
      </c:surface3DChart>
      <c:catAx>
        <c:axId val="38656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020736"/>
        <c:crosses val="autoZero"/>
        <c:auto val="1"/>
        <c:lblAlgn val="ctr"/>
        <c:lblOffset val="100"/>
        <c:noMultiLvlLbl val="0"/>
      </c:catAx>
      <c:valAx>
        <c:axId val="90702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561232"/>
        <c:crosses val="autoZero"/>
        <c:crossBetween val="midCat"/>
      </c:valAx>
      <c:serAx>
        <c:axId val="9017294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02073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Gamma, vol=20%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Gamma!$B$24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Gamma!$C$24:$AZ$24</c:f>
              <c:numCache>
                <c:formatCode>General</c:formatCode>
                <c:ptCount val="50"/>
                <c:pt idx="0">
                  <c:v>1.0516556577990331E-15</c:v>
                </c:pt>
                <c:pt idx="1">
                  <c:v>8.9897290546272933E-9</c:v>
                </c:pt>
                <c:pt idx="2">
                  <c:v>1.6833377571562696E-6</c:v>
                </c:pt>
                <c:pt idx="3">
                  <c:v>2.2064431982817055E-5</c:v>
                </c:pt>
                <c:pt idx="4">
                  <c:v>1.0070170546498086E-4</c:v>
                </c:pt>
                <c:pt idx="5">
                  <c:v>2.7236380704730428E-4</c:v>
                </c:pt>
                <c:pt idx="6">
                  <c:v>5.4760481596517903E-4</c:v>
                </c:pt>
                <c:pt idx="7">
                  <c:v>9.1609936771568209E-4</c:v>
                </c:pt>
                <c:pt idx="8">
                  <c:v>1.3571389458380499E-3</c:v>
                </c:pt>
                <c:pt idx="9">
                  <c:v>1.847796947179211E-3</c:v>
                </c:pt>
                <c:pt idx="10">
                  <c:v>2.3672760061798424E-3</c:v>
                </c:pt>
                <c:pt idx="11">
                  <c:v>2.8985603489544418E-3</c:v>
                </c:pt>
                <c:pt idx="12">
                  <c:v>3.4286158069024211E-3</c:v>
                </c:pt>
                <c:pt idx="13">
                  <c:v>3.9479505933621905E-3</c:v>
                </c:pt>
                <c:pt idx="14">
                  <c:v>4.4499741060405598E-3</c:v>
                </c:pt>
                <c:pt idx="15">
                  <c:v>4.9303586524257715E-3</c:v>
                </c:pt>
                <c:pt idx="16">
                  <c:v>5.3864847805715045E-3</c:v>
                </c:pt>
                <c:pt idx="17">
                  <c:v>5.8169907764518093E-3</c:v>
                </c:pt>
                <c:pt idx="18">
                  <c:v>6.221420803232452E-3</c:v>
                </c:pt>
                <c:pt idx="19">
                  <c:v>6.5999568536451898E-3</c:v>
                </c:pt>
                <c:pt idx="20">
                  <c:v>6.9532180594291731E-3</c:v>
                </c:pt>
                <c:pt idx="21">
                  <c:v>7.2821124112280337E-3</c:v>
                </c:pt>
                <c:pt idx="22">
                  <c:v>7.5877284433063614E-3</c:v>
                </c:pt>
                <c:pt idx="23">
                  <c:v>7.8712569879018784E-3</c:v>
                </c:pt>
                <c:pt idx="24">
                  <c:v>8.133935342377465E-3</c:v>
                </c:pt>
                <c:pt idx="25">
                  <c:v>8.3770080233505975E-3</c:v>
                </c:pt>
                <c:pt idx="26">
                  <c:v>8.601699722989074E-3</c:v>
                </c:pt>
                <c:pt idx="27">
                  <c:v>8.8091971909456026E-3</c:v>
                </c:pt>
                <c:pt idx="28">
                  <c:v>9.0006376056974771E-3</c:v>
                </c:pt>
                <c:pt idx="29">
                  <c:v>9.1771016304238069E-3</c:v>
                </c:pt>
                <c:pt idx="30">
                  <c:v>9.3396098202101485E-3</c:v>
                </c:pt>
                <c:pt idx="31">
                  <c:v>9.4891213984269456E-3</c:v>
                </c:pt>
                <c:pt idx="32">
                  <c:v>9.6265346808113439E-3</c:v>
                </c:pt>
                <c:pt idx="33">
                  <c:v>9.7526886190619153E-3</c:v>
                </c:pt>
                <c:pt idx="34">
                  <c:v>9.8683650789057817E-3</c:v>
                </c:pt>
                <c:pt idx="35">
                  <c:v>9.9742915735207029E-3</c:v>
                </c:pt>
                <c:pt idx="36">
                  <c:v>1.0071144251492739E-2</c:v>
                </c:pt>
                <c:pt idx="37">
                  <c:v>1.0159550996292024E-2</c:v>
                </c:pt>
                <c:pt idx="38">
                  <c:v>1.0240094536843115E-2</c:v>
                </c:pt>
                <c:pt idx="39">
                  <c:v>1.0313315500073909E-2</c:v>
                </c:pt>
                <c:pt idx="40">
                  <c:v>1.0379715359257932E-2</c:v>
                </c:pt>
                <c:pt idx="41">
                  <c:v>1.0439759248678336E-2</c:v>
                </c:pt>
                <c:pt idx="42">
                  <c:v>1.0493878627243595E-2</c:v>
                </c:pt>
                <c:pt idx="43">
                  <c:v>1.05424737823673E-2</c:v>
                </c:pt>
                <c:pt idx="44">
                  <c:v>1.0585916171576809E-2</c:v>
                </c:pt>
                <c:pt idx="45">
                  <c:v>1.0624550603598402E-2</c:v>
                </c:pt>
                <c:pt idx="46">
                  <c:v>1.0658697263573819E-2</c:v>
                </c:pt>
                <c:pt idx="47">
                  <c:v>1.0688653588961566E-2</c:v>
                </c:pt>
                <c:pt idx="48">
                  <c:v>1.0714696003840162E-2</c:v>
                </c:pt>
                <c:pt idx="49">
                  <c:v>1.073708151996329E-2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46-4140-9744-6D22771EA224}"/>
            </c:ext>
          </c:extLst>
        </c:ser>
        <c:ser>
          <c:idx val="1"/>
          <c:order val="1"/>
          <c:tx>
            <c:strRef>
              <c:f>Gamma!$B$25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Gamma!$C$25:$AZ$25</c:f>
              <c:numCache>
                <c:formatCode>General</c:formatCode>
                <c:ptCount val="50"/>
                <c:pt idx="0">
                  <c:v>1.12869575408172E-11</c:v>
                </c:pt>
                <c:pt idx="1">
                  <c:v>8.6832323834608022E-7</c:v>
                </c:pt>
                <c:pt idx="2">
                  <c:v>3.3820751258091582E-5</c:v>
                </c:pt>
                <c:pt idx="3">
                  <c:v>2.0218238688417113E-4</c:v>
                </c:pt>
                <c:pt idx="4">
                  <c:v>5.7611680391896698E-4</c:v>
                </c:pt>
                <c:pt idx="5">
                  <c:v>1.1382523244176247E-3</c:v>
                </c:pt>
                <c:pt idx="6">
                  <c:v>1.8286848240875093E-3</c:v>
                </c:pt>
                <c:pt idx="7">
                  <c:v>2.585538590771336E-3</c:v>
                </c:pt>
                <c:pt idx="8">
                  <c:v>3.3605151026574491E-3</c:v>
                </c:pt>
                <c:pt idx="9">
                  <c:v>4.1207309613216971E-3</c:v>
                </c:pt>
                <c:pt idx="10">
                  <c:v>4.8458851927195784E-3</c:v>
                </c:pt>
                <c:pt idx="11">
                  <c:v>5.5247175394655748E-3</c:v>
                </c:pt>
                <c:pt idx="12">
                  <c:v>6.1520343768504751E-3</c:v>
                </c:pt>
                <c:pt idx="13">
                  <c:v>6.7265235496123824E-3</c:v>
                </c:pt>
                <c:pt idx="14">
                  <c:v>7.2492475795890602E-3</c:v>
                </c:pt>
                <c:pt idx="15">
                  <c:v>7.7226417765499213E-3</c:v>
                </c:pt>
                <c:pt idx="16">
                  <c:v>8.1498647037325043E-3</c:v>
                </c:pt>
                <c:pt idx="17">
                  <c:v>8.5343863843599186E-3</c:v>
                </c:pt>
                <c:pt idx="18">
                  <c:v>8.8797337586739317E-3</c:v>
                </c:pt>
                <c:pt idx="19">
                  <c:v>9.1893387459059377E-3</c:v>
                </c:pt>
                <c:pt idx="20">
                  <c:v>9.466452486798612E-3</c:v>
                </c:pt>
                <c:pt idx="21">
                  <c:v>9.7141017451944506E-3</c:v>
                </c:pt>
                <c:pt idx="22">
                  <c:v>9.9350717363069219E-3</c:v>
                </c:pt>
                <c:pt idx="23">
                  <c:v>1.0131905135378155E-2</c:v>
                </c:pt>
                <c:pt idx="24">
                  <c:v>1.0306910632595102E-2</c:v>
                </c:pt>
                <c:pt idx="25">
                  <c:v>1.0462176771614744E-2</c:v>
                </c:pt>
                <c:pt idx="26">
                  <c:v>1.0599588362857073E-2</c:v>
                </c:pt>
                <c:pt idx="27">
                  <c:v>1.0720843778607441E-2</c:v>
                </c:pt>
                <c:pt idx="28">
                  <c:v>1.0827472099080592E-2</c:v>
                </c:pt>
                <c:pt idx="29">
                  <c:v>1.0920849507992856E-2</c:v>
                </c:pt>
                <c:pt idx="30">
                  <c:v>1.1002214612478467E-2</c:v>
                </c:pt>
                <c:pt idx="31">
                  <c:v>1.1072682537795387E-2</c:v>
                </c:pt>
                <c:pt idx="32">
                  <c:v>1.1133257756777964E-2</c:v>
                </c:pt>
                <c:pt idx="33">
                  <c:v>1.118484568025508E-2</c:v>
                </c:pt>
                <c:pt idx="34">
                  <c:v>1.1228263072776291E-2</c:v>
                </c:pt>
                <c:pt idx="35">
                  <c:v>1.1264247377974787E-2</c:v>
                </c:pt>
                <c:pt idx="36">
                  <c:v>1.1293465046356983E-2</c:v>
                </c:pt>
                <c:pt idx="37">
                  <c:v>1.1316518959607164E-2</c:v>
                </c:pt>
                <c:pt idx="38">
                  <c:v>1.1333955042497066E-2</c:v>
                </c:pt>
                <c:pt idx="39">
                  <c:v>1.1346268148064857E-2</c:v>
                </c:pt>
                <c:pt idx="40">
                  <c:v>1.1353907295080875E-2</c:v>
                </c:pt>
                <c:pt idx="41">
                  <c:v>1.1357280329714725E-2</c:v>
                </c:pt>
                <c:pt idx="42">
                  <c:v>1.1356758076232392E-2</c:v>
                </c:pt>
                <c:pt idx="43">
                  <c:v>1.1352678034763666E-2</c:v>
                </c:pt>
                <c:pt idx="44">
                  <c:v>1.1345347677844113E-2</c:v>
                </c:pt>
                <c:pt idx="45">
                  <c:v>1.1335047391625589E-2</c:v>
                </c:pt>
                <c:pt idx="46">
                  <c:v>1.1322033102387321E-2</c:v>
                </c:pt>
                <c:pt idx="47">
                  <c:v>1.1306538624256455E-2</c:v>
                </c:pt>
                <c:pt idx="48">
                  <c:v>1.1288777759835576E-2</c:v>
                </c:pt>
                <c:pt idx="49">
                  <c:v>1.1268946181697022E-2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46-4140-9744-6D22771EA224}"/>
            </c:ext>
          </c:extLst>
        </c:ser>
        <c:ser>
          <c:idx val="2"/>
          <c:order val="2"/>
          <c:tx>
            <c:strRef>
              <c:f>Gamma!$B$26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Gamma!$C$26:$AZ$26</c:f>
              <c:numCache>
                <c:formatCode>General</c:formatCode>
                <c:ptCount val="50"/>
                <c:pt idx="0">
                  <c:v>1.4597010892531747E-8</c:v>
                </c:pt>
                <c:pt idx="1">
                  <c:v>2.9265998523210969E-5</c:v>
                </c:pt>
                <c:pt idx="2">
                  <c:v>3.3795857220289077E-4</c:v>
                </c:pt>
                <c:pt idx="3">
                  <c:v>1.1000759814895978E-3</c:v>
                </c:pt>
                <c:pt idx="4">
                  <c:v>2.1766539744156985E-3</c:v>
                </c:pt>
                <c:pt idx="5">
                  <c:v>3.3722289783455592E-3</c:v>
                </c:pt>
                <c:pt idx="6">
                  <c:v>4.5539531232494995E-3</c:v>
                </c:pt>
                <c:pt idx="7">
                  <c:v>5.6523508060789462E-3</c:v>
                </c:pt>
                <c:pt idx="8">
                  <c:v>6.6387114573764512E-3</c:v>
                </c:pt>
                <c:pt idx="9">
                  <c:v>7.5067523489369872E-3</c:v>
                </c:pt>
                <c:pt idx="10">
                  <c:v>8.261346834670457E-3</c:v>
                </c:pt>
                <c:pt idx="11">
                  <c:v>8.9122577062371103E-3</c:v>
                </c:pt>
                <c:pt idx="12">
                  <c:v>9.4708433386352705E-3</c:v>
                </c:pt>
                <c:pt idx="13">
                  <c:v>9.9484155251910837E-3</c:v>
                </c:pt>
                <c:pt idx="14">
                  <c:v>1.0355484400285875E-2</c:v>
                </c:pt>
                <c:pt idx="15">
                  <c:v>1.0701467427858078E-2</c:v>
                </c:pt>
                <c:pt idx="16">
                  <c:v>1.0994633234662406E-2</c:v>
                </c:pt>
                <c:pt idx="17">
                  <c:v>1.124215772219647E-2</c:v>
                </c:pt>
                <c:pt idx="18">
                  <c:v>1.1450227866520241E-2</c:v>
                </c:pt>
                <c:pt idx="19">
                  <c:v>1.1624159945686184E-2</c:v>
                </c:pt>
                <c:pt idx="20">
                  <c:v>1.1768515776566514E-2</c:v>
                </c:pt>
                <c:pt idx="21">
                  <c:v>1.1887209515825409E-2</c:v>
                </c:pt>
                <c:pt idx="22">
                  <c:v>1.1983602278943283E-2</c:v>
                </c:pt>
                <c:pt idx="23">
                  <c:v>1.206058421318979E-2</c:v>
                </c:pt>
                <c:pt idx="24">
                  <c:v>1.2120644793509728E-2</c:v>
                </c:pt>
                <c:pt idx="25">
                  <c:v>1.2165932579065574E-2</c:v>
                </c:pt>
                <c:pt idx="26">
                  <c:v>1.219830579264088E-2</c:v>
                </c:pt>
                <c:pt idx="27">
                  <c:v>1.2219375039657719E-2</c:v>
                </c:pt>
                <c:pt idx="28">
                  <c:v>1.223053936227133E-2</c:v>
                </c:pt>
                <c:pt idx="29">
                  <c:v>1.22330166765713E-2</c:v>
                </c:pt>
                <c:pt idx="30">
                  <c:v>1.2227869492590969E-2</c:v>
                </c:pt>
                <c:pt idx="31">
                  <c:v>1.2216026679503783E-2</c:v>
                </c:pt>
                <c:pt idx="32">
                  <c:v>1.2198301916795967E-2</c:v>
                </c:pt>
                <c:pt idx="33">
                  <c:v>1.2175409367347585E-2</c:v>
                </c:pt>
                <c:pt idx="34">
                  <c:v>1.2147977019395087E-2</c:v>
                </c:pt>
                <c:pt idx="35">
                  <c:v>1.2116558069658561E-2</c:v>
                </c:pt>
                <c:pt idx="36">
                  <c:v>1.2081640657617628E-2</c:v>
                </c:pt>
                <c:pt idx="37">
                  <c:v>1.2043656209164633E-2</c:v>
                </c:pt>
                <c:pt idx="38">
                  <c:v>1.2002986604964903E-2</c:v>
                </c:pt>
                <c:pt idx="39">
                  <c:v>1.1959970353331821E-2</c:v>
                </c:pt>
                <c:pt idx="40">
                  <c:v>1.1914907918014386E-2</c:v>
                </c:pt>
                <c:pt idx="41">
                  <c:v>1.1868066326931909E-2</c:v>
                </c:pt>
                <c:pt idx="42">
                  <c:v>1.1819683167688175E-2</c:v>
                </c:pt>
                <c:pt idx="43">
                  <c:v>1.1769970058922002E-2</c:v>
                </c:pt>
                <c:pt idx="44">
                  <c:v>1.1719115672598939E-2</c:v>
                </c:pt>
                <c:pt idx="45">
                  <c:v>1.166728837072328E-2</c:v>
                </c:pt>
                <c:pt idx="46">
                  <c:v>1.1614638510244045E-2</c:v>
                </c:pt>
                <c:pt idx="47">
                  <c:v>1.1561300461809131E-2</c:v>
                </c:pt>
                <c:pt idx="48">
                  <c:v>1.1507394381214904E-2</c:v>
                </c:pt>
                <c:pt idx="49">
                  <c:v>1.1453027766679768E-2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46-4140-9744-6D22771EA224}"/>
            </c:ext>
          </c:extLst>
        </c:ser>
        <c:ser>
          <c:idx val="3"/>
          <c:order val="3"/>
          <c:tx>
            <c:strRef>
              <c:f>Gamma!$B$27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Gamma!$C$27:$AZ$27</c:f>
              <c:numCache>
                <c:formatCode>General</c:formatCode>
                <c:ptCount val="50"/>
                <c:pt idx="0">
                  <c:v>3.3512354645083041E-6</c:v>
                </c:pt>
                <c:pt idx="1">
                  <c:v>4.1746111765088789E-4</c:v>
                </c:pt>
                <c:pt idx="2">
                  <c:v>1.9093551185000311E-3</c:v>
                </c:pt>
                <c:pt idx="3">
                  <c:v>3.9113907532951553E-3</c:v>
                </c:pt>
                <c:pt idx="4">
                  <c:v>5.8617741810673678E-3</c:v>
                </c:pt>
                <c:pt idx="5">
                  <c:v>7.545896727233335E-3</c:v>
                </c:pt>
                <c:pt idx="6">
                  <c:v>8.9273180622224182E-3</c:v>
                </c:pt>
                <c:pt idx="7">
                  <c:v>1.0033802504733586E-2</c:v>
                </c:pt>
                <c:pt idx="8">
                  <c:v>1.0909406223302238E-2</c:v>
                </c:pt>
                <c:pt idx="9">
                  <c:v>1.1597225794774834E-2</c:v>
                </c:pt>
                <c:pt idx="10">
                  <c:v>1.2134254291859209E-2</c:v>
                </c:pt>
                <c:pt idx="11">
                  <c:v>1.2550667269029672E-2</c:v>
                </c:pt>
                <c:pt idx="12">
                  <c:v>1.2870557813699425E-2</c:v>
                </c:pt>
                <c:pt idx="13">
                  <c:v>1.3113007881748779E-2</c:v>
                </c:pt>
                <c:pt idx="14">
                  <c:v>1.3293108657292461E-2</c:v>
                </c:pt>
                <c:pt idx="15">
                  <c:v>1.3422818994500521E-2</c:v>
                </c:pt>
                <c:pt idx="16">
                  <c:v>1.3511651590695667E-2</c:v>
                </c:pt>
                <c:pt idx="17">
                  <c:v>1.3567208951354055E-2</c:v>
                </c:pt>
                <c:pt idx="18">
                  <c:v>1.3595597926798595E-2</c:v>
                </c:pt>
                <c:pt idx="19">
                  <c:v>1.3601749391133747E-2</c:v>
                </c:pt>
                <c:pt idx="20">
                  <c:v>1.358966498923757E-2</c:v>
                </c:pt>
                <c:pt idx="21">
                  <c:v>1.3562608176422747E-2</c:v>
                </c:pt>
                <c:pt idx="22">
                  <c:v>1.3523252767224742E-2</c:v>
                </c:pt>
                <c:pt idx="23">
                  <c:v>1.3473799023258277E-2</c:v>
                </c:pt>
                <c:pt idx="24">
                  <c:v>1.3416064859880507E-2</c:v>
                </c:pt>
                <c:pt idx="25">
                  <c:v>1.3351557898151322E-2</c:v>
                </c:pt>
                <c:pt idx="26">
                  <c:v>1.328153269741841E-2</c:v>
                </c:pt>
                <c:pt idx="27">
                  <c:v>1.3207036462154157E-2</c:v>
                </c:pt>
                <c:pt idx="28">
                  <c:v>1.3128945736208627E-2</c:v>
                </c:pt>
                <c:pt idx="29">
                  <c:v>1.304799601147523E-2</c:v>
                </c:pt>
                <c:pt idx="30">
                  <c:v>1.2964805736131377E-2</c:v>
                </c:pt>
                <c:pt idx="31">
                  <c:v>1.2879895873128485E-2</c:v>
                </c:pt>
                <c:pt idx="32">
                  <c:v>1.2793705905173902E-2</c:v>
                </c:pt>
                <c:pt idx="33">
                  <c:v>1.2706606987938339E-2</c:v>
                </c:pt>
                <c:pt idx="34">
                  <c:v>1.2618912803760532E-2</c:v>
                </c:pt>
                <c:pt idx="35">
                  <c:v>1.253088855268036E-2</c:v>
                </c:pt>
                <c:pt idx="36">
                  <c:v>1.2442758428012325E-2</c:v>
                </c:pt>
                <c:pt idx="37">
                  <c:v>1.2354711853745926E-2</c:v>
                </c:pt>
                <c:pt idx="38">
                  <c:v>1.2266908706231396E-2</c:v>
                </c:pt>
                <c:pt idx="39">
                  <c:v>1.2179483699411452E-2</c:v>
                </c:pt>
                <c:pt idx="40">
                  <c:v>1.2092550078665793E-2</c:v>
                </c:pt>
                <c:pt idx="41">
                  <c:v>1.2006202741145614E-2</c:v>
                </c:pt>
                <c:pt idx="42">
                  <c:v>1.1920520878760287E-2</c:v>
                </c:pt>
                <c:pt idx="43">
                  <c:v>1.1835570222561598E-2</c:v>
                </c:pt>
                <c:pt idx="44">
                  <c:v>1.1751404953244579E-2</c:v>
                </c:pt>
                <c:pt idx="45">
                  <c:v>1.1668069331142681E-2</c:v>
                </c:pt>
                <c:pt idx="46">
                  <c:v>1.1585599089890333E-2</c:v>
                </c:pt>
                <c:pt idx="47">
                  <c:v>1.1504022630426925E-2</c:v>
                </c:pt>
                <c:pt idx="48">
                  <c:v>1.1423362045885866E-2</c:v>
                </c:pt>
                <c:pt idx="49">
                  <c:v>1.1343634002882847E-2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46-4140-9744-6D22771EA224}"/>
            </c:ext>
          </c:extLst>
        </c:ser>
        <c:ser>
          <c:idx val="4"/>
          <c:order val="4"/>
          <c:tx>
            <c:strRef>
              <c:f>Gamma!$B$28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Gamma!$C$28:$AZ$28</c:f>
              <c:numCache>
                <c:formatCode>General</c:formatCode>
                <c:ptCount val="50"/>
                <c:pt idx="0">
                  <c:v>1.844499127219971E-4</c:v>
                </c:pt>
                <c:pt idx="1">
                  <c:v>2.9270332354272227E-3</c:v>
                </c:pt>
                <c:pt idx="2">
                  <c:v>6.7361389316554221E-3</c:v>
                </c:pt>
                <c:pt idx="3">
                  <c:v>9.7884039294375193E-3</c:v>
                </c:pt>
                <c:pt idx="4">
                  <c:v>1.1937780047109162E-2</c:v>
                </c:pt>
                <c:pt idx="5">
                  <c:v>1.3395159432299533E-2</c:v>
                </c:pt>
                <c:pt idx="6">
                  <c:v>1.4366321033900606E-2</c:v>
                </c:pt>
                <c:pt idx="7">
                  <c:v>1.5001364182628532E-2</c:v>
                </c:pt>
                <c:pt idx="8">
                  <c:v>1.5403132263133369E-2</c:v>
                </c:pt>
                <c:pt idx="9">
                  <c:v>1.5641421674019225E-2</c:v>
                </c:pt>
                <c:pt idx="10">
                  <c:v>1.576394776970249E-2</c:v>
                </c:pt>
                <c:pt idx="11">
                  <c:v>1.5803751709635341E-2</c:v>
                </c:pt>
                <c:pt idx="12">
                  <c:v>1.5784039650988829E-2</c:v>
                </c:pt>
                <c:pt idx="13">
                  <c:v>1.5721336686121572E-2</c:v>
                </c:pt>
                <c:pt idx="14">
                  <c:v>1.562756114588237E-2</c:v>
                </c:pt>
                <c:pt idx="15">
                  <c:v>1.551140736539682E-2</c:v>
                </c:pt>
                <c:pt idx="16">
                  <c:v>1.5379281313382996E-2</c:v>
                </c:pt>
                <c:pt idx="17">
                  <c:v>1.5235943242253389E-2</c:v>
                </c:pt>
                <c:pt idx="18">
                  <c:v>1.5084955533897175E-2</c:v>
                </c:pt>
                <c:pt idx="19">
                  <c:v>1.4928999083209112E-2</c:v>
                </c:pt>
                <c:pt idx="20">
                  <c:v>1.4770099675880348E-2</c:v>
                </c:pt>
                <c:pt idx="21">
                  <c:v>1.4609791890060717E-2</c:v>
                </c:pt>
                <c:pt idx="22">
                  <c:v>1.4449239065004556E-2</c:v>
                </c:pt>
                <c:pt idx="23">
                  <c:v>1.4289321998497015E-2</c:v>
                </c:pt>
                <c:pt idx="24">
                  <c:v>1.4130705131783083E-2</c:v>
                </c:pt>
                <c:pt idx="25">
                  <c:v>1.3973886355415001E-2</c:v>
                </c:pt>
                <c:pt idx="26">
                  <c:v>1.3819234780752355E-2</c:v>
                </c:pt>
                <c:pt idx="27">
                  <c:v>1.3667019588223764E-2</c:v>
                </c:pt>
                <c:pt idx="28">
                  <c:v>1.3517432202776026E-2</c:v>
                </c:pt>
                <c:pt idx="29">
                  <c:v>1.337060343987685E-2</c:v>
                </c:pt>
                <c:pt idx="30">
                  <c:v>1.3226616832847541E-2</c:v>
                </c:pt>
                <c:pt idx="31">
                  <c:v>1.3085519041044468E-2</c:v>
                </c:pt>
                <c:pt idx="32">
                  <c:v>1.2947328012402372E-2</c:v>
                </c:pt>
                <c:pt idx="33">
                  <c:v>1.2812039408334251E-2</c:v>
                </c:pt>
                <c:pt idx="34">
                  <c:v>1.2679631676778571E-2</c:v>
                </c:pt>
                <c:pt idx="35">
                  <c:v>1.2550070068268939E-2</c:v>
                </c:pt>
                <c:pt idx="36">
                  <c:v>1.2423309821775022E-2</c:v>
                </c:pt>
                <c:pt idx="37">
                  <c:v>1.2299298695665931E-2</c:v>
                </c:pt>
                <c:pt idx="38">
                  <c:v>1.2177978980121127E-2</c:v>
                </c:pt>
                <c:pt idx="39">
                  <c:v>1.2059289097501428E-2</c:v>
                </c:pt>
                <c:pt idx="40">
                  <c:v>1.1943164874287718E-2</c:v>
                </c:pt>
                <c:pt idx="41">
                  <c:v>1.1829540550501607E-2</c:v>
                </c:pt>
                <c:pt idx="42">
                  <c:v>1.1718349578784778E-2</c:v>
                </c:pt>
                <c:pt idx="43">
                  <c:v>1.1609525254595536E-2</c:v>
                </c:pt>
                <c:pt idx="44">
                  <c:v>1.1503001210580946E-2</c:v>
                </c:pt>
                <c:pt idx="45">
                  <c:v>1.139871180157012E-2</c:v>
                </c:pt>
                <c:pt idx="46">
                  <c:v>1.1296592401408175E-2</c:v>
                </c:pt>
                <c:pt idx="47">
                  <c:v>1.1196579628703331E-2</c:v>
                </c:pt>
                <c:pt idx="48">
                  <c:v>1.1098611515257768E-2</c:v>
                </c:pt>
                <c:pt idx="49">
                  <c:v>1.1002627628314172E-2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46-4140-9744-6D22771EA224}"/>
            </c:ext>
          </c:extLst>
        </c:ser>
        <c:ser>
          <c:idx val="5"/>
          <c:order val="5"/>
          <c:tx>
            <c:strRef>
              <c:f>Gamma!$B$29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Gamma!$C$29:$AZ$29</c:f>
              <c:numCache>
                <c:formatCode>General</c:formatCode>
                <c:ptCount val="50"/>
                <c:pt idx="0">
                  <c:v>3.0836372935947117E-3</c:v>
                </c:pt>
                <c:pt idx="1">
                  <c:v>1.1349644277453122E-2</c:v>
                </c:pt>
                <c:pt idx="2">
                  <c:v>1.6048048164004215E-2</c:v>
                </c:pt>
                <c:pt idx="3">
                  <c:v>1.8278954822369086E-2</c:v>
                </c:pt>
                <c:pt idx="4">
                  <c:v>1.926193999623425E-2</c:v>
                </c:pt>
                <c:pt idx="5">
                  <c:v>1.9607203543702153E-2</c:v>
                </c:pt>
                <c:pt idx="6">
                  <c:v>1.9615204928584505E-2</c:v>
                </c:pt>
                <c:pt idx="7">
                  <c:v>1.9440734598304157E-2</c:v>
                </c:pt>
                <c:pt idx="8">
                  <c:v>1.9167361944162006E-2</c:v>
                </c:pt>
                <c:pt idx="9">
                  <c:v>1.8841983940109528E-2</c:v>
                </c:pt>
                <c:pt idx="10">
                  <c:v>1.8491692405525763E-2</c:v>
                </c:pt>
                <c:pt idx="11">
                  <c:v>1.8132440526507244E-2</c:v>
                </c:pt>
                <c:pt idx="12">
                  <c:v>1.7773703943943717E-2</c:v>
                </c:pt>
                <c:pt idx="13">
                  <c:v>1.7421088562399011E-2</c:v>
                </c:pt>
                <c:pt idx="14">
                  <c:v>1.7077839563120274E-2</c:v>
                </c:pt>
                <c:pt idx="15">
                  <c:v>1.6745739875301535E-2</c:v>
                </c:pt>
                <c:pt idx="16">
                  <c:v>1.6425658120799658E-2</c:v>
                </c:pt>
                <c:pt idx="17">
                  <c:v>1.6117889512566597E-2</c:v>
                </c:pt>
                <c:pt idx="18">
                  <c:v>1.5822371403647055E-2</c:v>
                </c:pt>
                <c:pt idx="19">
                  <c:v>1.5538821309956896E-2</c:v>
                </c:pt>
                <c:pt idx="20">
                  <c:v>1.5266826094352811E-2</c:v>
                </c:pt>
                <c:pt idx="21">
                  <c:v>1.500589989682085E-2</c:v>
                </c:pt>
                <c:pt idx="22">
                  <c:v>1.4755521797958096E-2</c:v>
                </c:pt>
                <c:pt idx="23">
                  <c:v>1.4515160197463855E-2</c:v>
                </c:pt>
                <c:pt idx="24">
                  <c:v>1.4284288410438377E-2</c:v>
                </c:pt>
                <c:pt idx="25">
                  <c:v>1.4062394423410469E-2</c:v>
                </c:pt>
                <c:pt idx="26">
                  <c:v>1.3848986753843712E-2</c:v>
                </c:pt>
                <c:pt idx="27">
                  <c:v>1.3643597709615953E-2</c:v>
                </c:pt>
                <c:pt idx="28">
                  <c:v>1.3445784920017129E-2</c:v>
                </c:pt>
                <c:pt idx="29">
                  <c:v>1.3255131727717093E-2</c:v>
                </c:pt>
                <c:pt idx="30">
                  <c:v>1.3071246842062935E-2</c:v>
                </c:pt>
                <c:pt idx="31">
                  <c:v>1.289376352623591E-2</c:v>
                </c:pt>
                <c:pt idx="32">
                  <c:v>1.2722338503757424E-2</c:v>
                </c:pt>
                <c:pt idx="33">
                  <c:v>1.255665071021262E-2</c:v>
                </c:pt>
                <c:pt idx="34">
                  <c:v>1.2396399975031155E-2</c:v>
                </c:pt>
                <c:pt idx="35">
                  <c:v>1.2241305689839221E-2</c:v>
                </c:pt>
                <c:pt idx="36">
                  <c:v>1.2091105500309283E-2</c:v>
                </c:pt>
                <c:pt idx="37">
                  <c:v>1.1945554044891416E-2</c:v>
                </c:pt>
                <c:pt idx="38">
                  <c:v>1.1804421754469302E-2</c:v>
                </c:pt>
                <c:pt idx="39">
                  <c:v>1.1667493720574827E-2</c:v>
                </c:pt>
                <c:pt idx="40">
                  <c:v>1.1534568635436348E-2</c:v>
                </c:pt>
                <c:pt idx="41">
                  <c:v>1.1405457804213119E-2</c:v>
                </c:pt>
                <c:pt idx="42">
                  <c:v>1.1279984227851553E-2</c:v>
                </c:pt>
                <c:pt idx="43">
                  <c:v>1.1157981753784877E-2</c:v>
                </c:pt>
                <c:pt idx="44">
                  <c:v>1.103929429097336E-2</c:v>
                </c:pt>
                <c:pt idx="45">
                  <c:v>1.0923775085395816E-2</c:v>
                </c:pt>
                <c:pt idx="46">
                  <c:v>1.0811286051948492E-2</c:v>
                </c:pt>
                <c:pt idx="47">
                  <c:v>1.0701697158708175E-2</c:v>
                </c:pt>
                <c:pt idx="48">
                  <c:v>1.0594885859619775E-2</c:v>
                </c:pt>
                <c:pt idx="49">
                  <c:v>1.0490736571836448E-2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46-4140-9744-6D22771EA224}"/>
            </c:ext>
          </c:extLst>
        </c:ser>
        <c:ser>
          <c:idx val="6"/>
          <c:order val="6"/>
          <c:tx>
            <c:strRef>
              <c:f>Gamma!$B$30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Gamma!$C$30:$AZ$30</c:f>
              <c:numCache>
                <c:formatCode>General</c:formatCode>
                <c:ptCount val="50"/>
                <c:pt idx="0">
                  <c:v>1.8916378586336522E-2</c:v>
                </c:pt>
                <c:pt idx="1">
                  <c:v>2.6739234389615493E-2</c:v>
                </c:pt>
                <c:pt idx="2">
                  <c:v>2.7482291431425852E-2</c:v>
                </c:pt>
                <c:pt idx="3">
                  <c:v>2.668788040521014E-2</c:v>
                </c:pt>
                <c:pt idx="4">
                  <c:v>2.5556533759819561E-2</c:v>
                </c:pt>
                <c:pt idx="5">
                  <c:v>2.4406774147524603E-2</c:v>
                </c:pt>
                <c:pt idx="6">
                  <c:v>2.3329031963279279E-2</c:v>
                </c:pt>
                <c:pt idx="7">
                  <c:v>2.2344641814505347E-2</c:v>
                </c:pt>
                <c:pt idx="8">
                  <c:v>2.1452524339852529E-2</c:v>
                </c:pt>
                <c:pt idx="9">
                  <c:v>2.0644622964645625E-2</c:v>
                </c:pt>
                <c:pt idx="10">
                  <c:v>1.9911339536736294E-2</c:v>
                </c:pt>
                <c:pt idx="11">
                  <c:v>1.9243452333536713E-2</c:v>
                </c:pt>
                <c:pt idx="12">
                  <c:v>1.8632724433488172E-2</c:v>
                </c:pt>
                <c:pt idx="13">
                  <c:v>1.8072015358129988E-2</c:v>
                </c:pt>
                <c:pt idx="14">
                  <c:v>1.7555211108093813E-2</c:v>
                </c:pt>
                <c:pt idx="15">
                  <c:v>1.7077097888939151E-2</c:v>
                </c:pt>
                <c:pt idx="16">
                  <c:v>1.6633228947372795E-2</c:v>
                </c:pt>
                <c:pt idx="17">
                  <c:v>1.6219802748241918E-2</c:v>
                </c:pt>
                <c:pt idx="18">
                  <c:v>1.5833557828002626E-2</c:v>
                </c:pt>
                <c:pt idx="19">
                  <c:v>1.5471684475151491E-2</c:v>
                </c:pt>
                <c:pt idx="20">
                  <c:v>1.5131751493393101E-2</c:v>
                </c:pt>
                <c:pt idx="21">
                  <c:v>1.4811645800937245E-2</c:v>
                </c:pt>
                <c:pt idx="22">
                  <c:v>1.4509522680294167E-2</c:v>
                </c:pt>
                <c:pt idx="23">
                  <c:v>1.4223764754627669E-2</c:v>
                </c:pt>
                <c:pt idx="24">
                  <c:v>1.3952948073715601E-2</c:v>
                </c:pt>
                <c:pt idx="25">
                  <c:v>1.3695813982212479E-2</c:v>
                </c:pt>
                <c:pt idx="26">
                  <c:v>1.3451245693802362E-2</c:v>
                </c:pt>
                <c:pt idx="27">
                  <c:v>1.3218248703325781E-2</c:v>
                </c:pt>
                <c:pt idx="28">
                  <c:v>1.2995934338488059E-2</c:v>
                </c:pt>
                <c:pt idx="29">
                  <c:v>1.2783505889003444E-2</c:v>
                </c:pt>
                <c:pt idx="30">
                  <c:v>1.2580246859904571E-2</c:v>
                </c:pt>
                <c:pt idx="31">
                  <c:v>1.2385510982555763E-2</c:v>
                </c:pt>
                <c:pt idx="32">
                  <c:v>1.2198713686124499E-2</c:v>
                </c:pt>
                <c:pt idx="33">
                  <c:v>1.2019324787533051E-2</c:v>
                </c:pt>
                <c:pt idx="34">
                  <c:v>1.1846862202147517E-2</c:v>
                </c:pt>
                <c:pt idx="35">
                  <c:v>1.1680886512972426E-2</c:v>
                </c:pt>
                <c:pt idx="36">
                  <c:v>1.1520996264722756E-2</c:v>
                </c:pt>
                <c:pt idx="37">
                  <c:v>1.1366823872268715E-2</c:v>
                </c:pt>
                <c:pt idx="38">
                  <c:v>1.1218032051712071E-2</c:v>
                </c:pt>
                <c:pt idx="39">
                  <c:v>1.1074310697636872E-2</c:v>
                </c:pt>
                <c:pt idx="40">
                  <c:v>1.0935374142574844E-2</c:v>
                </c:pt>
                <c:pt idx="41">
                  <c:v>1.0800958744983916E-2</c:v>
                </c:pt>
                <c:pt idx="42">
                  <c:v>1.0670820760490137E-2</c:v>
                </c:pt>
                <c:pt idx="43">
                  <c:v>1.0544734458132482E-2</c:v>
                </c:pt>
                <c:pt idx="44">
                  <c:v>1.0422490449151231E-2</c:v>
                </c:pt>
                <c:pt idx="45">
                  <c:v>1.0303894200692113E-2</c:v>
                </c:pt>
                <c:pt idx="46">
                  <c:v>1.018876471083697E-2</c:v>
                </c:pt>
                <c:pt idx="47">
                  <c:v>1.0076933324758069E-2</c:v>
                </c:pt>
                <c:pt idx="48">
                  <c:v>9.9682426746427188E-3</c:v>
                </c:pt>
                <c:pt idx="49">
                  <c:v>9.8625457284395677E-3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46-4140-9744-6D22771EA224}"/>
            </c:ext>
          </c:extLst>
        </c:ser>
        <c:ser>
          <c:idx val="7"/>
          <c:order val="7"/>
          <c:tx>
            <c:strRef>
              <c:f>Gamma!$B$31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Gamma!$C$31:$AZ$31</c:f>
              <c:numCache>
                <c:formatCode>General</c:formatCode>
                <c:ptCount val="50"/>
                <c:pt idx="0">
                  <c:v>4.9607400575778234E-2</c:v>
                </c:pt>
                <c:pt idx="1">
                  <c:v>4.1300684164172582E-2</c:v>
                </c:pt>
                <c:pt idx="2">
                  <c:v>3.5581792279001198E-2</c:v>
                </c:pt>
                <c:pt idx="3">
                  <c:v>3.1635322258043573E-2</c:v>
                </c:pt>
                <c:pt idx="4">
                  <c:v>2.8732281352043244E-2</c:v>
                </c:pt>
                <c:pt idx="5">
                  <c:v>2.6488164394297603E-2</c:v>
                </c:pt>
                <c:pt idx="6">
                  <c:v>2.4688265009858643E-2</c:v>
                </c:pt>
                <c:pt idx="7">
                  <c:v>2.3203661883923712E-2</c:v>
                </c:pt>
                <c:pt idx="8">
                  <c:v>2.1952066922098779E-2</c:v>
                </c:pt>
                <c:pt idx="9">
                  <c:v>2.087829727981377E-2</c:v>
                </c:pt>
                <c:pt idx="10">
                  <c:v>1.9943831488271495E-2</c:v>
                </c:pt>
                <c:pt idx="11">
                  <c:v>1.9120875334331693E-2</c:v>
                </c:pt>
                <c:pt idx="12">
                  <c:v>1.8388813330217961E-2</c:v>
                </c:pt>
                <c:pt idx="13">
                  <c:v>1.7731993128566145E-2</c:v>
                </c:pt>
                <c:pt idx="14">
                  <c:v>1.7138290423430548E-2</c:v>
                </c:pt>
                <c:pt idx="15">
                  <c:v>1.6598149600004254E-2</c:v>
                </c:pt>
                <c:pt idx="16">
                  <c:v>1.6103924637171533E-2</c:v>
                </c:pt>
                <c:pt idx="17">
                  <c:v>1.5649415333198375E-2</c:v>
                </c:pt>
                <c:pt idx="18">
                  <c:v>1.5229534020925931E-2</c:v>
                </c:pt>
                <c:pt idx="19">
                  <c:v>1.4840061535306964E-2</c:v>
                </c:pt>
                <c:pt idx="20">
                  <c:v>1.4477465520952387E-2</c:v>
                </c:pt>
                <c:pt idx="21">
                  <c:v>1.4138763107715472E-2</c:v>
                </c:pt>
                <c:pt idx="22">
                  <c:v>1.3821415702295703E-2</c:v>
                </c:pt>
                <c:pt idx="23">
                  <c:v>1.3523247386087815E-2</c:v>
                </c:pt>
                <c:pt idx="24">
                  <c:v>1.3242380907851773E-2</c:v>
                </c:pt>
                <c:pt idx="25">
                  <c:v>1.2977186958646764E-2</c:v>
                </c:pt>
                <c:pt idx="26">
                  <c:v>1.2726243591253232E-2</c:v>
                </c:pt>
                <c:pt idx="27">
                  <c:v>1.2488303471275925E-2</c:v>
                </c:pt>
                <c:pt idx="28">
                  <c:v>1.226226723470045E-2</c:v>
                </c:pt>
                <c:pt idx="29">
                  <c:v>1.2047161650680642E-2</c:v>
                </c:pt>
                <c:pt idx="30">
                  <c:v>1.1842121598024715E-2</c:v>
                </c:pt>
                <c:pt idx="31">
                  <c:v>1.1646375092599833E-2</c:v>
                </c:pt>
                <c:pt idx="32">
                  <c:v>1.145923077361676E-2</c:v>
                </c:pt>
                <c:pt idx="33">
                  <c:v>1.1280067385449354E-2</c:v>
                </c:pt>
                <c:pt idx="34">
                  <c:v>1.1108324889532438E-2</c:v>
                </c:pt>
                <c:pt idx="35">
                  <c:v>1.0943496915979406E-2</c:v>
                </c:pt>
                <c:pt idx="36">
                  <c:v>1.0785124322638798E-2</c:v>
                </c:pt>
                <c:pt idx="37">
                  <c:v>1.0632789674565456E-2</c:v>
                </c:pt>
                <c:pt idx="38">
                  <c:v>1.0486112492399505E-2</c:v>
                </c:pt>
                <c:pt idx="39">
                  <c:v>1.034474514620942E-2</c:v>
                </c:pt>
                <c:pt idx="40">
                  <c:v>1.0208369293669986E-2</c:v>
                </c:pt>
                <c:pt idx="41">
                  <c:v>1.0076692779297075E-2</c:v>
                </c:pt>
                <c:pt idx="42">
                  <c:v>9.9494469258235088E-3</c:v>
                </c:pt>
                <c:pt idx="43">
                  <c:v>9.8263841604186598E-3</c:v>
                </c:pt>
                <c:pt idx="44">
                  <c:v>9.707275927902069E-3</c:v>
                </c:pt>
                <c:pt idx="45">
                  <c:v>9.5919108508212766E-3</c:v>
                </c:pt>
                <c:pt idx="46">
                  <c:v>9.4800931026025378E-3</c:v>
                </c:pt>
                <c:pt idx="47">
                  <c:v>9.3716409652100773E-3</c:v>
                </c:pt>
                <c:pt idx="48">
                  <c:v>9.2663855470788738E-3</c:v>
                </c:pt>
                <c:pt idx="49">
                  <c:v>9.1641696406864273E-3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946-4140-9744-6D22771EA224}"/>
            </c:ext>
          </c:extLst>
        </c:ser>
        <c:ser>
          <c:idx val="8"/>
          <c:order val="8"/>
          <c:tx>
            <c:strRef>
              <c:f>Gamma!$B$32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Gamma!$C$32:$AZ$32</c:f>
              <c:numCache>
                <c:formatCode>General</c:formatCode>
                <c:ptCount val="50"/>
                <c:pt idx="0">
                  <c:v>6.3007389850102596E-2</c:v>
                </c:pt>
                <c:pt idx="1">
                  <c:v>4.4502858739261318E-2</c:v>
                </c:pt>
                <c:pt idx="2">
                  <c:v>3.6295576501642057E-2</c:v>
                </c:pt>
                <c:pt idx="3">
                  <c:v>3.1397549176385639E-2</c:v>
                </c:pt>
                <c:pt idx="4">
                  <c:v>2.8051246304186251E-2</c:v>
                </c:pt>
                <c:pt idx="5">
                  <c:v>2.55783754134996E-2</c:v>
                </c:pt>
                <c:pt idx="6">
                  <c:v>2.3654347961507345E-2</c:v>
                </c:pt>
                <c:pt idx="7">
                  <c:v>2.2101737998123483E-2</c:v>
                </c:pt>
                <c:pt idx="8">
                  <c:v>2.0814289167512139E-2</c:v>
                </c:pt>
                <c:pt idx="9">
                  <c:v>1.9723966545394447E-2</c:v>
                </c:pt>
                <c:pt idx="10">
                  <c:v>1.8784919286577089E-2</c:v>
                </c:pt>
                <c:pt idx="11">
                  <c:v>1.7964968979160899E-2</c:v>
                </c:pt>
                <c:pt idx="12">
                  <c:v>1.7240777106275883E-2</c:v>
                </c:pt>
                <c:pt idx="13">
                  <c:v>1.6594948700635007E-2</c:v>
                </c:pt>
                <c:pt idx="14">
                  <c:v>1.6014217447878759E-2</c:v>
                </c:pt>
                <c:pt idx="15">
                  <c:v>1.5488265266275772E-2</c:v>
                </c:pt>
                <c:pt idx="16">
                  <c:v>1.5008929840866801E-2</c:v>
                </c:pt>
                <c:pt idx="17">
                  <c:v>1.456965789408284E-2</c:v>
                </c:pt>
                <c:pt idx="18">
                  <c:v>1.4165118927782437E-2</c:v>
                </c:pt>
                <c:pt idx="19">
                  <c:v>1.3790926583135297E-2</c:v>
                </c:pt>
                <c:pt idx="20">
                  <c:v>1.3443433885024857E-2</c:v>
                </c:pt>
                <c:pt idx="21">
                  <c:v>1.3119580278566976E-2</c:v>
                </c:pt>
                <c:pt idx="22">
                  <c:v>1.2816775653301029E-2</c:v>
                </c:pt>
                <c:pt idx="23">
                  <c:v>1.2532811228337144E-2</c:v>
                </c:pt>
                <c:pt idx="24">
                  <c:v>1.2265790241940751E-2</c:v>
                </c:pt>
                <c:pt idx="25">
                  <c:v>1.2014073445191866E-2</c:v>
                </c:pt>
                <c:pt idx="26">
                  <c:v>1.1776235801826617E-2</c:v>
                </c:pt>
                <c:pt idx="27">
                  <c:v>1.1551031769063367E-2</c:v>
                </c:pt>
                <c:pt idx="28">
                  <c:v>1.133736721922012E-2</c:v>
                </c:pt>
                <c:pt idx="29">
                  <c:v>1.1134276551152787E-2</c:v>
                </c:pt>
                <c:pt idx="30">
                  <c:v>1.0940903894495056E-2</c:v>
                </c:pt>
                <c:pt idx="31">
                  <c:v>1.0756487568849541E-2</c:v>
                </c:pt>
                <c:pt idx="32">
                  <c:v>1.0580347151969415E-2</c:v>
                </c:pt>
                <c:pt idx="33">
                  <c:v>1.0411872654523129E-2</c:v>
                </c:pt>
                <c:pt idx="34">
                  <c:v>1.0250515407469418E-2</c:v>
                </c:pt>
                <c:pt idx="35">
                  <c:v>1.0095780350719811E-2</c:v>
                </c:pt>
                <c:pt idx="36">
                  <c:v>9.9472194752982489E-3</c:v>
                </c:pt>
                <c:pt idx="37">
                  <c:v>9.8044262204333658E-3</c:v>
                </c:pt>
                <c:pt idx="38">
                  <c:v>9.6670306654470083E-3</c:v>
                </c:pt>
                <c:pt idx="39">
                  <c:v>9.5346953865131021E-3</c:v>
                </c:pt>
                <c:pt idx="40">
                  <c:v>9.4071118722700263E-3</c:v>
                </c:pt>
                <c:pt idx="41">
                  <c:v>9.2839974113112737E-3</c:v>
                </c:pt>
                <c:pt idx="42">
                  <c:v>9.1650923798350329E-3</c:v>
                </c:pt>
                <c:pt idx="43">
                  <c:v>9.0501578700251956E-3</c:v>
                </c:pt>
                <c:pt idx="44">
                  <c:v>8.9389736096940359E-3</c:v>
                </c:pt>
                <c:pt idx="45">
                  <c:v>8.8313361318242446E-3</c:v>
                </c:pt>
                <c:pt idx="46">
                  <c:v>8.7270571592820093E-3</c:v>
                </c:pt>
                <c:pt idx="47">
                  <c:v>8.6259621754257287E-3</c:v>
                </c:pt>
                <c:pt idx="48">
                  <c:v>8.5278891558375324E-3</c:v>
                </c:pt>
                <c:pt idx="49">
                  <c:v>8.4326874401380626E-3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46-4140-9744-6D22771EA224}"/>
            </c:ext>
          </c:extLst>
        </c:ser>
        <c:ser>
          <c:idx val="9"/>
          <c:order val="9"/>
          <c:tx>
            <c:strRef>
              <c:f>Gamma!$B$33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Gamma!$C$33:$AZ$33</c:f>
              <c:numCache>
                <c:formatCode>General</c:formatCode>
                <c:ptCount val="50"/>
                <c:pt idx="0">
                  <c:v>4.2961708392642121E-2</c:v>
                </c:pt>
                <c:pt idx="1">
                  <c:v>3.5212130286942131E-2</c:v>
                </c:pt>
                <c:pt idx="2">
                  <c:v>3.0178399358531966E-2</c:v>
                </c:pt>
                <c:pt idx="3">
                  <c:v>2.6761306237360671E-2</c:v>
                </c:pt>
                <c:pt idx="4">
                  <c:v>2.4267506445708336E-2</c:v>
                </c:pt>
                <c:pt idx="5">
                  <c:v>2.2348767206295847E-2</c:v>
                </c:pt>
                <c:pt idx="6">
                  <c:v>2.0814619144845083E-2</c:v>
                </c:pt>
                <c:pt idx="7">
                  <c:v>1.9552017122180455E-2</c:v>
                </c:pt>
                <c:pt idx="8">
                  <c:v>1.8489346824041977E-2</c:v>
                </c:pt>
                <c:pt idx="9">
                  <c:v>1.7578836087368842E-2</c:v>
                </c:pt>
                <c:pt idx="10">
                  <c:v>1.6787267036854639E-2</c:v>
                </c:pt>
                <c:pt idx="11">
                  <c:v>1.6090744624012509E-2</c:v>
                </c:pt>
                <c:pt idx="12">
                  <c:v>1.5471588172748648E-2</c:v>
                </c:pt>
                <c:pt idx="13">
                  <c:v>1.4916400015446188E-2</c:v>
                </c:pt>
                <c:pt idx="14">
                  <c:v>1.4414819315620848E-2</c:v>
                </c:pt>
                <c:pt idx="15">
                  <c:v>1.395869161892372E-2</c:v>
                </c:pt>
                <c:pt idx="16">
                  <c:v>1.3541499795392981E-2</c:v>
                </c:pt>
                <c:pt idx="17">
                  <c:v>1.3157964498051756E-2</c:v>
                </c:pt>
                <c:pt idx="18">
                  <c:v>1.2803757575382086E-2</c:v>
                </c:pt>
                <c:pt idx="19">
                  <c:v>1.2475292570391813E-2</c:v>
                </c:pt>
                <c:pt idx="20">
                  <c:v>1.2169568958901766E-2</c:v>
                </c:pt>
                <c:pt idx="21">
                  <c:v>1.1884054570490875E-2</c:v>
                </c:pt>
                <c:pt idx="22">
                  <c:v>1.1616595607341462E-2</c:v>
                </c:pt>
                <c:pt idx="23">
                  <c:v>1.1365346921793071E-2</c:v>
                </c:pt>
                <c:pt idx="24">
                  <c:v>1.1128717375958556E-2</c:v>
                </c:pt>
                <c:pt idx="25">
                  <c:v>1.090532657474016E-2</c:v>
                </c:pt>
                <c:pt idx="26">
                  <c:v>1.0693970277142735E-2</c:v>
                </c:pt>
                <c:pt idx="27">
                  <c:v>1.0493592501550632E-2</c:v>
                </c:pt>
                <c:pt idx="28">
                  <c:v>1.0303262846243558E-2</c:v>
                </c:pt>
                <c:pt idx="29">
                  <c:v>1.0122157910866229E-2</c:v>
                </c:pt>
                <c:pt idx="30">
                  <c:v>9.9495459704758565E-3</c:v>
                </c:pt>
                <c:pt idx="31">
                  <c:v>9.784774250017704E-3</c:v>
                </c:pt>
                <c:pt idx="32">
                  <c:v>9.6272582934163863E-3</c:v>
                </c:pt>
                <c:pt idx="33">
                  <c:v>9.4764730316801906E-3</c:v>
                </c:pt>
                <c:pt idx="34">
                  <c:v>9.3319452381831949E-3</c:v>
                </c:pt>
                <c:pt idx="35">
                  <c:v>9.1932471235095844E-3</c:v>
                </c:pt>
                <c:pt idx="36">
                  <c:v>9.0599908718779557E-3</c:v>
                </c:pt>
                <c:pt idx="37">
                  <c:v>8.9318239598161191E-3</c:v>
                </c:pt>
                <c:pt idx="38">
                  <c:v>8.8084251280750366E-3</c:v>
                </c:pt>
                <c:pt idx="39">
                  <c:v>8.6895009017126778E-3</c:v>
                </c:pt>
                <c:pt idx="40">
                  <c:v>8.5747825723069757E-3</c:v>
                </c:pt>
                <c:pt idx="41">
                  <c:v>8.4640235714722092E-3</c:v>
                </c:pt>
                <c:pt idx="42">
                  <c:v>8.3569971770894678E-3</c:v>
                </c:pt>
                <c:pt idx="43">
                  <c:v>8.2534945035560477E-3</c:v>
                </c:pt>
                <c:pt idx="44">
                  <c:v>8.1533227354013069E-3</c:v>
                </c:pt>
                <c:pt idx="45">
                  <c:v>8.0563035701858195E-3</c:v>
                </c:pt>
                <c:pt idx="46">
                  <c:v>7.9622718419925416E-3</c:v>
                </c:pt>
                <c:pt idx="47">
                  <c:v>7.8710743012636291E-3</c:v>
                </c:pt>
                <c:pt idx="48">
                  <c:v>7.7825685304169822E-3</c:v>
                </c:pt>
                <c:pt idx="49">
                  <c:v>7.6966219777363501E-3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946-4140-9744-6D22771EA224}"/>
            </c:ext>
          </c:extLst>
        </c:ser>
        <c:ser>
          <c:idx val="10"/>
          <c:order val="10"/>
          <c:tx>
            <c:strRef>
              <c:f>Gamma!$B$34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Gamma!$C$34:$AZ$34</c:f>
              <c:numCache>
                <c:formatCode>General</c:formatCode>
                <c:ptCount val="50"/>
                <c:pt idx="0">
                  <c:v>1.7132125878144413E-2</c:v>
                </c:pt>
                <c:pt idx="1">
                  <c:v>2.1349081451222496E-2</c:v>
                </c:pt>
                <c:pt idx="2">
                  <c:v>2.1039503593612036E-2</c:v>
                </c:pt>
                <c:pt idx="3">
                  <c:v>2.0006577096239694E-2</c:v>
                </c:pt>
                <c:pt idx="4">
                  <c:v>1.8918485039079759E-2</c:v>
                </c:pt>
                <c:pt idx="5">
                  <c:v>1.7916173218194179E-2</c:v>
                </c:pt>
                <c:pt idx="6">
                  <c:v>1.7022556226213847E-2</c:v>
                </c:pt>
                <c:pt idx="7">
                  <c:v>1.6231040004613291E-2</c:v>
                </c:pt>
                <c:pt idx="8">
                  <c:v>1.5528543194402064E-2</c:v>
                </c:pt>
                <c:pt idx="9">
                  <c:v>1.4901938093572722E-2</c:v>
                </c:pt>
                <c:pt idx="10">
                  <c:v>1.4339729185951668E-2</c:v>
                </c:pt>
                <c:pt idx="11">
                  <c:v>1.383228790761995E-2</c:v>
                </c:pt>
                <c:pt idx="12">
                  <c:v>1.3371667186658755E-2</c:v>
                </c:pt>
                <c:pt idx="13">
                  <c:v>1.2951325332653221E-2</c:v>
                </c:pt>
                <c:pt idx="14">
                  <c:v>1.2565862986255488E-2</c:v>
                </c:pt>
                <c:pt idx="15">
                  <c:v>1.2210800605677367E-2</c:v>
                </c:pt>
                <c:pt idx="16">
                  <c:v>1.1882398542194691E-2</c:v>
                </c:pt>
                <c:pt idx="17">
                  <c:v>1.1577514141645588E-2</c:v>
                </c:pt>
                <c:pt idx="18">
                  <c:v>1.1293488907277728E-2</c:v>
                </c:pt>
                <c:pt idx="19">
                  <c:v>1.1028059378052651E-2</c:v>
                </c:pt>
                <c:pt idx="20">
                  <c:v>1.0779286499179296E-2</c:v>
                </c:pt>
                <c:pt idx="21">
                  <c:v>1.0545499365109932E-2</c:v>
                </c:pt>
                <c:pt idx="22">
                  <c:v>1.0325250146350518E-2</c:v>
                </c:pt>
                <c:pt idx="23">
                  <c:v>1.0117277750523576E-2</c:v>
                </c:pt>
                <c:pt idx="24">
                  <c:v>9.9204783386592742E-3</c:v>
                </c:pt>
                <c:pt idx="25">
                  <c:v>9.7338812526154821E-3</c:v>
                </c:pt>
                <c:pt idx="26">
                  <c:v>9.5566292395470164E-3</c:v>
                </c:pt>
                <c:pt idx="27">
                  <c:v>9.3879621097167718E-3</c:v>
                </c:pt>
                <c:pt idx="28">
                  <c:v>9.2272031543468962E-3</c:v>
                </c:pt>
                <c:pt idx="29">
                  <c:v>9.0737477955800411E-3</c:v>
                </c:pt>
                <c:pt idx="30">
                  <c:v>8.9270540521480726E-3</c:v>
                </c:pt>
                <c:pt idx="31">
                  <c:v>8.7866344903663653E-3</c:v>
                </c:pt>
                <c:pt idx="32">
                  <c:v>8.6520493967925799E-3</c:v>
                </c:pt>
                <c:pt idx="33">
                  <c:v>8.5229009609359471E-3</c:v>
                </c:pt>
                <c:pt idx="34">
                  <c:v>8.398828297236309E-3</c:v>
                </c:pt>
                <c:pt idx="35">
                  <c:v>8.2795031677486558E-3</c:v>
                </c:pt>
                <c:pt idx="36">
                  <c:v>8.1646262925278018E-3</c:v>
                </c:pt>
                <c:pt idx="37">
                  <c:v>8.0539241550944135E-3</c:v>
                </c:pt>
                <c:pt idx="38">
                  <c:v>7.9471462267098961E-3</c:v>
                </c:pt>
                <c:pt idx="39">
                  <c:v>7.8440625463605997E-3</c:v>
                </c:pt>
                <c:pt idx="40">
                  <c:v>7.7444616040196982E-3</c:v>
                </c:pt>
                <c:pt idx="41">
                  <c:v>7.6481484834351006E-3</c:v>
                </c:pt>
                <c:pt idx="42">
                  <c:v>7.5549432277863867E-3</c:v>
                </c:pt>
                <c:pt idx="43">
                  <c:v>7.4646793973781262E-3</c:v>
                </c:pt>
                <c:pt idx="44">
                  <c:v>7.3772027933387569E-3</c:v>
                </c:pt>
                <c:pt idx="45">
                  <c:v>7.2923703252688954E-3</c:v>
                </c:pt>
                <c:pt idx="46">
                  <c:v>7.2100490040862544E-3</c:v>
                </c:pt>
                <c:pt idx="47">
                  <c:v>7.1301150440695737E-3</c:v>
                </c:pt>
                <c:pt idx="48">
                  <c:v>7.0524530604109403E-3</c:v>
                </c:pt>
                <c:pt idx="49">
                  <c:v>6.9769553505238443E-3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946-4140-9744-6D22771EA224}"/>
            </c:ext>
          </c:extLst>
        </c:ser>
        <c:ser>
          <c:idx val="11"/>
          <c:order val="11"/>
          <c:tx>
            <c:strRef>
              <c:f>Gamma!$B$35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Gamma!$C$35:$AZ$35</c:f>
              <c:numCache>
                <c:formatCode>General</c:formatCode>
                <c:ptCount val="50"/>
                <c:pt idx="0">
                  <c:v>4.293033327812704E-3</c:v>
                </c:pt>
                <c:pt idx="1">
                  <c:v>1.0279303406877474E-2</c:v>
                </c:pt>
                <c:pt idx="2">
                  <c:v>1.259400347775148E-2</c:v>
                </c:pt>
                <c:pt idx="3">
                  <c:v>1.3352820984703353E-2</c:v>
                </c:pt>
                <c:pt idx="4">
                  <c:v>1.3478753756809103E-2</c:v>
                </c:pt>
                <c:pt idx="5">
                  <c:v>1.3332678349343825E-2</c:v>
                </c:pt>
                <c:pt idx="6">
                  <c:v>1.3067821328100538E-2</c:v>
                </c:pt>
                <c:pt idx="7">
                  <c:v>1.2754236173725023E-2</c:v>
                </c:pt>
                <c:pt idx="8">
                  <c:v>1.2425602990436633E-2</c:v>
                </c:pt>
                <c:pt idx="9">
                  <c:v>1.2098525266351955E-2</c:v>
                </c:pt>
                <c:pt idx="10">
                  <c:v>1.1781146771663715E-2</c:v>
                </c:pt>
                <c:pt idx="11">
                  <c:v>1.1477256395789781E-2</c:v>
                </c:pt>
                <c:pt idx="12">
                  <c:v>1.1188346905975938E-2</c:v>
                </c:pt>
                <c:pt idx="13">
                  <c:v>1.0914690049198652E-2</c:v>
                </c:pt>
                <c:pt idx="14">
                  <c:v>1.0655915470665326E-2</c:v>
                </c:pt>
                <c:pt idx="15">
                  <c:v>1.041132927661333E-2</c:v>
                </c:pt>
                <c:pt idx="16">
                  <c:v>1.0180091531767394E-2</c:v>
                </c:pt>
                <c:pt idx="17">
                  <c:v>9.9613153465066082E-3</c:v>
                </c:pt>
                <c:pt idx="18">
                  <c:v>9.7541215223034359E-3</c:v>
                </c:pt>
                <c:pt idx="19">
                  <c:v>9.5576676672171137E-3</c:v>
                </c:pt>
                <c:pt idx="20">
                  <c:v>9.371162543953742E-3</c:v>
                </c:pt>
                <c:pt idx="21">
                  <c:v>9.1938718841564661E-3</c:v>
                </c:pt>
                <c:pt idx="22">
                  <c:v>9.0251193280403205E-3</c:v>
                </c:pt>
                <c:pt idx="23">
                  <c:v>8.8642846564858102E-3</c:v>
                </c:pt>
                <c:pt idx="24">
                  <c:v>8.71080060410118E-3</c:v>
                </c:pt>
                <c:pt idx="25">
                  <c:v>8.5641490176669027E-3</c:v>
                </c:pt>
                <c:pt idx="26">
                  <c:v>8.4238568087089995E-3</c:v>
                </c:pt>
                <c:pt idx="27">
                  <c:v>8.2894919576351825E-3</c:v>
                </c:pt>
                <c:pt idx="28">
                  <c:v>8.1606597106638201E-3</c:v>
                </c:pt>
                <c:pt idx="29">
                  <c:v>8.0369990403848408E-3</c:v>
                </c:pt>
                <c:pt idx="30">
                  <c:v>7.9181793985495328E-3</c:v>
                </c:pt>
                <c:pt idx="31">
                  <c:v>7.8038977648173819E-3</c:v>
                </c:pt>
                <c:pt idx="32">
                  <c:v>7.6938759810547116E-3</c:v>
                </c:pt>
                <c:pt idx="33">
                  <c:v>7.5878583532619417E-3</c:v>
                </c:pt>
                <c:pt idx="34">
                  <c:v>7.4856094997306907E-3</c:v>
                </c:pt>
                <c:pt idx="35">
                  <c:v>7.3869124229876395E-3</c:v>
                </c:pt>
                <c:pt idx="36">
                  <c:v>7.2915667834586428E-3</c:v>
                </c:pt>
                <c:pt idx="37">
                  <c:v>7.1993873539527627E-3</c:v>
                </c:pt>
                <c:pt idx="38">
                  <c:v>7.1102026356298486E-3</c:v>
                </c:pt>
                <c:pt idx="39">
                  <c:v>7.0238536178371452E-3</c:v>
                </c:pt>
                <c:pt idx="40">
                  <c:v>6.9401926659367818E-3</c:v>
                </c:pt>
                <c:pt idx="41">
                  <c:v>6.8590825229144087E-3</c:v>
                </c:pt>
                <c:pt idx="42">
                  <c:v>6.7803954121156479E-3</c:v>
                </c:pt>
                <c:pt idx="43">
                  <c:v>6.7040122298810973E-3</c:v>
                </c:pt>
                <c:pt idx="44">
                  <c:v>6.6298218181368614E-3</c:v>
                </c:pt>
                <c:pt idx="45">
                  <c:v>6.5577203081484594E-3</c:v>
                </c:pt>
                <c:pt idx="46">
                  <c:v>6.4876105276696237E-3</c:v>
                </c:pt>
                <c:pt idx="47">
                  <c:v>6.4194014646235201E-3</c:v>
                </c:pt>
                <c:pt idx="48">
                  <c:v>6.3530077812536884E-3</c:v>
                </c:pt>
                <c:pt idx="49">
                  <c:v>6.2883493733863101E-3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46-4140-9744-6D22771EA224}"/>
            </c:ext>
          </c:extLst>
        </c:ser>
        <c:ser>
          <c:idx val="12"/>
          <c:order val="12"/>
          <c:tx>
            <c:strRef>
              <c:f>Gamma!$B$36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Gamma!$C$36:$AZ$36</c:f>
              <c:numCache>
                <c:formatCode>General</c:formatCode>
                <c:ptCount val="50"/>
                <c:pt idx="0">
                  <c:v>7.1823787351586244E-4</c:v>
                </c:pt>
                <c:pt idx="1">
                  <c:v>4.0508179535475647E-3</c:v>
                </c:pt>
                <c:pt idx="2">
                  <c:v>6.6034037139998071E-3</c:v>
                </c:pt>
                <c:pt idx="3">
                  <c:v>8.0758746095868535E-3</c:v>
                </c:pt>
                <c:pt idx="4">
                  <c:v>8.881243547387634E-3</c:v>
                </c:pt>
                <c:pt idx="5">
                  <c:v>9.3013597568778437E-3</c:v>
                </c:pt>
                <c:pt idx="6">
                  <c:v>9.4962050866496343E-3</c:v>
                </c:pt>
                <c:pt idx="7">
                  <c:v>9.5562993383245896E-3</c:v>
                </c:pt>
                <c:pt idx="8">
                  <c:v>9.5342861100476302E-3</c:v>
                </c:pt>
                <c:pt idx="9">
                  <c:v>9.46175015661453E-3</c:v>
                </c:pt>
                <c:pt idx="10">
                  <c:v>9.3581845767962274E-3</c:v>
                </c:pt>
                <c:pt idx="11">
                  <c:v>9.2359085458628854E-3</c:v>
                </c:pt>
                <c:pt idx="12">
                  <c:v>9.102855655595805E-3</c:v>
                </c:pt>
                <c:pt idx="13">
                  <c:v>8.9642069883307616E-3</c:v>
                </c:pt>
                <c:pt idx="14">
                  <c:v>8.8233764114015682E-3</c:v>
                </c:pt>
                <c:pt idx="15">
                  <c:v>8.68262105781035E-3</c:v>
                </c:pt>
                <c:pt idx="16">
                  <c:v>8.5434285875810746E-3</c:v>
                </c:pt>
                <c:pt idx="17">
                  <c:v>8.4067679976348904E-3</c:v>
                </c:pt>
                <c:pt idx="18">
                  <c:v>8.2732550419221465E-3</c:v>
                </c:pt>
                <c:pt idx="19">
                  <c:v>8.1432630811320347E-3</c:v>
                </c:pt>
                <c:pt idx="20">
                  <c:v>8.0169983956870378E-3</c:v>
                </c:pt>
                <c:pt idx="21">
                  <c:v>7.8945519642155404E-3</c:v>
                </c:pt>
                <c:pt idx="22">
                  <c:v>7.7759354198514629E-3</c:v>
                </c:pt>
                <c:pt idx="23">
                  <c:v>7.6611062255981322E-3</c:v>
                </c:pt>
                <c:pt idx="24">
                  <c:v>7.5499854155068402E-3</c:v>
                </c:pt>
                <c:pt idx="25">
                  <c:v>7.4424701549921073E-3</c:v>
                </c:pt>
                <c:pt idx="26">
                  <c:v>7.3384426569249473E-3</c:v>
                </c:pt>
                <c:pt idx="27">
                  <c:v>7.2377765136259565E-3</c:v>
                </c:pt>
                <c:pt idx="28">
                  <c:v>7.1403411838513436E-3</c:v>
                </c:pt>
                <c:pt idx="29">
                  <c:v>7.0460051549628578E-3</c:v>
                </c:pt>
                <c:pt idx="30">
                  <c:v>6.9546381495434262E-3</c:v>
                </c:pt>
                <c:pt idx="31">
                  <c:v>6.8661126405916142E-3</c:v>
                </c:pt>
                <c:pt idx="32">
                  <c:v>6.7803048655129382E-3</c:v>
                </c:pt>
                <c:pt idx="33">
                  <c:v>6.6970954767095366E-3</c:v>
                </c:pt>
                <c:pt idx="34">
                  <c:v>6.6163699291057702E-3</c:v>
                </c:pt>
                <c:pt idx="35">
                  <c:v>6.5380186779784343E-3</c:v>
                </c:pt>
                <c:pt idx="36">
                  <c:v>6.4619372409197556E-3</c:v>
                </c:pt>
                <c:pt idx="37">
                  <c:v>6.3880261635201746E-3</c:v>
                </c:pt>
                <c:pt idx="38">
                  <c:v>6.3161909179243712E-3</c:v>
                </c:pt>
                <c:pt idx="39">
                  <c:v>6.2463417557349936E-3</c:v>
                </c:pt>
                <c:pt idx="40">
                  <c:v>6.1783935310640954E-3</c:v>
                </c:pt>
                <c:pt idx="41">
                  <c:v>6.1122655053254607E-3</c:v>
                </c:pt>
                <c:pt idx="42">
                  <c:v>6.0478811422336127E-3</c:v>
                </c:pt>
                <c:pt idx="43">
                  <c:v>5.9851678991461E-3</c:v>
                </c:pt>
                <c:pt idx="44">
                  <c:v>5.924057019148928E-3</c:v>
                </c:pt>
                <c:pt idx="45">
                  <c:v>5.8644833269895424E-3</c:v>
                </c:pt>
                <c:pt idx="46">
                  <c:v>5.8063850309964735E-3</c:v>
                </c:pt>
                <c:pt idx="47">
                  <c:v>5.749703532406612E-3</c:v>
                </c:pt>
                <c:pt idx="48">
                  <c:v>5.6943832429888685E-3</c:v>
                </c:pt>
                <c:pt idx="49">
                  <c:v>5.6403714114604637E-3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946-4140-9744-6D22771EA224}"/>
            </c:ext>
          </c:extLst>
        </c:ser>
        <c:ser>
          <c:idx val="13"/>
          <c:order val="13"/>
          <c:tx>
            <c:strRef>
              <c:f>Gamma!$B$37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Gamma!$C$37:$AZ$37</c:f>
              <c:numCache>
                <c:formatCode>General</c:formatCode>
                <c:ptCount val="50"/>
                <c:pt idx="0">
                  <c:v>8.446823286585097E-5</c:v>
                </c:pt>
                <c:pt idx="1">
                  <c:v>1.3404252747399995E-3</c:v>
                </c:pt>
                <c:pt idx="2">
                  <c:v>3.084792741286774E-3</c:v>
                </c:pt>
                <c:pt idx="3">
                  <c:v>4.4825674910614188E-3</c:v>
                </c:pt>
                <c:pt idx="4">
                  <c:v>5.4668672380470719E-3</c:v>
                </c:pt>
                <c:pt idx="5">
                  <c:v>6.1342693499021788E-3</c:v>
                </c:pt>
                <c:pt idx="6">
                  <c:v>6.5790096216856164E-3</c:v>
                </c:pt>
                <c:pt idx="7">
                  <c:v>6.8698255498420152E-3</c:v>
                </c:pt>
                <c:pt idx="8">
                  <c:v>7.0538139252298493E-3</c:v>
                </c:pt>
                <c:pt idx="9">
                  <c:v>7.1629377797827656E-3</c:v>
                </c:pt>
                <c:pt idx="10">
                  <c:v>7.2190482036348855E-3</c:v>
                </c:pt>
                <c:pt idx="11">
                  <c:v>7.2372762874415375E-3</c:v>
                </c:pt>
                <c:pt idx="12">
                  <c:v>7.2282492148045959E-3</c:v>
                </c:pt>
                <c:pt idx="13">
                  <c:v>7.1995345975970002E-3</c:v>
                </c:pt>
                <c:pt idx="14">
                  <c:v>7.1565903963601877E-3</c:v>
                </c:pt>
                <c:pt idx="15">
                  <c:v>7.1033981533630882E-3</c:v>
                </c:pt>
                <c:pt idx="16">
                  <c:v>7.0428914609800431E-3</c:v>
                </c:pt>
                <c:pt idx="17">
                  <c:v>6.9772502611982583E-3</c:v>
                </c:pt>
                <c:pt idx="18">
                  <c:v>6.9081059351256482E-3</c:v>
                </c:pt>
                <c:pt idx="19">
                  <c:v>6.8366861897907437E-3</c:v>
                </c:pt>
                <c:pt idx="20">
                  <c:v>6.7639187271098496E-3</c:v>
                </c:pt>
                <c:pt idx="21">
                  <c:v>6.6905063021160237E-3</c:v>
                </c:pt>
                <c:pt idx="22">
                  <c:v>6.6169816622071156E-3</c:v>
                </c:pt>
                <c:pt idx="23">
                  <c:v>6.5437481658414025E-3</c:v>
                </c:pt>
                <c:pt idx="24">
                  <c:v>6.4711100917088449E-3</c:v>
                </c:pt>
                <c:pt idx="25">
                  <c:v>6.3992954471556555E-3</c:v>
                </c:pt>
                <c:pt idx="26">
                  <c:v>6.3284732655189326E-3</c:v>
                </c:pt>
                <c:pt idx="27">
                  <c:v>6.2587668170935333E-3</c:v>
                </c:pt>
                <c:pt idx="28">
                  <c:v>6.1902637643063124E-3</c:v>
                </c:pt>
                <c:pt idx="29">
                  <c:v>6.1230240136718661E-3</c:v>
                </c:pt>
                <c:pt idx="30">
                  <c:v>6.0570858190008457E-3</c:v>
                </c:pt>
                <c:pt idx="31">
                  <c:v>5.9924705477925463E-3</c:v>
                </c:pt>
                <c:pt idx="32">
                  <c:v>5.9291864192448389E-3</c:v>
                </c:pt>
                <c:pt idx="33">
                  <c:v>5.867231446516033E-3</c:v>
                </c:pt>
                <c:pt idx="34">
                  <c:v>5.8065957599102002E-3</c:v>
                </c:pt>
                <c:pt idx="35">
                  <c:v>5.7472634460231219E-3</c:v>
                </c:pt>
                <c:pt idx="36">
                  <c:v>5.6892140066876918E-3</c:v>
                </c:pt>
                <c:pt idx="37">
                  <c:v>5.6324235180203047E-3</c:v>
                </c:pt>
                <c:pt idx="38">
                  <c:v>5.5768655519978279E-3</c:v>
                </c:pt>
                <c:pt idx="39">
                  <c:v>5.5225119093422655E-3</c:v>
                </c:pt>
                <c:pt idx="40">
                  <c:v>5.4693332020009089E-3</c:v>
                </c:pt>
                <c:pt idx="41">
                  <c:v>5.4172993154072329E-3</c:v>
                </c:pt>
                <c:pt idx="42">
                  <c:v>5.3663797744166472E-3</c:v>
                </c:pt>
                <c:pt idx="43">
                  <c:v>5.3165440319029597E-3</c:v>
                </c:pt>
                <c:pt idx="44">
                  <c:v>5.2677616951544558E-3</c:v>
                </c:pt>
                <c:pt idx="45">
                  <c:v>5.2200027021803283E-3</c:v>
                </c:pt>
                <c:pt idx="46">
                  <c:v>5.1732374576448047E-3</c:v>
                </c:pt>
                <c:pt idx="47">
                  <c:v>5.1274369362472967E-3</c:v>
                </c:pt>
                <c:pt idx="48">
                  <c:v>5.0825727598547586E-3</c:v>
                </c:pt>
                <c:pt idx="49">
                  <c:v>5.0386172534840883E-3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46-4140-9744-6D22771EA224}"/>
            </c:ext>
          </c:extLst>
        </c:ser>
        <c:ser>
          <c:idx val="14"/>
          <c:order val="14"/>
          <c:tx>
            <c:strRef>
              <c:f>Gamma!$B$38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Gamma!$C$38:$AZ$38</c:f>
              <c:numCache>
                <c:formatCode>General</c:formatCode>
                <c:ptCount val="50"/>
                <c:pt idx="0">
                  <c:v>7.2972234478141031E-6</c:v>
                </c:pt>
                <c:pt idx="1">
                  <c:v>3.8068919850193204E-4</c:v>
                </c:pt>
                <c:pt idx="2">
                  <c:v>1.3026922814580184E-3</c:v>
                </c:pt>
                <c:pt idx="3">
                  <c:v>2.3082701661092638E-3</c:v>
                </c:pt>
                <c:pt idx="4">
                  <c:v>3.170915723518429E-3</c:v>
                </c:pt>
                <c:pt idx="5">
                  <c:v>3.8518254155354265E-3</c:v>
                </c:pt>
                <c:pt idx="6">
                  <c:v>4.3719665660242645E-3</c:v>
                </c:pt>
                <c:pt idx="7">
                  <c:v>4.7634480986671448E-3</c:v>
                </c:pt>
                <c:pt idx="8">
                  <c:v>5.0554177985015743E-3</c:v>
                </c:pt>
                <c:pt idx="9">
                  <c:v>5.271207263287927E-3</c:v>
                </c:pt>
                <c:pt idx="10">
                  <c:v>5.4287066946902022E-3</c:v>
                </c:pt>
                <c:pt idx="11">
                  <c:v>5.5414428289173433E-3</c:v>
                </c:pt>
                <c:pt idx="12">
                  <c:v>5.6196242782786615E-3</c:v>
                </c:pt>
                <c:pt idx="13">
                  <c:v>5.6709837972406113E-3</c:v>
                </c:pt>
                <c:pt idx="14">
                  <c:v>5.7014150292189333E-3</c:v>
                </c:pt>
                <c:pt idx="15">
                  <c:v>5.7154423766497906E-3</c:v>
                </c:pt>
                <c:pt idx="16">
                  <c:v>5.7165651372552157E-3</c:v>
                </c:pt>
                <c:pt idx="17">
                  <c:v>5.7075096668925398E-3</c:v>
                </c:pt>
                <c:pt idx="18">
                  <c:v>5.6904149768715884E-3</c:v>
                </c:pt>
                <c:pt idx="19">
                  <c:v>5.6669702285113352E-3</c:v>
                </c:pt>
                <c:pt idx="20">
                  <c:v>5.6385173565819766E-3</c:v>
                </c:pt>
                <c:pt idx="21">
                  <c:v>5.6061282702838042E-3</c:v>
                </c:pt>
                <c:pt idx="22">
                  <c:v>5.5706633909684096E-3</c:v>
                </c:pt>
                <c:pt idx="23">
                  <c:v>5.5328163846327105E-3</c:v>
                </c:pt>
                <c:pt idx="24">
                  <c:v>5.4931486028205381E-3</c:v>
                </c:pt>
                <c:pt idx="25">
                  <c:v>5.4521157913917651E-3</c:v>
                </c:pt>
                <c:pt idx="26">
                  <c:v>5.4100889456261802E-3</c:v>
                </c:pt>
                <c:pt idx="27">
                  <c:v>5.367370700885425E-3</c:v>
                </c:pt>
                <c:pt idx="28">
                  <c:v>5.3242082940482809E-3</c:v>
                </c:pt>
                <c:pt idx="29">
                  <c:v>5.2808038728821578E-3</c:v>
                </c:pt>
                <c:pt idx="30">
                  <c:v>5.2373227410053552E-3</c:v>
                </c:pt>
                <c:pt idx="31">
                  <c:v>5.1938999858973777E-3</c:v>
                </c:pt>
                <c:pt idx="32">
                  <c:v>5.1506458329489465E-3</c:v>
                </c:pt>
                <c:pt idx="33">
                  <c:v>5.1076499901563446E-3</c:v>
                </c:pt>
                <c:pt idx="34">
                  <c:v>5.0649851888473867E-3</c:v>
                </c:pt>
                <c:pt idx="35">
                  <c:v>5.0227100807981248E-3</c:v>
                </c:pt>
                <c:pt idx="36">
                  <c:v>4.9808716176452036E-3</c:v>
                </c:pt>
                <c:pt idx="37">
                  <c:v>4.9395070119765223E-3</c:v>
                </c:pt>
                <c:pt idx="38">
                  <c:v>4.8986453589480849E-3</c:v>
                </c:pt>
                <c:pt idx="39">
                  <c:v>4.858308981287961E-3</c:v>
                </c:pt>
                <c:pt idx="40">
                  <c:v>4.8185145480355391E-3</c:v>
                </c:pt>
                <c:pt idx="41">
                  <c:v>4.7792740075211651E-3</c:v>
                </c:pt>
                <c:pt idx="42">
                  <c:v>4.7405953673101218E-3</c:v>
                </c:pt>
                <c:pt idx="43">
                  <c:v>4.7024833476554577E-3</c:v>
                </c:pt>
                <c:pt idx="44">
                  <c:v>4.6649399300743716E-3</c:v>
                </c:pt>
                <c:pt idx="45">
                  <c:v>4.6279648187134556E-3</c:v>
                </c:pt>
                <c:pt idx="46">
                  <c:v>4.5915558289908853E-3</c:v>
                </c:pt>
                <c:pt idx="47">
                  <c:v>4.55570921543773E-3</c:v>
                </c:pt>
                <c:pt idx="48">
                  <c:v>4.5204199485804324E-3</c:v>
                </c:pt>
                <c:pt idx="49">
                  <c:v>4.4856819490140861E-3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946-4140-9744-6D22771EA224}"/>
            </c:ext>
          </c:extLst>
        </c:ser>
        <c:ser>
          <c:idx val="15"/>
          <c:order val="15"/>
          <c:tx>
            <c:strRef>
              <c:f>Gamma!$B$39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Gamma!$C$39:$AZ$39</c:f>
              <c:numCache>
                <c:formatCode>General</c:formatCode>
                <c:ptCount val="50"/>
                <c:pt idx="0">
                  <c:v>4.8093577566927397E-7</c:v>
                </c:pt>
                <c:pt idx="1">
                  <c:v>9.4556994587265296E-5</c:v>
                </c:pt>
                <c:pt idx="2">
                  <c:v>5.0353481185787989E-4</c:v>
                </c:pt>
                <c:pt idx="3">
                  <c:v>1.1130292486590083E-3</c:v>
                </c:pt>
                <c:pt idx="4">
                  <c:v>1.7459186523562451E-3</c:v>
                </c:pt>
                <c:pt idx="5">
                  <c:v>2.3169614647433356E-3</c:v>
                </c:pt>
                <c:pt idx="6">
                  <c:v>2.8013465758306814E-3</c:v>
                </c:pt>
                <c:pt idx="7">
                  <c:v>3.2002933770762325E-3</c:v>
                </c:pt>
                <c:pt idx="8">
                  <c:v>3.5239585209983202E-3</c:v>
                </c:pt>
                <c:pt idx="9">
                  <c:v>3.7843224261389784E-3</c:v>
                </c:pt>
                <c:pt idx="10">
                  <c:v>3.9925527693900481E-3</c:v>
                </c:pt>
                <c:pt idx="11">
                  <c:v>4.1582189279311087E-3</c:v>
                </c:pt>
                <c:pt idx="12">
                  <c:v>4.2892254319524875E-3</c:v>
                </c:pt>
                <c:pt idx="13">
                  <c:v>4.3919945977249561E-3</c:v>
                </c:pt>
                <c:pt idx="14">
                  <c:v>4.4717097413523301E-3</c:v>
                </c:pt>
                <c:pt idx="15">
                  <c:v>4.5325480202299748E-3</c:v>
                </c:pt>
                <c:pt idx="16">
                  <c:v>4.5778803544923212E-3</c:v>
                </c:pt>
                <c:pt idx="17">
                  <c:v>4.6104350576069743E-3</c:v>
                </c:pt>
                <c:pt idx="18">
                  <c:v>4.6324287207686055E-3</c:v>
                </c:pt>
                <c:pt idx="19">
                  <c:v>4.6456697775222461E-3</c:v>
                </c:pt>
                <c:pt idx="20">
                  <c:v>4.6516401031869038E-3</c:v>
                </c:pt>
                <c:pt idx="21">
                  <c:v>4.6515592759995934E-3</c:v>
                </c:pt>
                <c:pt idx="22">
                  <c:v>4.6464352718141597E-3</c:v>
                </c:pt>
                <c:pt idx="23">
                  <c:v>4.6371045792771466E-3</c:v>
                </c:pt>
                <c:pt idx="24">
                  <c:v>4.6242640660505456E-3</c:v>
                </c:pt>
                <c:pt idx="25">
                  <c:v>4.6084964016490084E-3</c:v>
                </c:pt>
                <c:pt idx="26">
                  <c:v>4.5902904320774904E-3</c:v>
                </c:pt>
                <c:pt idx="27">
                  <c:v>4.5700575844944318E-3</c:v>
                </c:pt>
                <c:pt idx="28">
                  <c:v>4.5481451367199209E-3</c:v>
                </c:pt>
                <c:pt idx="29">
                  <c:v>4.5248469998567693E-3</c:v>
                </c:pt>
                <c:pt idx="30">
                  <c:v>4.5004125192596982E-3</c:v>
                </c:pt>
                <c:pt idx="31">
                  <c:v>4.4750536892129052E-3</c:v>
                </c:pt>
                <c:pt idx="32">
                  <c:v>4.4489510920290264E-3</c:v>
                </c:pt>
                <c:pt idx="33">
                  <c:v>4.4222588068407913E-3</c:v>
                </c:pt>
                <c:pt idx="34">
                  <c:v>4.3951084825646011E-3</c:v>
                </c:pt>
                <c:pt idx="35">
                  <c:v>4.3676127299290919E-3</c:v>
                </c:pt>
                <c:pt idx="36">
                  <c:v>4.3398679564767874E-3</c:v>
                </c:pt>
                <c:pt idx="37">
                  <c:v>4.3119567440885577E-3</c:v>
                </c:pt>
                <c:pt idx="38">
                  <c:v>4.2839498493485607E-3</c:v>
                </c:pt>
                <c:pt idx="39">
                  <c:v>4.2559078918170063E-3</c:v>
                </c:pt>
                <c:pt idx="40">
                  <c:v>4.2278827831338977E-3</c:v>
                </c:pt>
                <c:pt idx="41">
                  <c:v>4.1999189401658128E-3</c:v>
                </c:pt>
                <c:pt idx="42">
                  <c:v>4.1720543176107872E-3</c:v>
                </c:pt>
                <c:pt idx="43">
                  <c:v>4.1443212891912815E-3</c:v>
                </c:pt>
                <c:pt idx="44">
                  <c:v>4.1167474014793442E-3</c:v>
                </c:pt>
                <c:pt idx="45">
                  <c:v>4.0893560202672312E-3</c:v>
                </c:pt>
                <c:pt idx="46">
                  <c:v>4.0621668860293114E-3</c:v>
                </c:pt>
                <c:pt idx="47">
                  <c:v>4.0351965922663675E-3</c:v>
                </c:pt>
                <c:pt idx="48">
                  <c:v>4.0084589982622093E-3</c:v>
                </c:pt>
                <c:pt idx="49">
                  <c:v>3.9819655859202495E-3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46-4140-9744-6D22771EA224}"/>
            </c:ext>
          </c:extLst>
        </c:ser>
        <c:ser>
          <c:idx val="16"/>
          <c:order val="16"/>
          <c:tx>
            <c:strRef>
              <c:f>Gamma!$B$40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Gamma!$C$40:$AZ$40</c:f>
              <c:numCache>
                <c:formatCode>General</c:formatCode>
                <c:ptCount val="50"/>
                <c:pt idx="0">
                  <c:v>2.4984119686305784E-8</c:v>
                </c:pt>
                <c:pt idx="1">
                  <c:v>2.0876714879530865E-5</c:v>
                </c:pt>
                <c:pt idx="2">
                  <c:v>1.8007849189266507E-4</c:v>
                </c:pt>
                <c:pt idx="3">
                  <c:v>5.0660659975445025E-4</c:v>
                </c:pt>
                <c:pt idx="4">
                  <c:v>9.1839058774420546E-4</c:v>
                </c:pt>
                <c:pt idx="5">
                  <c:v>1.3421930911671853E-3</c:v>
                </c:pt>
                <c:pt idx="6">
                  <c:v>1.7385470025647579E-3</c:v>
                </c:pt>
                <c:pt idx="7">
                  <c:v>2.0914714572423773E-3</c:v>
                </c:pt>
                <c:pt idx="8">
                  <c:v>2.3974428180687469E-3</c:v>
                </c:pt>
                <c:pt idx="9">
                  <c:v>2.6587031941631982E-3</c:v>
                </c:pt>
                <c:pt idx="10">
                  <c:v>2.8797692591508474E-3</c:v>
                </c:pt>
                <c:pt idx="11">
                  <c:v>3.0657409950987529E-3</c:v>
                </c:pt>
                <c:pt idx="12">
                  <c:v>3.2215381923153198E-3</c:v>
                </c:pt>
                <c:pt idx="13">
                  <c:v>3.3515955933317416E-3</c:v>
                </c:pt>
                <c:pt idx="14">
                  <c:v>3.4597769463136784E-3</c:v>
                </c:pt>
                <c:pt idx="15">
                  <c:v>3.5493882298125385E-3</c:v>
                </c:pt>
                <c:pt idx="16">
                  <c:v>3.6232312612667792E-3</c:v>
                </c:pt>
                <c:pt idx="17">
                  <c:v>3.6836695148238703E-3</c:v>
                </c:pt>
                <c:pt idx="18">
                  <c:v>3.7326932454951256E-3</c:v>
                </c:pt>
                <c:pt idx="19">
                  <c:v>3.7719785580502133E-3</c:v>
                </c:pt>
                <c:pt idx="20">
                  <c:v>3.8029387072216945E-3</c:v>
                </c:pt>
                <c:pt idx="21">
                  <c:v>3.8267676074581537E-3</c:v>
                </c:pt>
                <c:pt idx="22">
                  <c:v>3.8444762469136925E-3</c:v>
                </c:pt>
                <c:pt idx="23">
                  <c:v>3.8569229400776455E-3</c:v>
                </c:pt>
                <c:pt idx="24">
                  <c:v>3.864838369371446E-3</c:v>
                </c:pt>
                <c:pt idx="25">
                  <c:v>3.8688462855110827E-3</c:v>
                </c:pt>
                <c:pt idx="26">
                  <c:v>3.8694806223472569E-3</c:v>
                </c:pt>
                <c:pt idx="27">
                  <c:v>3.8671996641189356E-3</c:v>
                </c:pt>
                <c:pt idx="28">
                  <c:v>3.8623977946691326E-3</c:v>
                </c:pt>
                <c:pt idx="29">
                  <c:v>3.855415263882422E-3</c:v>
                </c:pt>
                <c:pt idx="30">
                  <c:v>3.8465463271008973E-3</c:v>
                </c:pt>
                <c:pt idx="31">
                  <c:v>3.8360460474626203E-3</c:v>
                </c:pt>
                <c:pt idx="32">
                  <c:v>3.8241359972251169E-3</c:v>
                </c:pt>
                <c:pt idx="33">
                  <c:v>3.8110090503097891E-3</c:v>
                </c:pt>
                <c:pt idx="34">
                  <c:v>3.7968334227825467E-3</c:v>
                </c:pt>
                <c:pt idx="35">
                  <c:v>3.7817560892437763E-3</c:v>
                </c:pt>
                <c:pt idx="36">
                  <c:v>3.7659056798498266E-3</c:v>
                </c:pt>
                <c:pt idx="37">
                  <c:v>3.7493949438665111E-3</c:v>
                </c:pt>
                <c:pt idx="38">
                  <c:v>3.7323228503984705E-3</c:v>
                </c:pt>
                <c:pt idx="39">
                  <c:v>3.7147763845488601E-3</c:v>
                </c:pt>
                <c:pt idx="40">
                  <c:v>3.6968320871810997E-3</c:v>
                </c:pt>
                <c:pt idx="41">
                  <c:v>3.6785573782294073E-3</c:v>
                </c:pt>
                <c:pt idx="42">
                  <c:v>3.6600116967779794E-3</c:v>
                </c:pt>
                <c:pt idx="43">
                  <c:v>3.6412474856126597E-3</c:v>
                </c:pt>
                <c:pt idx="44">
                  <c:v>3.6223110434133688E-3</c:v>
                </c:pt>
                <c:pt idx="45">
                  <c:v>3.6032432640160459E-3</c:v>
                </c:pt>
                <c:pt idx="46">
                  <c:v>3.5840802790810047E-3</c:v>
                </c:pt>
                <c:pt idx="47">
                  <c:v>3.5648540179413985E-3</c:v>
                </c:pt>
                <c:pt idx="48">
                  <c:v>3.5455926962746276E-3</c:v>
                </c:pt>
                <c:pt idx="49">
                  <c:v>3.5263212434632849E-3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946-4140-9744-6D22771EA22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41971776"/>
        <c:axId val="441970816"/>
        <c:axId val="859871856"/>
      </c:surface3DChart>
      <c:catAx>
        <c:axId val="44197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970816"/>
        <c:crosses val="autoZero"/>
        <c:auto val="1"/>
        <c:lblAlgn val="ctr"/>
        <c:lblOffset val="100"/>
        <c:noMultiLvlLbl val="0"/>
      </c:catAx>
      <c:valAx>
        <c:axId val="44197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971776"/>
        <c:crosses val="autoZero"/>
        <c:crossBetween val="midCat"/>
      </c:valAx>
      <c:serAx>
        <c:axId val="8598718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97081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Gamma, vol=40%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Gamma!$B$45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Gamma!$C$45:$AZ$45</c:f>
              <c:numCache>
                <c:formatCode>General</c:formatCode>
                <c:ptCount val="50"/>
                <c:pt idx="0">
                  <c:v>2.0088667398215202E-5</c:v>
                </c:pt>
                <c:pt idx="1">
                  <c:v>8.3571072825565785E-4</c:v>
                </c:pt>
                <c:pt idx="2">
                  <c:v>2.6494196814334956E-3</c:v>
                </c:pt>
                <c:pt idx="3">
                  <c:v>4.5154593932593247E-3</c:v>
                </c:pt>
                <c:pt idx="4">
                  <c:v>6.0564696070674372E-3</c:v>
                </c:pt>
                <c:pt idx="5">
                  <c:v>7.2373163235592624E-3</c:v>
                </c:pt>
                <c:pt idx="6">
                  <c:v>8.115678082205105E-3</c:v>
                </c:pt>
                <c:pt idx="7">
                  <c:v>8.7593020056123214E-3</c:v>
                </c:pt>
                <c:pt idx="8">
                  <c:v>9.2253016225118147E-3</c:v>
                </c:pt>
                <c:pt idx="9">
                  <c:v>9.5576656929775346E-3</c:v>
                </c:pt>
                <c:pt idx="10">
                  <c:v>9.7892873999446094E-3</c:v>
                </c:pt>
                <c:pt idx="11">
                  <c:v>9.944582814253906E-3</c:v>
                </c:pt>
                <c:pt idx="12">
                  <c:v>1.004171139484562E-2</c:v>
                </c:pt>
                <c:pt idx="13">
                  <c:v>1.0094261190475519E-2</c:v>
                </c:pt>
                <c:pt idx="14">
                  <c:v>1.0112478478021056E-2</c:v>
                </c:pt>
                <c:pt idx="15">
                  <c:v>1.0104153459948195E-2</c:v>
                </c:pt>
                <c:pt idx="16">
                  <c:v>1.0075257397688053E-2</c:v>
                </c:pt>
                <c:pt idx="17">
                  <c:v>1.0030402901750236E-2</c:v>
                </c:pt>
                <c:pt idx="18">
                  <c:v>9.9731787977041814E-3</c:v>
                </c:pt>
                <c:pt idx="19">
                  <c:v>9.9063957663700925E-3</c:v>
                </c:pt>
                <c:pt idx="20">
                  <c:v>9.8322681168232333E-3</c:v>
                </c:pt>
                <c:pt idx="21">
                  <c:v>9.7525494885344777E-3</c:v>
                </c:pt>
                <c:pt idx="22">
                  <c:v>9.668635037794783E-3</c:v>
                </c:pt>
                <c:pt idx="23">
                  <c:v>9.5816390291410918E-3</c:v>
                </c:pt>
                <c:pt idx="24">
                  <c:v>9.4924542212675728E-3</c:v>
                </c:pt>
                <c:pt idx="25">
                  <c:v>9.4017976626359322E-3</c:v>
                </c:pt>
                <c:pt idx="26">
                  <c:v>9.3102462589133451E-3</c:v>
                </c:pt>
                <c:pt idx="27">
                  <c:v>9.2182645821925185E-3</c:v>
                </c:pt>
                <c:pt idx="28">
                  <c:v>9.1262267514567799E-3</c:v>
                </c:pt>
                <c:pt idx="29">
                  <c:v>9.0344337501264971E-3</c:v>
                </c:pt>
                <c:pt idx="30">
                  <c:v>8.9431272081820154E-3</c:v>
                </c:pt>
                <c:pt idx="31">
                  <c:v>8.852500427484122E-3</c:v>
                </c:pt>
                <c:pt idx="32">
                  <c:v>8.7627072444403514E-3</c:v>
                </c:pt>
                <c:pt idx="33">
                  <c:v>8.673869186417044E-3</c:v>
                </c:pt>
                <c:pt idx="34">
                  <c:v>8.5860812747068065E-3</c:v>
                </c:pt>
                <c:pt idx="35">
                  <c:v>8.4994167484282335E-3</c:v>
                </c:pt>
                <c:pt idx="36">
                  <c:v>8.4139309239628229E-3</c:v>
                </c:pt>
                <c:pt idx="37">
                  <c:v>8.3296643586991456E-3</c:v>
                </c:pt>
                <c:pt idx="38">
                  <c:v>8.2466454524977324E-3</c:v>
                </c:pt>
                <c:pt idx="39">
                  <c:v>8.1648925928612774E-3</c:v>
                </c:pt>
                <c:pt idx="40">
                  <c:v>8.084415928400264E-3</c:v>
                </c:pt>
                <c:pt idx="41">
                  <c:v>8.0052188384100702E-3</c:v>
                </c:pt>
                <c:pt idx="42">
                  <c:v>7.9272991531588004E-3</c:v>
                </c:pt>
                <c:pt idx="43">
                  <c:v>7.8506501690217539E-3</c:v>
                </c:pt>
                <c:pt idx="44">
                  <c:v>7.7752614942776816E-3</c:v>
                </c:pt>
                <c:pt idx="45">
                  <c:v>7.7011197547360005E-3</c:v>
                </c:pt>
                <c:pt idx="46">
                  <c:v>7.6282091830343719E-3</c:v>
                </c:pt>
                <c:pt idx="47">
                  <c:v>7.5565121111543813E-3</c:v>
                </c:pt>
                <c:pt idx="48">
                  <c:v>7.4860093822346407E-3</c:v>
                </c:pt>
                <c:pt idx="49">
                  <c:v>7.4166806949471E-3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7-4B06-8445-21393238CB8C}"/>
            </c:ext>
          </c:extLst>
        </c:ser>
        <c:ser>
          <c:idx val="1"/>
          <c:order val="1"/>
          <c:tx>
            <c:strRef>
              <c:f>Gamma!$B$46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Gamma!$C$46:$AZ$46</c:f>
              <c:numCache>
                <c:formatCode>General</c:formatCode>
                <c:ptCount val="50"/>
                <c:pt idx="0">
                  <c:v>1.8686139683275071E-4</c:v>
                </c:pt>
                <c:pt idx="1">
                  <c:v>2.3943206611075122E-3</c:v>
                </c:pt>
                <c:pt idx="2">
                  <c:v>5.1262099002038026E-3</c:v>
                </c:pt>
                <c:pt idx="3">
                  <c:v>7.1797151370505026E-3</c:v>
                </c:pt>
                <c:pt idx="4">
                  <c:v>8.560134762872651E-3</c:v>
                </c:pt>
                <c:pt idx="5">
                  <c:v>9.4567622958321093E-3</c:v>
                </c:pt>
                <c:pt idx="6">
                  <c:v>1.0026176435365509E-2</c:v>
                </c:pt>
                <c:pt idx="7">
                  <c:v>1.0375624380939861E-2</c:v>
                </c:pt>
                <c:pt idx="8">
                  <c:v>1.0575930527762914E-2</c:v>
                </c:pt>
                <c:pt idx="9">
                  <c:v>1.0673932942462667E-2</c:v>
                </c:pt>
                <c:pt idx="10">
                  <c:v>1.0701009892894842E-2</c:v>
                </c:pt>
                <c:pt idx="11">
                  <c:v>1.0678521642016296E-2</c:v>
                </c:pt>
                <c:pt idx="12">
                  <c:v>1.0621243082661725E-2</c:v>
                </c:pt>
                <c:pt idx="13">
                  <c:v>1.0539546103144101E-2</c:v>
                </c:pt>
                <c:pt idx="14">
                  <c:v>1.0440807842492177E-2</c:v>
                </c:pt>
                <c:pt idx="15">
                  <c:v>1.0330335071862628E-2</c:v>
                </c:pt>
                <c:pt idx="16">
                  <c:v>1.0211981539484147E-2</c:v>
                </c:pt>
                <c:pt idx="17">
                  <c:v>1.0088567174561443E-2</c:v>
                </c:pt>
                <c:pt idx="18">
                  <c:v>9.9621672220586519E-3</c:v>
                </c:pt>
                <c:pt idx="19">
                  <c:v>9.8343145705267424E-3</c:v>
                </c:pt>
                <c:pt idx="20">
                  <c:v>9.7061432311149349E-3</c:v>
                </c:pt>
                <c:pt idx="21">
                  <c:v>9.5784913318325438E-3</c:v>
                </c:pt>
                <c:pt idx="22">
                  <c:v>9.4519758777882358E-3</c:v>
                </c:pt>
                <c:pt idx="23">
                  <c:v>9.3270475702935569E-3</c:v>
                </c:pt>
                <c:pt idx="24">
                  <c:v>9.2040313760420982E-3</c:v>
                </c:pt>
                <c:pt idx="25">
                  <c:v>9.0831568024816907E-3</c:v>
                </c:pt>
                <c:pt idx="26">
                  <c:v>8.9645806624612974E-3</c:v>
                </c:pt>
                <c:pt idx="27">
                  <c:v>8.8484043079599464E-3</c:v>
                </c:pt>
                <c:pt idx="28">
                  <c:v>8.7346867559825736E-3</c:v>
                </c:pt>
                <c:pt idx="29">
                  <c:v>8.6234547394859994E-3</c:v>
                </c:pt>
                <c:pt idx="30">
                  <c:v>8.5147104397741459E-3</c:v>
                </c:pt>
                <c:pt idx="31">
                  <c:v>8.4084374590375956E-3</c:v>
                </c:pt>
                <c:pt idx="32">
                  <c:v>8.3046054489028936E-3</c:v>
                </c:pt>
                <c:pt idx="33">
                  <c:v>8.2031737068264162E-3</c:v>
                </c:pt>
                <c:pt idx="34">
                  <c:v>8.1040939757623769E-3</c:v>
                </c:pt>
                <c:pt idx="35">
                  <c:v>8.0073126259845445E-3</c:v>
                </c:pt>
                <c:pt idx="36">
                  <c:v>7.9127723557828548E-3</c:v>
                </c:pt>
                <c:pt idx="37">
                  <c:v>7.8204135161118182E-3</c:v>
                </c:pt>
                <c:pt idx="38">
                  <c:v>7.7301751403628539E-3</c:v>
                </c:pt>
                <c:pt idx="39">
                  <c:v>7.6419957422653607E-3</c:v>
                </c:pt>
                <c:pt idx="40">
                  <c:v>7.5558139310358098E-3</c:v>
                </c:pt>
                <c:pt idx="41">
                  <c:v>7.4715688822247373E-3</c:v>
                </c:pt>
                <c:pt idx="42">
                  <c:v>7.3892006944719446E-3</c:v>
                </c:pt>
                <c:pt idx="43">
                  <c:v>7.3086506559871681E-3</c:v>
                </c:pt>
                <c:pt idx="44">
                  <c:v>7.2298614395912694E-3</c:v>
                </c:pt>
                <c:pt idx="45">
                  <c:v>7.1527772412538502E-3</c:v>
                </c:pt>
                <c:pt idx="46">
                  <c:v>7.0773438740003042E-3</c:v>
                </c:pt>
                <c:pt idx="47">
                  <c:v>7.0035088266460158E-3</c:v>
                </c:pt>
                <c:pt idx="48">
                  <c:v>6.9312212949049776E-3</c:v>
                </c:pt>
                <c:pt idx="49">
                  <c:v>6.8604321909037057E-3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B7-4B06-8445-21393238CB8C}"/>
            </c:ext>
          </c:extLst>
        </c:ser>
        <c:ser>
          <c:idx val="2"/>
          <c:order val="2"/>
          <c:tx>
            <c:strRef>
              <c:f>Gamma!$B$47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Gamma!$C$47:$AZ$47</c:f>
              <c:numCache>
                <c:formatCode>General</c:formatCode>
                <c:ptCount val="50"/>
                <c:pt idx="0">
                  <c:v>1.0309404557752424E-3</c:v>
                </c:pt>
                <c:pt idx="1">
                  <c:v>5.3075613758233487E-3</c:v>
                </c:pt>
                <c:pt idx="2">
                  <c:v>8.3851081862422686E-3</c:v>
                </c:pt>
                <c:pt idx="3">
                  <c:v>1.0088330127171414E-2</c:v>
                </c:pt>
                <c:pt idx="4">
                  <c:v>1.0979752382444532E-2</c:v>
                </c:pt>
                <c:pt idx="5">
                  <c:v>1.1414432692899415E-2</c:v>
                </c:pt>
                <c:pt idx="6">
                  <c:v>1.1587506687583985E-2</c:v>
                </c:pt>
                <c:pt idx="7">
                  <c:v>1.1607160589983252E-2</c:v>
                </c:pt>
                <c:pt idx="8">
                  <c:v>1.153533750799713E-2</c:v>
                </c:pt>
                <c:pt idx="9">
                  <c:v>1.1408699948366722E-2</c:v>
                </c:pt>
                <c:pt idx="10">
                  <c:v>1.1249583159032678E-2</c:v>
                </c:pt>
                <c:pt idx="11">
                  <c:v>1.1071915883561084E-2</c:v>
                </c:pt>
                <c:pt idx="12">
                  <c:v>1.0884539366481498E-2</c:v>
                </c:pt>
                <c:pt idx="13">
                  <c:v>1.0693132580429842E-2</c:v>
                </c:pt>
                <c:pt idx="14">
                  <c:v>1.0501363840256982E-2</c:v>
                </c:pt>
                <c:pt idx="15">
                  <c:v>1.0311598640522075E-2</c:v>
                </c:pt>
                <c:pt idx="16">
                  <c:v>1.0125345216686066E-2</c:v>
                </c:pt>
                <c:pt idx="17">
                  <c:v>9.9435409015304552E-3</c:v>
                </c:pt>
                <c:pt idx="18">
                  <c:v>9.7667395123176726E-3</c:v>
                </c:pt>
                <c:pt idx="19">
                  <c:v>9.5952358950200951E-3</c:v>
                </c:pt>
                <c:pt idx="20">
                  <c:v>9.4291498049025001E-3</c:v>
                </c:pt>
                <c:pt idx="21">
                  <c:v>9.2684830301576794E-3</c:v>
                </c:pt>
                <c:pt idx="22">
                  <c:v>9.1131586456083078E-3</c:v>
                </c:pt>
                <c:pt idx="23">
                  <c:v>8.963048173947193E-3</c:v>
                </c:pt>
                <c:pt idx="24">
                  <c:v>8.8179904690949967E-3</c:v>
                </c:pt>
                <c:pt idx="25">
                  <c:v>8.6778048757191854E-3</c:v>
                </c:pt>
                <c:pt idx="26">
                  <c:v>8.5423003966764704E-3</c:v>
                </c:pt>
                <c:pt idx="27">
                  <c:v>8.4112820560071667E-3</c:v>
                </c:pt>
                <c:pt idx="28">
                  <c:v>8.2845552802914592E-3</c:v>
                </c:pt>
                <c:pt idx="29">
                  <c:v>8.1619288736357928E-3</c:v>
                </c:pt>
                <c:pt idx="30">
                  <c:v>8.0432169917437311E-3</c:v>
                </c:pt>
                <c:pt idx="31">
                  <c:v>7.9282404028625832E-3</c:v>
                </c:pt>
                <c:pt idx="32">
                  <c:v>7.8168272411229551E-3</c:v>
                </c:pt>
                <c:pt idx="33">
                  <c:v>7.7088133997810912E-3</c:v>
                </c:pt>
                <c:pt idx="34">
                  <c:v>7.6040426706684471E-3</c:v>
                </c:pt>
                <c:pt idx="35">
                  <c:v>7.5023667066850298E-3</c:v>
                </c:pt>
                <c:pt idx="36">
                  <c:v>7.4036448629727619E-3</c:v>
                </c:pt>
                <c:pt idx="37">
                  <c:v>7.3077439570722593E-3</c:v>
                </c:pt>
                <c:pt idx="38">
                  <c:v>7.2145379772270432E-3</c:v>
                </c:pt>
                <c:pt idx="39">
                  <c:v>7.123907759875891E-3</c:v>
                </c:pt>
                <c:pt idx="40">
                  <c:v>7.0357406514323659E-3</c:v>
                </c:pt>
                <c:pt idx="41">
                  <c:v>6.9499301650956377E-3</c:v>
                </c:pt>
                <c:pt idx="42">
                  <c:v>6.8663756402408153E-3</c:v>
                </c:pt>
                <c:pt idx="43">
                  <c:v>6.7849819095913691E-3</c:v>
                </c:pt>
                <c:pt idx="44">
                  <c:v>6.7056589776566932E-3</c:v>
                </c:pt>
                <c:pt idx="45">
                  <c:v>6.6283217126602489E-3</c:v>
                </c:pt>
                <c:pt idx="46">
                  <c:v>6.5528895532683453E-3</c:v>
                </c:pt>
                <c:pt idx="47">
                  <c:v>6.4792862307674727E-3</c:v>
                </c:pt>
                <c:pt idx="48">
                  <c:v>6.4074395068641817E-3</c:v>
                </c:pt>
                <c:pt idx="49">
                  <c:v>6.3372809269468793E-3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B7-4B06-8445-21393238CB8C}"/>
            </c:ext>
          </c:extLst>
        </c:ser>
        <c:ser>
          <c:idx val="3"/>
          <c:order val="3"/>
          <c:tx>
            <c:strRef>
              <c:f>Gamma!$B$48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Gamma!$C$48:$AZ$48</c:f>
              <c:numCache>
                <c:formatCode>General</c:formatCode>
                <c:ptCount val="50"/>
                <c:pt idx="0">
                  <c:v>3.7133014645969629E-3</c:v>
                </c:pt>
                <c:pt idx="1">
                  <c:v>9.5444206122242969E-3</c:v>
                </c:pt>
                <c:pt idx="2">
                  <c:v>1.1962056649825076E-2</c:v>
                </c:pt>
                <c:pt idx="3">
                  <c:v>1.281851717853775E-2</c:v>
                </c:pt>
                <c:pt idx="4">
                  <c:v>1.3014990097403468E-2</c:v>
                </c:pt>
                <c:pt idx="5">
                  <c:v>1.2917966546806091E-2</c:v>
                </c:pt>
                <c:pt idx="6">
                  <c:v>1.2687161977676E-2</c:v>
                </c:pt>
                <c:pt idx="7">
                  <c:v>1.2397281908733668E-2</c:v>
                </c:pt>
                <c:pt idx="8">
                  <c:v>1.2085121185051761E-2</c:v>
                </c:pt>
                <c:pt idx="9">
                  <c:v>1.1769365170574513E-2</c:v>
                </c:pt>
                <c:pt idx="10">
                  <c:v>1.145957109426283E-2</c:v>
                </c:pt>
                <c:pt idx="11">
                  <c:v>1.1160506927928193E-2</c:v>
                </c:pt>
                <c:pt idx="12">
                  <c:v>1.0874357520444772E-2</c:v>
                </c:pt>
                <c:pt idx="13">
                  <c:v>1.0601893240735844E-2</c:v>
                </c:pt>
                <c:pt idx="14">
                  <c:v>1.0343109283665915E-2</c:v>
                </c:pt>
                <c:pt idx="15">
                  <c:v>1.0097583989991747E-2</c:v>
                </c:pt>
                <c:pt idx="16">
                  <c:v>9.8646830425647026E-3</c:v>
                </c:pt>
                <c:pt idx="17">
                  <c:v>9.6436768269237364E-3</c:v>
                </c:pt>
                <c:pt idx="18">
                  <c:v>9.4338078083810763E-3</c:v>
                </c:pt>
                <c:pt idx="19">
                  <c:v>9.2343286657363254E-3</c:v>
                </c:pt>
                <c:pt idx="20">
                  <c:v>9.0445231252792909E-3</c:v>
                </c:pt>
                <c:pt idx="21">
                  <c:v>8.8637165056884605E-3</c:v>
                </c:pt>
                <c:pt idx="22">
                  <c:v>8.691280152836817E-3</c:v>
                </c:pt>
                <c:pt idx="23">
                  <c:v>8.5266322851625959E-3</c:v>
                </c:pt>
                <c:pt idx="24">
                  <c:v>8.3692367821851365E-3</c:v>
                </c:pt>
                <c:pt idx="25">
                  <c:v>8.218600851462041E-3</c:v>
                </c:pt>
                <c:pt idx="26">
                  <c:v>8.0742721439561651E-3</c:v>
                </c:pt>
                <c:pt idx="27">
                  <c:v>7.9358356622989679E-3</c:v>
                </c:pt>
                <c:pt idx="28">
                  <c:v>7.8029106664134658E-3</c:v>
                </c:pt>
                <c:pt idx="29">
                  <c:v>7.6751476937604139E-3</c:v>
                </c:pt>
                <c:pt idx="30">
                  <c:v>7.5522257572309421E-3</c:v>
                </c:pt>
                <c:pt idx="31">
                  <c:v>7.4338497501826228E-3</c:v>
                </c:pt>
                <c:pt idx="32">
                  <c:v>7.3197480676726566E-3</c:v>
                </c:pt>
                <c:pt idx="33">
                  <c:v>7.2096704407805133E-3</c:v>
                </c:pt>
                <c:pt idx="34">
                  <c:v>7.1033859739895473E-3</c:v>
                </c:pt>
                <c:pt idx="35">
                  <c:v>7.000681371971444E-3</c:v>
                </c:pt>
                <c:pt idx="36">
                  <c:v>6.9013593405458373E-3</c:v>
                </c:pt>
                <c:pt idx="37">
                  <c:v>6.8052371462721008E-3</c:v>
                </c:pt>
                <c:pt idx="38">
                  <c:v>6.7121453195596341E-3</c:v>
                </c:pt>
                <c:pt idx="39">
                  <c:v>6.6219264870299895E-3</c:v>
                </c:pt>
                <c:pt idx="40">
                  <c:v>6.5344343199215584E-3</c:v>
                </c:pt>
                <c:pt idx="41">
                  <c:v>6.4495325864659288E-3</c:v>
                </c:pt>
                <c:pt idx="42">
                  <c:v>6.3670942973051564E-3</c:v>
                </c:pt>
                <c:pt idx="43">
                  <c:v>6.2870009341146034E-3</c:v>
                </c:pt>
                <c:pt idx="44">
                  <c:v>6.2091417526213425E-3</c:v>
                </c:pt>
                <c:pt idx="45">
                  <c:v>6.1334131521509037E-3</c:v>
                </c:pt>
                <c:pt idx="46">
                  <c:v>6.0597181046920133E-3</c:v>
                </c:pt>
                <c:pt idx="47">
                  <c:v>5.987965637240673E-3</c:v>
                </c:pt>
                <c:pt idx="48">
                  <c:v>5.9180703618761264E-3</c:v>
                </c:pt>
                <c:pt idx="49">
                  <c:v>5.8499520486373366E-3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B7-4B06-8445-21393238CB8C}"/>
            </c:ext>
          </c:extLst>
        </c:ser>
        <c:ser>
          <c:idx val="4"/>
          <c:order val="4"/>
          <c:tx>
            <c:strRef>
              <c:f>Gamma!$B$49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Gamma!$C$49:$AZ$49</c:f>
              <c:numCache>
                <c:formatCode>General</c:formatCode>
                <c:ptCount val="50"/>
                <c:pt idx="0">
                  <c:v>9.4058115353356283E-3</c:v>
                </c:pt>
                <c:pt idx="1">
                  <c:v>1.4443424030823897E-2</c:v>
                </c:pt>
                <c:pt idx="2">
                  <c:v>1.5245954603357852E-2</c:v>
                </c:pt>
                <c:pt idx="3">
                  <c:v>1.4993417874434044E-2</c:v>
                </c:pt>
                <c:pt idx="4">
                  <c:v>1.445889654252335E-2</c:v>
                </c:pt>
                <c:pt idx="5">
                  <c:v>1.3866635473277537E-2</c:v>
                </c:pt>
                <c:pt idx="6">
                  <c:v>1.3288877874791492E-2</c:v>
                </c:pt>
                <c:pt idx="7">
                  <c:v>1.2748540394619342E-2</c:v>
                </c:pt>
                <c:pt idx="8">
                  <c:v>1.2250975700260651E-2</c:v>
                </c:pt>
                <c:pt idx="9">
                  <c:v>1.1795089803831352E-2</c:v>
                </c:pt>
                <c:pt idx="10">
                  <c:v>1.1377557081249788E-2</c:v>
                </c:pt>
                <c:pt idx="11">
                  <c:v>1.0994486561843033E-2</c:v>
                </c:pt>
                <c:pt idx="12">
                  <c:v>1.0642079322475106E-2</c:v>
                </c:pt>
                <c:pt idx="13">
                  <c:v>1.0316868599010353E-2</c:v>
                </c:pt>
                <c:pt idx="14">
                  <c:v>1.0015784285923006E-2</c:v>
                </c:pt>
                <c:pt idx="15">
                  <c:v>9.7361448752723775E-3</c:v>
                </c:pt>
                <c:pt idx="16">
                  <c:v>9.4756218864841847E-3</c:v>
                </c:pt>
                <c:pt idx="17">
                  <c:v>9.2321965566773481E-3</c:v>
                </c:pt>
                <c:pt idx="18">
                  <c:v>9.0041172301678907E-3</c:v>
                </c:pt>
                <c:pt idx="19">
                  <c:v>8.7898607375682079E-3</c:v>
                </c:pt>
                <c:pt idx="20">
                  <c:v>8.5880987265861998E-3</c:v>
                </c:pt>
                <c:pt idx="21">
                  <c:v>8.3976688882149205E-3</c:v>
                </c:pt>
                <c:pt idx="22">
                  <c:v>8.2175506159037591E-3</c:v>
                </c:pt>
                <c:pt idx="23">
                  <c:v>8.0468445125450195E-3</c:v>
                </c:pt>
                <c:pt idx="24">
                  <c:v>7.8847551636976061E-3</c:v>
                </c:pt>
                <c:pt idx="25">
                  <c:v>7.7305766503841314E-3</c:v>
                </c:pt>
                <c:pt idx="26">
                  <c:v>7.583680345690234E-3</c:v>
                </c:pt>
                <c:pt idx="27">
                  <c:v>7.4435046102527894E-3</c:v>
                </c:pt>
                <c:pt idx="28">
                  <c:v>7.3095460659376426E-3</c:v>
                </c:pt>
                <c:pt idx="29">
                  <c:v>7.1813521824651231E-3</c:v>
                </c:pt>
                <c:pt idx="30">
                  <c:v>7.0585149583944672E-3</c:v>
                </c:pt>
                <c:pt idx="31">
                  <c:v>6.9406655165419294E-3</c:v>
                </c:pt>
                <c:pt idx="32">
                  <c:v>6.827469465680319E-3</c:v>
                </c:pt>
                <c:pt idx="33">
                  <c:v>6.7186229063612747E-3</c:v>
                </c:pt>
                <c:pt idx="34">
                  <c:v>6.6138489799261197E-3</c:v>
                </c:pt>
                <c:pt idx="35">
                  <c:v>6.5128948770971857E-3</c:v>
                </c:pt>
                <c:pt idx="36">
                  <c:v>6.4155292366976377E-3</c:v>
                </c:pt>
                <c:pt idx="37">
                  <c:v>6.321539876633182E-3</c:v>
                </c:pt>
                <c:pt idx="38">
                  <c:v>6.2307318087710438E-3</c:v>
                </c:pt>
                <c:pt idx="39">
                  <c:v>6.1429254971648948E-3</c:v>
                </c:pt>
                <c:pt idx="40">
                  <c:v>6.0579553255167258E-3</c:v>
                </c:pt>
                <c:pt idx="41">
                  <c:v>5.9756682450943562E-3</c:v>
                </c:pt>
                <c:pt idx="42">
                  <c:v>5.8959225787423887E-3</c:v>
                </c:pt>
                <c:pt idx="43">
                  <c:v>5.8185869603011361E-3</c:v>
                </c:pt>
                <c:pt idx="44">
                  <c:v>5.743539391816696E-3</c:v>
                </c:pt>
                <c:pt idx="45">
                  <c:v>5.6706664034940285E-3</c:v>
                </c:pt>
                <c:pt idx="46">
                  <c:v>5.599862303502021E-3</c:v>
                </c:pt>
                <c:pt idx="47">
                  <c:v>5.5310285065560362E-3</c:v>
                </c:pt>
                <c:pt idx="48">
                  <c:v>5.4640729317379988E-3</c:v>
                </c:pt>
                <c:pt idx="49">
                  <c:v>5.3989094613139674E-3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B7-4B06-8445-21393238CB8C}"/>
            </c:ext>
          </c:extLst>
        </c:ser>
        <c:ser>
          <c:idx val="5"/>
          <c:order val="5"/>
          <c:tx>
            <c:strRef>
              <c:f>Gamma!$B$50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Gamma!$C$50:$AZ$50</c:f>
              <c:numCache>
                <c:formatCode>General</c:formatCode>
                <c:ptCount val="50"/>
                <c:pt idx="0">
                  <c:v>1.7765295072320917E-2</c:v>
                </c:pt>
                <c:pt idx="1">
                  <c:v>1.8931662539579803E-2</c:v>
                </c:pt>
                <c:pt idx="2">
                  <c:v>1.7692424949679604E-2</c:v>
                </c:pt>
                <c:pt idx="3">
                  <c:v>1.6371574860835209E-2</c:v>
                </c:pt>
                <c:pt idx="4">
                  <c:v>1.5221561523768383E-2</c:v>
                </c:pt>
                <c:pt idx="5">
                  <c:v>1.4246821580001753E-2</c:v>
                </c:pt>
                <c:pt idx="6">
                  <c:v>1.3417761710737984E-2</c:v>
                </c:pt>
                <c:pt idx="7">
                  <c:v>1.270532818503029E-2</c:v>
                </c:pt>
                <c:pt idx="8">
                  <c:v>1.2086176918352686E-2</c:v>
                </c:pt>
                <c:pt idx="9">
                  <c:v>1.154233824412115E-2</c:v>
                </c:pt>
                <c:pt idx="10">
                  <c:v>1.1060044779690447E-2</c:v>
                </c:pt>
                <c:pt idx="11">
                  <c:v>1.0628669741068875E-2</c:v>
                </c:pt>
                <c:pt idx="12">
                  <c:v>1.02399156752497E-2</c:v>
                </c:pt>
                <c:pt idx="13">
                  <c:v>9.8872222852003349E-3</c:v>
                </c:pt>
                <c:pt idx="14">
                  <c:v>9.5653383547572995E-3</c:v>
                </c:pt>
                <c:pt idx="15">
                  <c:v>9.2700111358498417E-3</c:v>
                </c:pt>
                <c:pt idx="16">
                  <c:v>8.99775888091571E-3</c:v>
                </c:pt>
                <c:pt idx="17">
                  <c:v>8.7457023629936691E-3</c:v>
                </c:pt>
                <c:pt idx="18">
                  <c:v>8.5114385834092442E-3</c:v>
                </c:pt>
                <c:pt idx="19">
                  <c:v>8.2929449714361312E-3</c:v>
                </c:pt>
                <c:pt idx="20">
                  <c:v>8.08850587667179E-3</c:v>
                </c:pt>
                <c:pt idx="21">
                  <c:v>7.8966555498226586E-3</c:v>
                </c:pt>
                <c:pt idx="22">
                  <c:v>7.7161334580711479E-3</c:v>
                </c:pt>
                <c:pt idx="23">
                  <c:v>7.5458489288390967E-3</c:v>
                </c:pt>
                <c:pt idx="24">
                  <c:v>7.3848529220040173E-3</c:v>
                </c:pt>
                <c:pt idx="25">
                  <c:v>7.2323153031575551E-3</c:v>
                </c:pt>
                <c:pt idx="26">
                  <c:v>7.0875064014853505E-3</c:v>
                </c:pt>
                <c:pt idx="27">
                  <c:v>6.9497819340190387E-3</c:v>
                </c:pt>
                <c:pt idx="28">
                  <c:v>6.8185705965642931E-3</c:v>
                </c:pt>
                <c:pt idx="29">
                  <c:v>6.6933637833884755E-3</c:v>
                </c:pt>
                <c:pt idx="30">
                  <c:v>6.5737070186372634E-3</c:v>
                </c:pt>
                <c:pt idx="31">
                  <c:v>6.4591927735907686E-3</c:v>
                </c:pt>
                <c:pt idx="32">
                  <c:v>6.3494544131725058E-3</c:v>
                </c:pt>
                <c:pt idx="33">
                  <c:v>6.2441610682493175E-3</c:v>
                </c:pt>
                <c:pt idx="34">
                  <c:v>6.1430132712974742E-3</c:v>
                </c:pt>
                <c:pt idx="35">
                  <c:v>6.0457392249417116E-3</c:v>
                </c:pt>
                <c:pt idx="36">
                  <c:v>5.9520915978929934E-3</c:v>
                </c:pt>
                <c:pt idx="37">
                  <c:v>5.8618447625429599E-3</c:v>
                </c:pt>
                <c:pt idx="38">
                  <c:v>5.7747924041332468E-3</c:v>
                </c:pt>
                <c:pt idx="39">
                  <c:v>5.6907454439205562E-3</c:v>
                </c:pt>
                <c:pt idx="40">
                  <c:v>5.6095302287969212E-3</c:v>
                </c:pt>
                <c:pt idx="41">
                  <c:v>5.5309869479283746E-3</c:v>
                </c:pt>
                <c:pt idx="42">
                  <c:v>5.4549682435508767E-3</c:v>
                </c:pt>
                <c:pt idx="43">
                  <c:v>5.3813379884243267E-3</c:v>
                </c:pt>
                <c:pt idx="44">
                  <c:v>5.3099702068385131E-3</c:v>
                </c:pt>
                <c:pt idx="45">
                  <c:v>5.2407481196800696E-3</c:v>
                </c:pt>
                <c:pt idx="46">
                  <c:v>5.1735632970576571E-3</c:v>
                </c:pt>
                <c:pt idx="47">
                  <c:v>5.1083149044624434E-3</c:v>
                </c:pt>
                <c:pt idx="48">
                  <c:v>5.0449090305073226E-3</c:v>
                </c:pt>
                <c:pt idx="49">
                  <c:v>4.9832580860164968E-3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EB7-4B06-8445-21393238CB8C}"/>
            </c:ext>
          </c:extLst>
        </c:ser>
        <c:ser>
          <c:idx val="6"/>
          <c:order val="6"/>
          <c:tx>
            <c:strRef>
              <c:f>Gamma!$B$51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Gamma!$C$51:$AZ$51</c:f>
              <c:numCache>
                <c:formatCode>General</c:formatCode>
                <c:ptCount val="50"/>
                <c:pt idx="0">
                  <c:v>2.6217397005655067E-2</c:v>
                </c:pt>
                <c:pt idx="1">
                  <c:v>2.1993983876196624E-2</c:v>
                </c:pt>
                <c:pt idx="2">
                  <c:v>1.897878957938726E-2</c:v>
                </c:pt>
                <c:pt idx="3">
                  <c:v>1.6875420659397365E-2</c:v>
                </c:pt>
                <c:pt idx="4">
                  <c:v>1.5319096670935345E-2</c:v>
                </c:pt>
                <c:pt idx="5">
                  <c:v>1.4111238594338552E-2</c:v>
                </c:pt>
                <c:pt idx="6">
                  <c:v>1.313952030194715E-2</c:v>
                </c:pt>
                <c:pt idx="7">
                  <c:v>1.2336005017830942E-2</c:v>
                </c:pt>
                <c:pt idx="8">
                  <c:v>1.1657124380614989E-2</c:v>
                </c:pt>
                <c:pt idx="9">
                  <c:v>1.1073562136236142E-2</c:v>
                </c:pt>
                <c:pt idx="10">
                  <c:v>1.0564800683435923E-2</c:v>
                </c:pt>
                <c:pt idx="11">
                  <c:v>1.0116005636700108E-2</c:v>
                </c:pt>
                <c:pt idx="12">
                  <c:v>9.7161554246965025E-3</c:v>
                </c:pt>
                <c:pt idx="13">
                  <c:v>9.3568699006604129E-3</c:v>
                </c:pt>
                <c:pt idx="14">
                  <c:v>9.0316497467626249E-3</c:v>
                </c:pt>
                <c:pt idx="15">
                  <c:v>8.7353670038784591E-3</c:v>
                </c:pt>
                <c:pt idx="16">
                  <c:v>8.4639144636596657E-3</c:v>
                </c:pt>
                <c:pt idx="17">
                  <c:v>8.2139586076897791E-3</c:v>
                </c:pt>
                <c:pt idx="18">
                  <c:v>7.9827618384518319E-3</c:v>
                </c:pt>
                <c:pt idx="19">
                  <c:v>7.7680521726198881E-3</c:v>
                </c:pt>
                <c:pt idx="20">
                  <c:v>7.5679261269293021E-3</c:v>
                </c:pt>
                <c:pt idx="21">
                  <c:v>7.3807752537764695E-3</c:v>
                </c:pt>
                <c:pt idx="22">
                  <c:v>7.2052298127665889E-3</c:v>
                </c:pt>
                <c:pt idx="23">
                  <c:v>7.040115048958114E-3</c:v>
                </c:pt>
                <c:pt idx="24">
                  <c:v>6.8844168750861372E-3</c:v>
                </c:pt>
                <c:pt idx="25">
                  <c:v>6.7372546580848625E-3</c:v>
                </c:pt>
                <c:pt idx="26">
                  <c:v>6.5978594353113176E-3</c:v>
                </c:pt>
                <c:pt idx="27">
                  <c:v>6.4655563252225667E-3</c:v>
                </c:pt>
                <c:pt idx="28">
                  <c:v>6.33975021044188E-3</c:v>
                </c:pt>
                <c:pt idx="29">
                  <c:v>6.2199139973174349E-3</c:v>
                </c:pt>
                <c:pt idx="30">
                  <c:v>6.1055789213845984E-3</c:v>
                </c:pt>
                <c:pt idx="31">
                  <c:v>5.9963264903254163E-3</c:v>
                </c:pt>
                <c:pt idx="32">
                  <c:v>5.8917817472720398E-3</c:v>
                </c:pt>
                <c:pt idx="33">
                  <c:v>5.791607606119493E-3</c:v>
                </c:pt>
                <c:pt idx="34">
                  <c:v>5.6955000628869093E-3</c:v>
                </c:pt>
                <c:pt idx="35">
                  <c:v>5.6031841273661218E-3</c:v>
                </c:pt>
                <c:pt idx="36">
                  <c:v>5.5144103504000475E-3</c:v>
                </c:pt>
                <c:pt idx="37">
                  <c:v>5.4289518463810967E-3</c:v>
                </c:pt>
                <c:pt idx="38">
                  <c:v>5.3466017295976847E-3</c:v>
                </c:pt>
                <c:pt idx="39">
                  <c:v>5.2671708981051257E-3</c:v>
                </c:pt>
                <c:pt idx="40">
                  <c:v>5.1904861107673556E-3</c:v>
                </c:pt>
                <c:pt idx="41">
                  <c:v>5.1163883126953708E-3</c:v>
                </c:pt>
                <c:pt idx="42">
                  <c:v>5.0447311720181742E-3</c:v>
                </c:pt>
                <c:pt idx="43">
                  <c:v>4.9753797971610163E-3</c:v>
                </c:pt>
                <c:pt idx="44">
                  <c:v>4.9082096088807255E-3</c:v>
                </c:pt>
                <c:pt idx="45">
                  <c:v>4.8431053454560408E-3</c:v>
                </c:pt>
                <c:pt idx="46">
                  <c:v>4.7799601828378332E-3</c:v>
                </c:pt>
                <c:pt idx="47">
                  <c:v>4.7186749543743148E-3</c:v>
                </c:pt>
                <c:pt idx="48">
                  <c:v>4.6591574570547471E-3</c:v>
                </c:pt>
                <c:pt idx="49">
                  <c:v>4.6013218331519383E-3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EB7-4B06-8445-21393238CB8C}"/>
            </c:ext>
          </c:extLst>
        </c:ser>
        <c:ser>
          <c:idx val="7"/>
          <c:order val="7"/>
          <c:tx>
            <c:strRef>
              <c:f>Gamma!$B$52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Gamma!$C$52:$AZ$52</c:f>
              <c:numCache>
                <c:formatCode>General</c:formatCode>
                <c:ptCount val="50"/>
                <c:pt idx="0">
                  <c:v>3.1394274847913635E-2</c:v>
                </c:pt>
                <c:pt idx="1">
                  <c:v>2.3072238848139817E-2</c:v>
                </c:pt>
                <c:pt idx="2">
                  <c:v>1.9050044641617542E-2</c:v>
                </c:pt>
                <c:pt idx="3">
                  <c:v>1.6569252629223381E-2</c:v>
                </c:pt>
                <c:pt idx="4">
                  <c:v>1.4843419587474004E-2</c:v>
                </c:pt>
                <c:pt idx="5">
                  <c:v>1.3552963614589623E-2</c:v>
                </c:pt>
                <c:pt idx="6">
                  <c:v>1.2540410140529975E-2</c:v>
                </c:pt>
                <c:pt idx="7">
                  <c:v>1.1718016017628462E-2</c:v>
                </c:pt>
                <c:pt idx="8">
                  <c:v>1.1032513084880751E-2</c:v>
                </c:pt>
                <c:pt idx="9">
                  <c:v>1.0449443075086665E-2</c:v>
                </c:pt>
                <c:pt idx="10">
                  <c:v>9.945396557783974E-3</c:v>
                </c:pt>
                <c:pt idx="11">
                  <c:v>9.5038380084618342E-3</c:v>
                </c:pt>
                <c:pt idx="12">
                  <c:v>9.1127101404910576E-3</c:v>
                </c:pt>
                <c:pt idx="13">
                  <c:v>8.7629856403348711E-3</c:v>
                </c:pt>
                <c:pt idx="14">
                  <c:v>8.4477531433912734E-3</c:v>
                </c:pt>
                <c:pt idx="15">
                  <c:v>8.1616191427082169E-3</c:v>
                </c:pt>
                <c:pt idx="16">
                  <c:v>7.900304379547432E-3</c:v>
                </c:pt>
                <c:pt idx="17">
                  <c:v>7.6603641347951622E-3</c:v>
                </c:pt>
                <c:pt idx="18">
                  <c:v>7.4389898371934292E-3</c:v>
                </c:pt>
                <c:pt idx="19">
                  <c:v>7.2338654461924093E-3</c:v>
                </c:pt>
                <c:pt idx="20">
                  <c:v>7.0430615870459854E-3</c:v>
                </c:pt>
                <c:pt idx="21">
                  <c:v>6.864956242095514E-3</c:v>
                </c:pt>
                <c:pt idx="22">
                  <c:v>6.6981744668163142E-3</c:v>
                </c:pt>
                <c:pt idx="23">
                  <c:v>6.5415419611109379E-3</c:v>
                </c:pt>
                <c:pt idx="24">
                  <c:v>6.3940488823676124E-3</c:v>
                </c:pt>
                <c:pt idx="25">
                  <c:v>6.254821332437468E-3</c:v>
                </c:pt>
                <c:pt idx="26">
                  <c:v>6.1230986660978102E-3</c:v>
                </c:pt>
                <c:pt idx="27">
                  <c:v>5.998215266151608E-3</c:v>
                </c:pt>
                <c:pt idx="28">
                  <c:v>5.8795857816375044E-3</c:v>
                </c:pt>
                <c:pt idx="29">
                  <c:v>5.7666930771371723E-3</c:v>
                </c:pt>
                <c:pt idx="30">
                  <c:v>5.6590783235384978E-3</c:v>
                </c:pt>
                <c:pt idx="31">
                  <c:v>5.5563327944234374E-3</c:v>
                </c:pt>
                <c:pt idx="32">
                  <c:v>5.4580910315128435E-3</c:v>
                </c:pt>
                <c:pt idx="33">
                  <c:v>5.3640251169930131E-3</c:v>
                </c:pt>
                <c:pt idx="34">
                  <c:v>5.2738398468360481E-3</c:v>
                </c:pt>
                <c:pt idx="35">
                  <c:v>5.1872686421966198E-3</c:v>
                </c:pt>
                <c:pt idx="36">
                  <c:v>5.1040700690475563E-3</c:v>
                </c:pt>
                <c:pt idx="37">
                  <c:v>5.0240248618835855E-3</c:v>
                </c:pt>
                <c:pt idx="38">
                  <c:v>4.94693336738558E-3</c:v>
                </c:pt>
                <c:pt idx="39">
                  <c:v>4.8726133397302427E-3</c:v>
                </c:pt>
                <c:pt idx="40">
                  <c:v>4.8008980317434504E-3</c:v>
                </c:pt>
                <c:pt idx="41">
                  <c:v>4.731634536072578E-3</c:v>
                </c:pt>
                <c:pt idx="42">
                  <c:v>4.66468233855513E-3</c:v>
                </c:pt>
                <c:pt idx="43">
                  <c:v>4.59991205241507E-3</c:v>
                </c:pt>
                <c:pt idx="44">
                  <c:v>4.5372043071517099E-3</c:v>
                </c:pt>
                <c:pt idx="45">
                  <c:v>4.4764487702511407E-3</c:v>
                </c:pt>
                <c:pt idx="46">
                  <c:v>4.4175432833431809E-3</c:v>
                </c:pt>
                <c:pt idx="47">
                  <c:v>4.3603930973004894E-3</c:v>
                </c:pt>
                <c:pt idx="48">
                  <c:v>4.3049101931512289E-3</c:v>
                </c:pt>
                <c:pt idx="49">
                  <c:v>4.2510126776472605E-3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EB7-4B06-8445-21393238CB8C}"/>
            </c:ext>
          </c:extLst>
        </c:ser>
        <c:ser>
          <c:idx val="8"/>
          <c:order val="8"/>
          <c:tx>
            <c:strRef>
              <c:f>Gamma!$B$53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Gamma!$C$53:$AZ$53</c:f>
              <c:numCache>
                <c:formatCode>General</c:formatCode>
                <c:ptCount val="50"/>
                <c:pt idx="0">
                  <c:v>3.1459423989360226E-2</c:v>
                </c:pt>
                <c:pt idx="1">
                  <c:v>2.2188935148222344E-2</c:v>
                </c:pt>
                <c:pt idx="2">
                  <c:v>1.8071388538094438E-2</c:v>
                </c:pt>
                <c:pt idx="3">
                  <c:v>1.5610716875634104E-2</c:v>
                </c:pt>
                <c:pt idx="4">
                  <c:v>1.3927351380867573E-2</c:v>
                </c:pt>
                <c:pt idx="5">
                  <c:v>1.268173289793627E-2</c:v>
                </c:pt>
                <c:pt idx="6">
                  <c:v>1.1711321384380947E-2</c:v>
                </c:pt>
                <c:pt idx="7">
                  <c:v>1.092724342056213E-2</c:v>
                </c:pt>
                <c:pt idx="8">
                  <c:v>1.0276259166503715E-2</c:v>
                </c:pt>
                <c:pt idx="9">
                  <c:v>9.7242697009187352E-3</c:v>
                </c:pt>
                <c:pt idx="10">
                  <c:v>9.2482879856441574E-3</c:v>
                </c:pt>
                <c:pt idx="11">
                  <c:v>8.832176851369963E-3</c:v>
                </c:pt>
                <c:pt idx="12">
                  <c:v>8.4642288215253346E-3</c:v>
                </c:pt>
                <c:pt idx="13">
                  <c:v>8.1357153638188916E-3</c:v>
                </c:pt>
                <c:pt idx="14">
                  <c:v>7.8399776814892623E-3</c:v>
                </c:pt>
                <c:pt idx="15">
                  <c:v>7.5718352630398571E-3</c:v>
                </c:pt>
                <c:pt idx="16">
                  <c:v>7.3271887529456894E-3</c:v>
                </c:pt>
                <c:pt idx="17">
                  <c:v>7.1027459245291075E-3</c:v>
                </c:pt>
                <c:pt idx="18">
                  <c:v>6.8958280518728668E-3</c:v>
                </c:pt>
                <c:pt idx="19">
                  <c:v>6.7042302072705265E-3</c:v>
                </c:pt>
                <c:pt idx="20">
                  <c:v>6.5261185858568552E-3</c:v>
                </c:pt>
                <c:pt idx="21">
                  <c:v>6.3599537892306242E-3</c:v>
                </c:pt>
                <c:pt idx="22">
                  <c:v>6.2044326502911987E-3</c:v>
                </c:pt>
                <c:pt idx="23">
                  <c:v>6.0584435247264335E-3</c:v>
                </c:pt>
                <c:pt idx="24">
                  <c:v>5.9210315126927583E-3</c:v>
                </c:pt>
                <c:pt idx="25">
                  <c:v>5.7913711044177826E-3</c:v>
                </c:pt>
                <c:pt idx="26">
                  <c:v>5.6687444461983984E-3</c:v>
                </c:pt>
                <c:pt idx="27">
                  <c:v>5.5525239107072936E-3</c:v>
                </c:pt>
                <c:pt idx="28">
                  <c:v>5.4421579988252269E-3</c:v>
                </c:pt>
                <c:pt idx="29">
                  <c:v>5.3371598454244719E-3</c:v>
                </c:pt>
                <c:pt idx="30">
                  <c:v>5.237097778953018E-3</c:v>
                </c:pt>
                <c:pt idx="31">
                  <c:v>5.1415875145946026E-3</c:v>
                </c:pt>
                <c:pt idx="32">
                  <c:v>5.0502856569861086E-3</c:v>
                </c:pt>
                <c:pt idx="33">
                  <c:v>4.9628842604532587E-3</c:v>
                </c:pt>
                <c:pt idx="34">
                  <c:v>4.8791062491011471E-3</c:v>
                </c:pt>
                <c:pt idx="35">
                  <c:v>4.7987015405458848E-3</c:v>
                </c:pt>
                <c:pt idx="36">
                  <c:v>4.7214437489386338E-3</c:v>
                </c:pt>
                <c:pt idx="37">
                  <c:v>4.6471273676253703E-3</c:v>
                </c:pt>
                <c:pt idx="38">
                  <c:v>4.5755653510631813E-3</c:v>
                </c:pt>
                <c:pt idx="39">
                  <c:v>4.506587030770599E-3</c:v>
                </c:pt>
                <c:pt idx="40">
                  <c:v>4.4400363120858169E-3</c:v>
                </c:pt>
                <c:pt idx="41">
                  <c:v>4.3757701080617065E-3</c:v>
                </c:pt>
                <c:pt idx="42">
                  <c:v>4.31365697448259E-3</c:v>
                </c:pt>
                <c:pt idx="43">
                  <c:v>4.2535759161570286E-3</c:v>
                </c:pt>
                <c:pt idx="44">
                  <c:v>4.1954153396390192E-3</c:v>
                </c:pt>
                <c:pt idx="45">
                  <c:v>4.1390721315999216E-3</c:v>
                </c:pt>
                <c:pt idx="46">
                  <c:v>4.084450845403949E-3</c:v>
                </c:pt>
                <c:pt idx="47">
                  <c:v>4.0314629811778807E-3</c:v>
                </c:pt>
                <c:pt idx="48">
                  <c:v>3.9800263469265927E-3</c:v>
                </c:pt>
                <c:pt idx="49">
                  <c:v>3.9300644901207864E-3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EB7-4B06-8445-21393238CB8C}"/>
            </c:ext>
          </c:extLst>
        </c:ser>
        <c:ser>
          <c:idx val="9"/>
          <c:order val="9"/>
          <c:tx>
            <c:strRef>
              <c:f>Gamma!$B$54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Gamma!$C$54:$AZ$54</c:f>
              <c:numCache>
                <c:formatCode>General</c:formatCode>
                <c:ptCount val="50"/>
                <c:pt idx="0">
                  <c:v>2.7060468958278856E-2</c:v>
                </c:pt>
                <c:pt idx="1">
                  <c:v>1.9809549402613071E-2</c:v>
                </c:pt>
                <c:pt idx="2">
                  <c:v>1.6334813771368518E-2</c:v>
                </c:pt>
                <c:pt idx="3">
                  <c:v>1.4198346655978964E-2</c:v>
                </c:pt>
                <c:pt idx="4">
                  <c:v>1.2714486334632831E-2</c:v>
                </c:pt>
                <c:pt idx="5">
                  <c:v>1.1606086259672136E-2</c:v>
                </c:pt>
                <c:pt idx="6">
                  <c:v>1.0736984090727554E-2</c:v>
                </c:pt>
                <c:pt idx="7">
                  <c:v>1.00314552917132E-2</c:v>
                </c:pt>
                <c:pt idx="8">
                  <c:v>9.443589126783768E-3</c:v>
                </c:pt>
                <c:pt idx="9">
                  <c:v>8.9437159731400387E-3</c:v>
                </c:pt>
                <c:pt idx="10">
                  <c:v>8.5116949356813954E-3</c:v>
                </c:pt>
                <c:pt idx="11">
                  <c:v>8.1333078853316008E-3</c:v>
                </c:pt>
                <c:pt idx="12">
                  <c:v>7.7981924521382242E-3</c:v>
                </c:pt>
                <c:pt idx="13">
                  <c:v>7.4985935039001113E-3</c:v>
                </c:pt>
                <c:pt idx="14">
                  <c:v>7.228575731552867E-3</c:v>
                </c:pt>
                <c:pt idx="15">
                  <c:v>6.9835087051370905E-3</c:v>
                </c:pt>
                <c:pt idx="16">
                  <c:v>6.7597195468694256E-3</c:v>
                </c:pt>
                <c:pt idx="17">
                  <c:v>6.5542523301578628E-3</c:v>
                </c:pt>
                <c:pt idx="18">
                  <c:v>6.3646974895498259E-3</c:v>
                </c:pt>
                <c:pt idx="19">
                  <c:v>6.1890683697939444E-3</c:v>
                </c:pt>
                <c:pt idx="20">
                  <c:v>6.0257102524538531E-3</c:v>
                </c:pt>
                <c:pt idx="21">
                  <c:v>5.8732322207786566E-3</c:v>
                </c:pt>
                <c:pt idx="22">
                  <c:v>5.7304553809988919E-3</c:v>
                </c:pt>
                <c:pt idx="23">
                  <c:v>5.5963729924301949E-3</c:v>
                </c:pt>
                <c:pt idx="24">
                  <c:v>5.4701193984294672E-3</c:v>
                </c:pt>
                <c:pt idx="25">
                  <c:v>5.3509455501914377E-3</c:v>
                </c:pt>
                <c:pt idx="26">
                  <c:v>5.238199530924182E-3</c:v>
                </c:pt>
                <c:pt idx="27">
                  <c:v>5.1313109159536376E-3</c:v>
                </c:pt>
                <c:pt idx="28">
                  <c:v>5.0297781064352473E-3</c:v>
                </c:pt>
                <c:pt idx="29">
                  <c:v>4.9331579905952452E-3</c:v>
                </c:pt>
                <c:pt idx="30">
                  <c:v>4.8410574431902173E-3</c:v>
                </c:pt>
                <c:pt idx="31">
                  <c:v>4.7531262888744442E-3</c:v>
                </c:pt>
                <c:pt idx="32">
                  <c:v>4.6690514404595252E-3</c:v>
                </c:pt>
                <c:pt idx="33">
                  <c:v>4.5885519869640181E-3</c:v>
                </c:pt>
                <c:pt idx="34">
                  <c:v>4.511375054701873E-3</c:v>
                </c:pt>
                <c:pt idx="35">
                  <c:v>4.4372923015648866E-3</c:v>
                </c:pt>
                <c:pt idx="36">
                  <c:v>4.3660969330622211E-3</c:v>
                </c:pt>
                <c:pt idx="37">
                  <c:v>4.297601150718958E-3</c:v>
                </c:pt>
                <c:pt idx="38">
                  <c:v>4.2316339606608532E-3</c:v>
                </c:pt>
                <c:pt idx="39">
                  <c:v>4.1680392837696815E-3</c:v>
                </c:pt>
                <c:pt idx="40">
                  <c:v>4.1066743195344937E-3</c:v>
                </c:pt>
                <c:pt idx="41">
                  <c:v>4.047408124287266E-3</c:v>
                </c:pt>
                <c:pt idx="42">
                  <c:v>3.9901203713786915E-3</c:v>
                </c:pt>
                <c:pt idx="43">
                  <c:v>3.9347002663882302E-3</c:v>
                </c:pt>
                <c:pt idx="44">
                  <c:v>3.8810455949530964E-3</c:v>
                </c:pt>
                <c:pt idx="45">
                  <c:v>3.8290618844602151E-3</c:v>
                </c:pt>
                <c:pt idx="46">
                  <c:v>3.7786616638418712E-3</c:v>
                </c:pt>
                <c:pt idx="47">
                  <c:v>3.729763808180929E-3</c:v>
                </c:pt>
                <c:pt idx="48">
                  <c:v>3.6822929568685269E-3</c:v>
                </c:pt>
                <c:pt idx="49">
                  <c:v>3.6361789957473738E-3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EB7-4B06-8445-21393238CB8C}"/>
            </c:ext>
          </c:extLst>
        </c:ser>
        <c:ser>
          <c:idx val="10"/>
          <c:order val="10"/>
          <c:tx>
            <c:strRef>
              <c:f>Gamma!$B$55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Gamma!$C$55:$AZ$55</c:f>
              <c:numCache>
                <c:formatCode>General</c:formatCode>
                <c:ptCount val="50"/>
                <c:pt idx="0">
                  <c:v>2.0407459239631193E-2</c:v>
                </c:pt>
                <c:pt idx="1">
                  <c:v>1.6588897019577217E-2</c:v>
                </c:pt>
                <c:pt idx="2">
                  <c:v>1.416511811110192E-2</c:v>
                </c:pt>
                <c:pt idx="3">
                  <c:v>1.252925756247129E-2</c:v>
                </c:pt>
                <c:pt idx="4">
                  <c:v>1.1337970184019322E-2</c:v>
                </c:pt>
                <c:pt idx="5">
                  <c:v>1.0422092057052875E-2</c:v>
                </c:pt>
                <c:pt idx="6">
                  <c:v>9.6898616738893429E-3</c:v>
                </c:pt>
                <c:pt idx="7">
                  <c:v>9.0870690343232488E-3</c:v>
                </c:pt>
                <c:pt idx="8">
                  <c:v>8.5794719851602589E-3</c:v>
                </c:pt>
                <c:pt idx="9">
                  <c:v>8.144273488185234E-3</c:v>
                </c:pt>
                <c:pt idx="10">
                  <c:v>7.7656440149917894E-3</c:v>
                </c:pt>
                <c:pt idx="11">
                  <c:v>7.4322082974345709E-3</c:v>
                </c:pt>
                <c:pt idx="12">
                  <c:v>7.1355557745001984E-3</c:v>
                </c:pt>
                <c:pt idx="13">
                  <c:v>6.8693168650928874E-3</c:v>
                </c:pt>
                <c:pt idx="14">
                  <c:v>6.6285678372682948E-3</c:v>
                </c:pt>
                <c:pt idx="15">
                  <c:v>6.4094346843325467E-3</c:v>
                </c:pt>
                <c:pt idx="16">
                  <c:v>6.208821944318794E-3</c:v>
                </c:pt>
                <c:pt idx="17">
                  <c:v>6.0242224505724666E-3</c:v>
                </c:pt>
                <c:pt idx="18">
                  <c:v>5.8535809560102299E-3</c:v>
                </c:pt>
                <c:pt idx="19">
                  <c:v>5.6951944937231325E-3</c:v>
                </c:pt>
                <c:pt idx="20">
                  <c:v>5.5476383296756936E-3</c:v>
                </c:pt>
                <c:pt idx="21">
                  <c:v>5.4097100882619905E-3</c:v>
                </c:pt>
                <c:pt idx="22">
                  <c:v>5.2803870062897952E-3</c:v>
                </c:pt>
                <c:pt idx="23">
                  <c:v>5.1587928199062086E-3</c:v>
                </c:pt>
                <c:pt idx="24">
                  <c:v>5.044171820287731E-3</c:v>
                </c:pt>
                <c:pt idx="25">
                  <c:v>4.9358683135417702E-3</c:v>
                </c:pt>
                <c:pt idx="26">
                  <c:v>4.8333102030435043E-3</c:v>
                </c:pt>
                <c:pt idx="27">
                  <c:v>4.7359957508149621E-3</c:v>
                </c:pt>
                <c:pt idx="28">
                  <c:v>4.6434828151567416E-3</c:v>
                </c:pt>
                <c:pt idx="29">
                  <c:v>4.5553800350997334E-3</c:v>
                </c:pt>
                <c:pt idx="30">
                  <c:v>4.4713395586877917E-3</c:v>
                </c:pt>
                <c:pt idx="31">
                  <c:v>4.3910510053812414E-3</c:v>
                </c:pt>
                <c:pt idx="32">
                  <c:v>4.3142364224150534E-3</c:v>
                </c:pt>
                <c:pt idx="33">
                  <c:v>4.2406460473073263E-3</c:v>
                </c:pt>
                <c:pt idx="34">
                  <c:v>4.1700547285034107E-3</c:v>
                </c:pt>
                <c:pt idx="35">
                  <c:v>4.1022588866393064E-3</c:v>
                </c:pt>
                <c:pt idx="36">
                  <c:v>4.0370739224747957E-3</c:v>
                </c:pt>
                <c:pt idx="37">
                  <c:v>3.9743319958967915E-3</c:v>
                </c:pt>
                <c:pt idx="38">
                  <c:v>3.9138801147844586E-3</c:v>
                </c:pt>
                <c:pt idx="39">
                  <c:v>3.8555784838907961E-3</c:v>
                </c:pt>
                <c:pt idx="40">
                  <c:v>3.7992990729252643E-3</c:v>
                </c:pt>
                <c:pt idx="41">
                  <c:v>3.7449243702416851E-3</c:v>
                </c:pt>
                <c:pt idx="42">
                  <c:v>3.6923462943411387E-3</c:v>
                </c:pt>
                <c:pt idx="43">
                  <c:v>3.6414652400936286E-3</c:v>
                </c:pt>
                <c:pt idx="44">
                  <c:v>3.5921892403974823E-3</c:v>
                </c:pt>
                <c:pt idx="45">
                  <c:v>3.5444332271116555E-3</c:v>
                </c:pt>
                <c:pt idx="46">
                  <c:v>3.498118377653554E-3</c:v>
                </c:pt>
                <c:pt idx="47">
                  <c:v>3.453171535763216E-3</c:v>
                </c:pt>
                <c:pt idx="48">
                  <c:v>3.4095246966802423E-3</c:v>
                </c:pt>
                <c:pt idx="49">
                  <c:v>3.3671145484309834E-3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EB7-4B06-8445-21393238CB8C}"/>
            </c:ext>
          </c:extLst>
        </c:ser>
        <c:ser>
          <c:idx val="11"/>
          <c:order val="11"/>
          <c:tx>
            <c:strRef>
              <c:f>Gamma!$B$56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Gamma!$C$56:$AZ$56</c:f>
              <c:numCache>
                <c:formatCode>General</c:formatCode>
                <c:ptCount val="50"/>
                <c:pt idx="0">
                  <c:v>1.3734374616933852E-2</c:v>
                </c:pt>
                <c:pt idx="1">
                  <c:v>1.3144538242073206E-2</c:v>
                </c:pt>
                <c:pt idx="2">
                  <c:v>1.1851790895811832E-2</c:v>
                </c:pt>
                <c:pt idx="3">
                  <c:v>1.0772266674920391E-2</c:v>
                </c:pt>
                <c:pt idx="4">
                  <c:v>9.9084987020282237E-3</c:v>
                </c:pt>
                <c:pt idx="5">
                  <c:v>9.2077738178183779E-3</c:v>
                </c:pt>
                <c:pt idx="6">
                  <c:v>8.6276770529152141E-3</c:v>
                </c:pt>
                <c:pt idx="7">
                  <c:v>8.138278624941226E-3</c:v>
                </c:pt>
                <c:pt idx="8">
                  <c:v>7.7186073841711772E-3</c:v>
                </c:pt>
                <c:pt idx="9">
                  <c:v>7.3537095017551478E-3</c:v>
                </c:pt>
                <c:pt idx="10">
                  <c:v>7.0326796141570785E-3</c:v>
                </c:pt>
                <c:pt idx="11">
                  <c:v>6.7473865203629838E-3</c:v>
                </c:pt>
                <c:pt idx="12">
                  <c:v>6.4916425282848314E-3</c:v>
                </c:pt>
                <c:pt idx="13">
                  <c:v>6.2606517800349541E-3</c:v>
                </c:pt>
                <c:pt idx="14">
                  <c:v>6.0506358651477299E-3</c:v>
                </c:pt>
                <c:pt idx="15">
                  <c:v>5.8585742337030466E-3</c:v>
                </c:pt>
                <c:pt idx="16">
                  <c:v>5.6820205203469351E-3</c:v>
                </c:pt>
                <c:pt idx="17">
                  <c:v>5.5189701206826564E-3</c:v>
                </c:pt>
                <c:pt idx="18">
                  <c:v>5.3677630640325521E-3</c:v>
                </c:pt>
                <c:pt idx="19">
                  <c:v>5.227011647615883E-3</c:v>
                </c:pt>
                <c:pt idx="20">
                  <c:v>5.0955457411274328E-3</c:v>
                </c:pt>
                <c:pt idx="21">
                  <c:v>4.9723709016230204E-3</c:v>
                </c:pt>
                <c:pt idx="22">
                  <c:v>4.8566359110224612E-3</c:v>
                </c:pt>
                <c:pt idx="23">
                  <c:v>4.7476073376270808E-3</c:v>
                </c:pt>
                <c:pt idx="24">
                  <c:v>4.6446493985473321E-3</c:v>
                </c:pt>
                <c:pt idx="25">
                  <c:v>4.5472078684471581E-3</c:v>
                </c:pt>
                <c:pt idx="26">
                  <c:v>4.4547971096715391E-3</c:v>
                </c:pt>
                <c:pt idx="27">
                  <c:v>4.3669895339150762E-3</c:v>
                </c:pt>
                <c:pt idx="28">
                  <c:v>4.2834069753508244E-3</c:v>
                </c:pt>
                <c:pt idx="29">
                  <c:v>4.2037135791639212E-3</c:v>
                </c:pt>
                <c:pt idx="30">
                  <c:v>4.1276099010395893E-3</c:v>
                </c:pt>
                <c:pt idx="31">
                  <c:v>4.0548279815090099E-3</c:v>
                </c:pt>
                <c:pt idx="32">
                  <c:v>3.9851272105513556E-3</c:v>
                </c:pt>
                <c:pt idx="33">
                  <c:v>3.9182908369944282E-3</c:v>
                </c:pt>
                <c:pt idx="34">
                  <c:v>3.8541230072644556E-3</c:v>
                </c:pt>
                <c:pt idx="35">
                  <c:v>3.7924462412239298E-3</c:v>
                </c:pt>
                <c:pt idx="36">
                  <c:v>3.7330992708896568E-3</c:v>
                </c:pt>
                <c:pt idx="37">
                  <c:v>3.6759351819787233E-3</c:v>
                </c:pt>
                <c:pt idx="38">
                  <c:v>3.6208198094040051E-3</c:v>
                </c:pt>
                <c:pt idx="39">
                  <c:v>3.5676303467174673E-3</c:v>
                </c:pt>
                <c:pt idx="40">
                  <c:v>3.5162541365936885E-3</c:v>
                </c:pt>
                <c:pt idx="41">
                  <c:v>3.4665876151483001E-3</c:v>
                </c:pt>
                <c:pt idx="42">
                  <c:v>3.4185353874944631E-3</c:v>
                </c:pt>
                <c:pt idx="43">
                  <c:v>3.3720094156841993E-3</c:v>
                </c:pt>
                <c:pt idx="44">
                  <c:v>3.3269283032378505E-3</c:v>
                </c:pt>
                <c:pt idx="45">
                  <c:v>3.283216662971814E-3</c:v>
                </c:pt>
                <c:pt idx="46">
                  <c:v>3.2408045569004085E-3</c:v>
                </c:pt>
                <c:pt idx="47">
                  <c:v>3.1996269986969191E-3</c:v>
                </c:pt>
                <c:pt idx="48">
                  <c:v>3.15962351061919E-3</c:v>
                </c:pt>
                <c:pt idx="49">
                  <c:v>3.1207377279898591E-3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EB7-4B06-8445-21393238CB8C}"/>
            </c:ext>
          </c:extLst>
        </c:ser>
        <c:ser>
          <c:idx val="12"/>
          <c:order val="12"/>
          <c:tx>
            <c:strRef>
              <c:f>Gamma!$B$57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Gamma!$C$57:$AZ$57</c:f>
              <c:numCache>
                <c:formatCode>General</c:formatCode>
                <c:ptCount val="50"/>
                <c:pt idx="0">
                  <c:v>8.3731923526671453E-3</c:v>
                </c:pt>
                <c:pt idx="1">
                  <c:v>9.9276455530618955E-3</c:v>
                </c:pt>
                <c:pt idx="2">
                  <c:v>9.6137131412659116E-3</c:v>
                </c:pt>
                <c:pt idx="3">
                  <c:v>9.0556035253487113E-3</c:v>
                </c:pt>
                <c:pt idx="4">
                  <c:v>8.5098133685480113E-3</c:v>
                </c:pt>
                <c:pt idx="5">
                  <c:v>8.0217305756347564E-3</c:v>
                </c:pt>
                <c:pt idx="6">
                  <c:v>7.5934086626077762E-3</c:v>
                </c:pt>
                <c:pt idx="7">
                  <c:v>7.2176787061213237E-3</c:v>
                </c:pt>
                <c:pt idx="8">
                  <c:v>6.8863294486785787E-3</c:v>
                </c:pt>
                <c:pt idx="9">
                  <c:v>6.5920789237957494E-3</c:v>
                </c:pt>
                <c:pt idx="10">
                  <c:v>6.3288967624881452E-3</c:v>
                </c:pt>
                <c:pt idx="11">
                  <c:v>6.0918912634278337E-3</c:v>
                </c:pt>
                <c:pt idx="12">
                  <c:v>5.8771083644118391E-3</c:v>
                </c:pt>
                <c:pt idx="13">
                  <c:v>5.6813407088274065E-3</c:v>
                </c:pt>
                <c:pt idx="14">
                  <c:v>5.5019697205616752E-3</c:v>
                </c:pt>
                <c:pt idx="15">
                  <c:v>5.3368410983374278E-3</c:v>
                </c:pt>
                <c:pt idx="16">
                  <c:v>5.1841683236508607E-3</c:v>
                </c:pt>
                <c:pt idx="17">
                  <c:v>5.0424581771236193E-3</c:v>
                </c:pt>
                <c:pt idx="18">
                  <c:v>4.9104531161157493E-3</c:v>
                </c:pt>
                <c:pt idx="19">
                  <c:v>4.7870864611597019E-3</c:v>
                </c:pt>
                <c:pt idx="20">
                  <c:v>4.6714473077709706E-3</c:v>
                </c:pt>
                <c:pt idx="21">
                  <c:v>4.5627528487413582E-3</c:v>
                </c:pt>
                <c:pt idx="22">
                  <c:v>4.4603263751068238E-3</c:v>
                </c:pt>
                <c:pt idx="23">
                  <c:v>4.3635796581017634E-3</c:v>
                </c:pt>
                <c:pt idx="24">
                  <c:v>4.2719987354381556E-3</c:v>
                </c:pt>
                <c:pt idx="25">
                  <c:v>4.1851323625239668E-3</c:v>
                </c:pt>
                <c:pt idx="26">
                  <c:v>4.1025825651280759E-3</c:v>
                </c:pt>
                <c:pt idx="27">
                  <c:v>4.0239968610277033E-3</c:v>
                </c:pt>
                <c:pt idx="28">
                  <c:v>3.9490618163667054E-3</c:v>
                </c:pt>
                <c:pt idx="29">
                  <c:v>3.8774976765210125E-3</c:v>
                </c:pt>
                <c:pt idx="30">
                  <c:v>3.8090538675189926E-3</c:v>
                </c:pt>
                <c:pt idx="31">
                  <c:v>3.7435052070794762E-3</c:v>
                </c:pt>
                <c:pt idx="32">
                  <c:v>3.680648697447875E-3</c:v>
                </c:pt>
                <c:pt idx="33">
                  <c:v>3.6203007978792196E-3</c:v>
                </c:pt>
                <c:pt idx="34">
                  <c:v>3.5622950946413252E-3</c:v>
                </c:pt>
                <c:pt idx="35">
                  <c:v>3.5064803021311783E-3</c:v>
                </c:pt>
                <c:pt idx="36">
                  <c:v>3.4527185411134895E-3</c:v>
                </c:pt>
                <c:pt idx="37">
                  <c:v>3.4008838499541396E-3</c:v>
                </c:pt>
                <c:pt idx="38">
                  <c:v>3.3508608926016226E-3</c:v>
                </c:pt>
                <c:pt idx="39">
                  <c:v>3.3025438333995328E-3</c:v>
                </c:pt>
                <c:pt idx="40">
                  <c:v>3.2558353539240254E-3</c:v>
                </c:pt>
                <c:pt idx="41">
                  <c:v>3.2106457911874387E-3</c:v>
                </c:pt>
                <c:pt idx="42">
                  <c:v>3.1668923799305893E-3</c:v>
                </c:pt>
                <c:pt idx="43">
                  <c:v>3.1244985844958214E-3</c:v>
                </c:pt>
                <c:pt idx="44">
                  <c:v>3.0833935080513569E-3</c:v>
                </c:pt>
                <c:pt idx="45">
                  <c:v>3.0435113688198449E-3</c:v>
                </c:pt>
                <c:pt idx="46">
                  <c:v>3.0047910345254903E-3</c:v>
                </c:pt>
                <c:pt idx="47">
                  <c:v>2.967175607574432E-3</c:v>
                </c:pt>
                <c:pt idx="48">
                  <c:v>2.9306120545699679E-3</c:v>
                </c:pt>
                <c:pt idx="49">
                  <c:v>2.8950508746760453E-3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EB7-4B06-8445-21393238CB8C}"/>
            </c:ext>
          </c:extLst>
        </c:ser>
        <c:ser>
          <c:idx val="13"/>
          <c:order val="13"/>
          <c:tx>
            <c:strRef>
              <c:f>Gamma!$B$58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Gamma!$C$58:$AZ$58</c:f>
              <c:numCache>
                <c:formatCode>General</c:formatCode>
                <c:ptCount val="50"/>
                <c:pt idx="0">
                  <c:v>4.683305428760806E-3</c:v>
                </c:pt>
                <c:pt idx="1">
                  <c:v>7.1916140270652518E-3</c:v>
                </c:pt>
                <c:pt idx="2">
                  <c:v>7.5912069567103911E-3</c:v>
                </c:pt>
                <c:pt idx="3">
                  <c:v>7.4654648419457906E-3</c:v>
                </c:pt>
                <c:pt idx="4">
                  <c:v>7.1993180404580802E-3</c:v>
                </c:pt>
                <c:pt idx="5">
                  <c:v>6.9044216914910346E-3</c:v>
                </c:pt>
                <c:pt idx="6">
                  <c:v>6.6167468547869042E-3</c:v>
                </c:pt>
                <c:pt idx="7">
                  <c:v>6.347704099172847E-3</c:v>
                </c:pt>
                <c:pt idx="8">
                  <c:v>6.0999586042205485E-3</c:v>
                </c:pt>
                <c:pt idx="9">
                  <c:v>5.8729656556991069E-3</c:v>
                </c:pt>
                <c:pt idx="10">
                  <c:v>5.6650693716830628E-3</c:v>
                </c:pt>
                <c:pt idx="11">
                  <c:v>5.4743323750511335E-3</c:v>
                </c:pt>
                <c:pt idx="12">
                  <c:v>5.2988631206368712E-3</c:v>
                </c:pt>
                <c:pt idx="13">
                  <c:v>5.1369354506030944E-3</c:v>
                </c:pt>
                <c:pt idx="14">
                  <c:v>4.9870207098389012E-3</c:v>
                </c:pt>
                <c:pt idx="15">
                  <c:v>4.847783732245258E-3</c:v>
                </c:pt>
                <c:pt idx="16">
                  <c:v>4.7180651297488068E-3</c:v>
                </c:pt>
                <c:pt idx="17">
                  <c:v>4.5968597277163108E-3</c:v>
                </c:pt>
                <c:pt idx="18">
                  <c:v>4.4832953485006545E-3</c:v>
                </c:pt>
                <c:pt idx="19">
                  <c:v>4.3766135814708061E-3</c:v>
                </c:pt>
                <c:pt idx="20">
                  <c:v>4.2761530185730801E-3</c:v>
                </c:pt>
                <c:pt idx="21">
                  <c:v>4.1813349273863917E-3</c:v>
                </c:pt>
                <c:pt idx="22">
                  <c:v>4.0916511314305782E-3</c:v>
                </c:pt>
                <c:pt idx="23">
                  <c:v>4.0066538063641384E-3</c:v>
                </c:pt>
                <c:pt idx="24">
                  <c:v>3.9259469024941684E-3</c:v>
                </c:pt>
                <c:pt idx="25">
                  <c:v>3.8491789313641256E-3</c:v>
                </c:pt>
                <c:pt idx="26">
                  <c:v>3.7760368894836013E-3</c:v>
                </c:pt>
                <c:pt idx="27">
                  <c:v>3.7062411275455222E-3</c:v>
                </c:pt>
                <c:pt idx="28">
                  <c:v>3.6395410054493975E-3</c:v>
                </c:pt>
                <c:pt idx="29">
                  <c:v>3.5757112010624701E-3</c:v>
                </c:pt>
                <c:pt idx="30">
                  <c:v>3.514548563879831E-3</c:v>
                </c:pt>
                <c:pt idx="31">
                  <c:v>3.45586942399584E-3</c:v>
                </c:pt>
                <c:pt idx="32">
                  <c:v>3.3995072826194287E-3</c:v>
                </c:pt>
                <c:pt idx="33">
                  <c:v>3.3453108233085283E-3</c:v>
                </c:pt>
                <c:pt idx="34">
                  <c:v>3.2931421936668506E-3</c:v>
                </c:pt>
                <c:pt idx="35">
                  <c:v>3.2428755158732097E-3</c:v>
                </c:pt>
                <c:pt idx="36">
                  <c:v>3.1943955914621254E-3</c:v>
                </c:pt>
                <c:pt idx="37">
                  <c:v>3.147596771542977E-3</c:v>
                </c:pt>
                <c:pt idx="38">
                  <c:v>3.1023819683761969E-3</c:v>
                </c:pt>
                <c:pt idx="39">
                  <c:v>3.058661788115338E-3</c:v>
                </c:pt>
                <c:pt idx="40">
                  <c:v>3.0163537677315969E-3</c:v>
                </c:pt>
                <c:pt idx="41">
                  <c:v>2.9753817017901109E-3</c:v>
                </c:pt>
                <c:pt idx="42">
                  <c:v>2.9356750469477022E-3</c:v>
                </c:pt>
                <c:pt idx="43">
                  <c:v>2.8971683938724371E-3</c:v>
                </c:pt>
                <c:pt idx="44">
                  <c:v>2.8598009978133012E-3</c:v>
                </c:pt>
                <c:pt idx="45">
                  <c:v>2.8235163603272714E-3</c:v>
                </c:pt>
                <c:pt idx="46">
                  <c:v>2.7882618557451468E-3</c:v>
                </c:pt>
                <c:pt idx="47">
                  <c:v>2.7539883968619575E-3</c:v>
                </c:pt>
                <c:pt idx="48">
                  <c:v>2.7206501351018653E-3</c:v>
                </c:pt>
                <c:pt idx="49">
                  <c:v>2.6882041910546916E-3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EB7-4B06-8445-21393238CB8C}"/>
            </c:ext>
          </c:extLst>
        </c:ser>
        <c:ser>
          <c:idx val="14"/>
          <c:order val="14"/>
          <c:tx>
            <c:strRef>
              <c:f>Gamma!$B$59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Gamma!$C$59:$AZ$59</c:f>
              <c:numCache>
                <c:formatCode>General</c:formatCode>
                <c:ptCount val="50"/>
                <c:pt idx="0">
                  <c:v>2.4294391974026752E-3</c:v>
                </c:pt>
                <c:pt idx="1">
                  <c:v>5.0233779010107147E-3</c:v>
                </c:pt>
                <c:pt idx="2">
                  <c:v>5.8553422805504348E-3</c:v>
                </c:pt>
                <c:pt idx="3">
                  <c:v>6.0510995545120325E-3</c:v>
                </c:pt>
                <c:pt idx="4">
                  <c:v>6.0116044317558362E-3</c:v>
                </c:pt>
                <c:pt idx="5">
                  <c:v>5.8808586340794635E-3</c:v>
                </c:pt>
                <c:pt idx="6">
                  <c:v>5.7162483698173514E-3</c:v>
                </c:pt>
                <c:pt idx="7">
                  <c:v>5.5424029762557734E-3</c:v>
                </c:pt>
                <c:pt idx="8">
                  <c:v>5.3702888376907874E-3</c:v>
                </c:pt>
                <c:pt idx="9">
                  <c:v>5.2047477127311059E-3</c:v>
                </c:pt>
                <c:pt idx="10">
                  <c:v>5.0477383455545142E-3</c:v>
                </c:pt>
                <c:pt idx="11">
                  <c:v>4.899825139213017E-3</c:v>
                </c:pt>
                <c:pt idx="12">
                  <c:v>4.7608964422920178E-3</c:v>
                </c:pt>
                <c:pt idx="13">
                  <c:v>4.6305235540063739E-3</c:v>
                </c:pt>
                <c:pt idx="14">
                  <c:v>4.5081440917616256E-3</c:v>
                </c:pt>
                <c:pt idx="15">
                  <c:v>4.3931562848232471E-3</c:v>
                </c:pt>
                <c:pt idx="16">
                  <c:v>4.2849668385925091E-3</c:v>
                </c:pt>
                <c:pt idx="17">
                  <c:v>4.1830141493052137E-3</c:v>
                </c:pt>
                <c:pt idx="18">
                  <c:v>4.0867783201103056E-3</c:v>
                </c:pt>
                <c:pt idx="19">
                  <c:v>3.9957841359490459E-3</c:v>
                </c:pt>
                <c:pt idx="20">
                  <c:v>3.9096003618822959E-3</c:v>
                </c:pt>
                <c:pt idx="21">
                  <c:v>3.8278372204321558E-3</c:v>
                </c:pt>
                <c:pt idx="22">
                  <c:v>3.7501430723117751E-3</c:v>
                </c:pt>
                <c:pt idx="23">
                  <c:v>3.6762008604625516E-3</c:v>
                </c:pt>
                <c:pt idx="24">
                  <c:v>3.6057246153481316E-3</c:v>
                </c:pt>
                <c:pt idx="25">
                  <c:v>3.5384561711655662E-3</c:v>
                </c:pt>
                <c:pt idx="26">
                  <c:v>3.4741621590095128E-3</c:v>
                </c:pt>
                <c:pt idx="27">
                  <c:v>3.4126312965261411E-3</c:v>
                </c:pt>
                <c:pt idx="28">
                  <c:v>3.3536719685151734E-3</c:v>
                </c:pt>
                <c:pt idx="29">
                  <c:v>3.2971100802172888E-3</c:v>
                </c:pt>
                <c:pt idx="30">
                  <c:v>3.2427871593811116E-3</c:v>
                </c:pt>
                <c:pt idx="31">
                  <c:v>3.1905586815469821E-3</c:v>
                </c:pt>
                <c:pt idx="32">
                  <c:v>3.1402925934988861E-3</c:v>
                </c:pt>
                <c:pt idx="33">
                  <c:v>3.0918680114592144E-3</c:v>
                </c:pt>
                <c:pt idx="34">
                  <c:v>3.0451740727179036E-3</c:v>
                </c:pt>
                <c:pt idx="35">
                  <c:v>3.0001089216479017E-3</c:v>
                </c:pt>
                <c:pt idx="36">
                  <c:v>2.9565788132706423E-3</c:v>
                </c:pt>
                <c:pt idx="37">
                  <c:v>2.9144973195997454E-3</c:v>
                </c:pt>
                <c:pt idx="38">
                  <c:v>2.873784625864424E-3</c:v>
                </c:pt>
                <c:pt idx="39">
                  <c:v>2.8343669053835256E-3</c:v>
                </c:pt>
                <c:pt idx="40">
                  <c:v>2.7961757633313431E-3</c:v>
                </c:pt>
                <c:pt idx="41">
                  <c:v>2.7591477409209548E-3</c:v>
                </c:pt>
                <c:pt idx="42">
                  <c:v>2.7232238726473922E-3</c:v>
                </c:pt>
                <c:pt idx="43">
                  <c:v>2.6883492902000736E-3</c:v>
                </c:pt>
                <c:pt idx="44">
                  <c:v>2.6544728674899767E-3</c:v>
                </c:pt>
                <c:pt idx="45">
                  <c:v>2.6215469019587592E-3</c:v>
                </c:pt>
                <c:pt idx="46">
                  <c:v>2.5895268279600178E-3</c:v>
                </c:pt>
                <c:pt idx="47">
                  <c:v>2.5583709585404635E-3</c:v>
                </c:pt>
                <c:pt idx="48">
                  <c:v>2.5280402524130692E-3</c:v>
                </c:pt>
                <c:pt idx="49">
                  <c:v>2.4984981033154656E-3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EB7-4B06-8445-21393238CB8C}"/>
            </c:ext>
          </c:extLst>
        </c:ser>
        <c:ser>
          <c:idx val="15"/>
          <c:order val="15"/>
          <c:tx>
            <c:strRef>
              <c:f>Gamma!$B$60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Gamma!$C$60:$AZ$60</c:f>
              <c:numCache>
                <c:formatCode>General</c:formatCode>
                <c:ptCount val="50"/>
                <c:pt idx="0">
                  <c:v>1.1797749643956228E-3</c:v>
                </c:pt>
                <c:pt idx="1">
                  <c:v>3.3988923428329141E-3</c:v>
                </c:pt>
                <c:pt idx="2">
                  <c:v>4.4249664714346168E-3</c:v>
                </c:pt>
                <c:pt idx="3">
                  <c:v>4.8328138193056347E-3</c:v>
                </c:pt>
                <c:pt idx="4">
                  <c:v>4.9631911763247582E-3</c:v>
                </c:pt>
                <c:pt idx="5">
                  <c:v>4.9638034399966226E-3</c:v>
                </c:pt>
                <c:pt idx="6">
                  <c:v>4.9016734462603608E-3</c:v>
                </c:pt>
                <c:pt idx="7">
                  <c:v>4.8092346754676409E-3</c:v>
                </c:pt>
                <c:pt idx="8">
                  <c:v>4.7030203729840174E-3</c:v>
                </c:pt>
                <c:pt idx="9">
                  <c:v>4.5917683941409963E-3</c:v>
                </c:pt>
                <c:pt idx="10">
                  <c:v>4.48018748199892E-3</c:v>
                </c:pt>
                <c:pt idx="11">
                  <c:v>4.370815624135679E-3</c:v>
                </c:pt>
                <c:pt idx="12">
                  <c:v>4.2649840836620845E-3</c:v>
                </c:pt>
                <c:pt idx="13">
                  <c:v>4.163338543514146E-3</c:v>
                </c:pt>
                <c:pt idx="14">
                  <c:v>4.0661304529771916E-3</c:v>
                </c:pt>
                <c:pt idx="15">
                  <c:v>3.9733843422166681E-3</c:v>
                </c:pt>
                <c:pt idx="16">
                  <c:v>3.8849959235059879E-3</c:v>
                </c:pt>
                <c:pt idx="17">
                  <c:v>3.8007904720023496E-3</c:v>
                </c:pt>
                <c:pt idx="18">
                  <c:v>3.7205578728365606E-3</c:v>
                </c:pt>
                <c:pt idx="19">
                  <c:v>3.6440736961518005E-3</c:v>
                </c:pt>
                <c:pt idx="20">
                  <c:v>3.5711117781874308E-3</c:v>
                </c:pt>
                <c:pt idx="21">
                  <c:v>3.5014515806869972E-3</c:v>
                </c:pt>
                <c:pt idx="22">
                  <c:v>3.4348823177970875E-3</c:v>
                </c:pt>
                <c:pt idx="23">
                  <c:v>3.371205077432415E-3</c:v>
                </c:pt>
                <c:pt idx="24">
                  <c:v>3.3102337029274056E-3</c:v>
                </c:pt>
                <c:pt idx="25">
                  <c:v>3.2517949172694871E-3</c:v>
                </c:pt>
                <c:pt idx="26">
                  <c:v>3.1957279954657435E-3</c:v>
                </c:pt>
                <c:pt idx="27">
                  <c:v>3.1418841791159969E-3</c:v>
                </c:pt>
                <c:pt idx="28">
                  <c:v>3.0901259562691411E-3</c:v>
                </c:pt>
                <c:pt idx="29">
                  <c:v>3.0403262840825581E-3</c:v>
                </c:pt>
                <c:pt idx="30">
                  <c:v>2.992367802416308E-3</c:v>
                </c:pt>
                <c:pt idx="31">
                  <c:v>2.9461420674835302E-3</c:v>
                </c:pt>
                <c:pt idx="32">
                  <c:v>2.9015488223838809E-3</c:v>
                </c:pt>
                <c:pt idx="33">
                  <c:v>2.8584953134266583E-3</c:v>
                </c:pt>
                <c:pt idx="34">
                  <c:v>2.8168956560932533E-3</c:v>
                </c:pt>
                <c:pt idx="35">
                  <c:v>2.7766702513109002E-3</c:v>
                </c:pt>
                <c:pt idx="36">
                  <c:v>2.737745250766541E-3</c:v>
                </c:pt>
                <c:pt idx="37">
                  <c:v>2.7000520688555754E-3</c:v>
                </c:pt>
                <c:pt idx="38">
                  <c:v>2.6635269382536838E-3</c:v>
                </c:pt>
                <c:pt idx="39">
                  <c:v>2.6281105058336422E-3</c:v>
                </c:pt>
                <c:pt idx="40">
                  <c:v>2.5937474655985809E-3</c:v>
                </c:pt>
                <c:pt idx="41">
                  <c:v>2.5603862253857994E-3</c:v>
                </c:pt>
                <c:pt idx="42">
                  <c:v>2.5279786042561895E-3</c:v>
                </c:pt>
                <c:pt idx="43">
                  <c:v>2.4964795576875383E-3</c:v>
                </c:pt>
                <c:pt idx="44">
                  <c:v>2.4658469279120231E-3</c:v>
                </c:pt>
                <c:pt idx="45">
                  <c:v>2.4360412169640382E-3</c:v>
                </c:pt>
                <c:pt idx="46">
                  <c:v>2.4070253802248903E-3</c:v>
                </c:pt>
                <c:pt idx="47">
                  <c:v>2.3787646384602892E-3</c:v>
                </c:pt>
                <c:pt idx="48">
                  <c:v>2.3512263065419321E-3</c:v>
                </c:pt>
                <c:pt idx="49">
                  <c:v>2.3243796372245922E-3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EB7-4B06-8445-21393238CB8C}"/>
            </c:ext>
          </c:extLst>
        </c:ser>
        <c:ser>
          <c:idx val="16"/>
          <c:order val="16"/>
          <c:tx>
            <c:strRef>
              <c:f>Gamma!$B$61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Gamma!$C$61:$AZ$61</c:f>
              <c:numCache>
                <c:formatCode>General</c:formatCode>
                <c:ptCount val="50"/>
                <c:pt idx="0">
                  <c:v>5.4066078067007838E-4</c:v>
                </c:pt>
                <c:pt idx="1">
                  <c:v>2.2364592183655115E-3</c:v>
                </c:pt>
                <c:pt idx="2">
                  <c:v>3.2847288108803691E-3</c:v>
                </c:pt>
                <c:pt idx="3">
                  <c:v>3.8104176531232542E-3</c:v>
                </c:pt>
                <c:pt idx="4">
                  <c:v>4.0573578042017618E-3</c:v>
                </c:pt>
                <c:pt idx="5">
                  <c:v>4.1569047387978002E-3</c:v>
                </c:pt>
                <c:pt idx="6">
                  <c:v>4.1761945555998476E-3</c:v>
                </c:pt>
                <c:pt idx="7">
                  <c:v>4.1507154017368627E-3</c:v>
                </c:pt>
                <c:pt idx="8">
                  <c:v>4.1000360649094698E-3</c:v>
                </c:pt>
                <c:pt idx="9">
                  <c:v>4.0353560093019832E-3</c:v>
                </c:pt>
                <c:pt idx="10">
                  <c:v>3.9632767020426462E-3</c:v>
                </c:pt>
                <c:pt idx="11">
                  <c:v>3.8877735776850254E-3</c:v>
                </c:pt>
                <c:pt idx="12">
                  <c:v>3.8112722011901688E-3</c:v>
                </c:pt>
                <c:pt idx="13">
                  <c:v>3.7352582181827002E-3</c:v>
                </c:pt>
                <c:pt idx="14">
                  <c:v>3.6606346060724026E-3</c:v>
                </c:pt>
                <c:pt idx="15">
                  <c:v>3.5879369127389494E-3</c:v>
                </c:pt>
                <c:pt idx="16">
                  <c:v>3.5174661040568152E-3</c:v>
                </c:pt>
                <c:pt idx="17">
                  <c:v>3.4493722556430736E-3</c:v>
                </c:pt>
                <c:pt idx="18">
                  <c:v>3.3837081901568239E-3</c:v>
                </c:pt>
                <c:pt idx="19">
                  <c:v>3.3204643405546929E-3</c:v>
                </c:pt>
                <c:pt idx="20">
                  <c:v>3.2595916640294556E-3</c:v>
                </c:pt>
                <c:pt idx="21">
                  <c:v>3.2010168255156546E-3</c:v>
                </c:pt>
                <c:pt idx="22">
                  <c:v>3.1446523093059419E-3</c:v>
                </c:pt>
                <c:pt idx="23">
                  <c:v>3.0904031629585983E-3</c:v>
                </c:pt>
                <c:pt idx="24">
                  <c:v>3.0381714826567545E-3</c:v>
                </c:pt>
                <c:pt idx="25">
                  <c:v>2.9878593717213367E-3</c:v>
                </c:pt>
                <c:pt idx="26">
                  <c:v>2.9393708607562854E-3</c:v>
                </c:pt>
                <c:pt idx="27">
                  <c:v>2.8926131189446376E-3</c:v>
                </c:pt>
                <c:pt idx="28">
                  <c:v>2.8474971807887594E-3</c:v>
                </c:pt>
                <c:pt idx="29">
                  <c:v>2.8039383421261765E-3</c:v>
                </c:pt>
                <c:pt idx="30">
                  <c:v>2.7618563315789353E-3</c:v>
                </c:pt>
                <c:pt idx="31">
                  <c:v>2.7211753310403273E-3</c:v>
                </c:pt>
                <c:pt idx="32">
                  <c:v>2.6818238963910164E-3</c:v>
                </c:pt>
                <c:pt idx="33">
                  <c:v>2.6437348140972146E-3</c:v>
                </c:pt>
                <c:pt idx="34">
                  <c:v>2.606844918503483E-3</c:v>
                </c:pt>
                <c:pt idx="35">
                  <c:v>2.5710948870329457E-3</c:v>
                </c:pt>
                <c:pt idx="36">
                  <c:v>2.5364290251587E-3</c:v>
                </c:pt>
                <c:pt idx="37">
                  <c:v>2.5027950492352395E-3</c:v>
                </c:pt>
                <c:pt idx="38">
                  <c:v>2.4701438726108427E-3</c:v>
                </c:pt>
                <c:pt idx="39">
                  <c:v>2.4384293985567685E-3</c:v>
                </c:pt>
                <c:pt idx="40">
                  <c:v>2.4076083222196528E-3</c:v>
                </c:pt>
                <c:pt idx="41">
                  <c:v>2.3776399428699045E-3</c:v>
                </c:pt>
                <c:pt idx="42">
                  <c:v>2.348485987068018E-3</c:v>
                </c:pt>
                <c:pt idx="43">
                  <c:v>2.3201104429219242E-3</c:v>
                </c:pt>
                <c:pt idx="44">
                  <c:v>2.2924794053043505E-3</c:v>
                </c:pt>
                <c:pt idx="45">
                  <c:v>2.2655609316982921E-3</c:v>
                </c:pt>
                <c:pt idx="46">
                  <c:v>2.2393249082114279E-3</c:v>
                </c:pt>
                <c:pt idx="47">
                  <c:v>2.2137429252252574E-3</c:v>
                </c:pt>
                <c:pt idx="48">
                  <c:v>2.1887881621063866E-3</c:v>
                </c:pt>
                <c:pt idx="49">
                  <c:v>2.1644352803946161E-3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EB7-4B06-8445-21393238CB8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44437680"/>
        <c:axId val="444437200"/>
        <c:axId val="877137264"/>
      </c:surface3DChart>
      <c:catAx>
        <c:axId val="44443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437200"/>
        <c:crosses val="autoZero"/>
        <c:auto val="1"/>
        <c:lblAlgn val="ctr"/>
        <c:lblOffset val="100"/>
        <c:noMultiLvlLbl val="0"/>
      </c:catAx>
      <c:valAx>
        <c:axId val="44443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437680"/>
        <c:crosses val="autoZero"/>
        <c:crossBetween val="midCat"/>
      </c:valAx>
      <c:serAx>
        <c:axId val="8771372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437200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Rho,</a:t>
            </a:r>
            <a:r>
              <a:rPr lang="en-US" baseline="0"/>
              <a:t> vol=10%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54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Rho!$B$3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Rho!$C$3:$AZ$3</c:f>
              <c:numCache>
                <c:formatCode>General</c:formatCode>
                <c:ptCount val="50"/>
                <c:pt idx="0">
                  <c:v>6.8997547428964834E-58</c:v>
                </c:pt>
                <c:pt idx="1">
                  <c:v>4.1705600383653558E-29</c:v>
                </c:pt>
                <c:pt idx="2">
                  <c:v>2.1207973599216588E-19</c:v>
                </c:pt>
                <c:pt idx="3">
                  <c:v>1.7146657173941593E-14</c:v>
                </c:pt>
                <c:pt idx="4">
                  <c:v>1.6258128709111468E-11</c:v>
                </c:pt>
                <c:pt idx="5">
                  <c:v>1.6481813086334162E-9</c:v>
                </c:pt>
                <c:pt idx="6">
                  <c:v>4.6233752509654254E-8</c:v>
                </c:pt>
                <c:pt idx="7">
                  <c:v>5.7838836856354678E-7</c:v>
                </c:pt>
                <c:pt idx="8">
                  <c:v>4.2109995631038558E-6</c:v>
                </c:pt>
                <c:pt idx="9">
                  <c:v>2.0944883154902441E-5</c:v>
                </c:pt>
                <c:pt idx="10">
                  <c:v>7.8844064362873585E-5</c:v>
                </c:pt>
                <c:pt idx="11">
                  <c:v>2.4055615954076122E-4</c:v>
                </c:pt>
                <c:pt idx="12">
                  <c:v>6.2387639740620895E-4</c:v>
                </c:pt>
                <c:pt idx="13">
                  <c:v>1.4231144992723559E-3</c:v>
                </c:pt>
                <c:pt idx="14">
                  <c:v>2.9278689303132289E-3</c:v>
                </c:pt>
                <c:pt idx="15">
                  <c:v>5.5366525377998112E-3</c:v>
                </c:pt>
                <c:pt idx="16">
                  <c:v>9.7640587632792583E-3</c:v>
                </c:pt>
                <c:pt idx="17">
                  <c:v>1.6241327843808086E-2</c:v>
                </c:pt>
                <c:pt idx="18">
                  <c:v>2.5711022853193401E-2</c:v>
                </c:pt>
                <c:pt idx="19">
                  <c:v>3.9017006065321998E-2</c:v>
                </c:pt>
                <c:pt idx="20">
                  <c:v>5.7091075077413449E-2</c:v>
                </c:pt>
                <c:pt idx="21">
                  <c:v>8.0937570703736125E-2</c:v>
                </c:pt>
                <c:pt idx="22">
                  <c:v>0.11161709631878884</c:v>
                </c:pt>
                <c:pt idx="23">
                  <c:v>0.15023026184001101</c:v>
                </c:pt>
                <c:pt idx="24">
                  <c:v>0.19790213213505509</c:v>
                </c:pt>
                <c:pt idx="25">
                  <c:v>0.25576784668365177</c:v>
                </c:pt>
                <c:pt idx="26">
                  <c:v>0.32495969775902905</c:v>
                </c:pt>
                <c:pt idx="27">
                  <c:v>0.40659581181057697</c:v>
                </c:pt>
                <c:pt idx="28">
                  <c:v>0.50177047130931818</c:v>
                </c:pt>
                <c:pt idx="29">
                  <c:v>0.61154603756096348</c:v>
                </c:pt>
                <c:pt idx="30">
                  <c:v>0.73694638344618657</c:v>
                </c:pt>
                <c:pt idx="31">
                  <c:v>0.87895171331034483</c:v>
                </c:pt>
                <c:pt idx="32">
                  <c:v>1.0384946304488192</c:v>
                </c:pt>
                <c:pt idx="33">
                  <c:v>1.2164573067365299</c:v>
                </c:pt>
                <c:pt idx="34">
                  <c:v>1.4136696106402289</c:v>
                </c:pt>
                <c:pt idx="35">
                  <c:v>1.6309080565689507</c:v>
                </c:pt>
                <c:pt idx="36">
                  <c:v>1.8688954483282969</c:v>
                </c:pt>
                <c:pt idx="37">
                  <c:v>2.1283011009295891</c:v>
                </c:pt>
                <c:pt idx="38">
                  <c:v>2.4097415371561346</c:v>
                </c:pt>
                <c:pt idx="39">
                  <c:v>2.7137815674117114</c:v>
                </c:pt>
                <c:pt idx="40">
                  <c:v>3.0409356730154333</c:v>
                </c:pt>
                <c:pt idx="41">
                  <c:v>3.3916696239813415</c:v>
                </c:pt>
                <c:pt idx="42">
                  <c:v>3.7664022722764927</c:v>
                </c:pt>
                <c:pt idx="43">
                  <c:v>4.1655074705227682</c:v>
                </c:pt>
                <c:pt idx="44">
                  <c:v>4.5893160740892966</c:v>
                </c:pt>
                <c:pt idx="45">
                  <c:v>5.0381179915502319</c:v>
                </c:pt>
                <c:pt idx="46">
                  <c:v>5.5121642546139649</c:v>
                </c:pt>
                <c:pt idx="47">
                  <c:v>6.0116690839384361</c:v>
                </c:pt>
                <c:pt idx="48">
                  <c:v>6.5368119318104503</c:v>
                </c:pt>
                <c:pt idx="49">
                  <c:v>7.087739486564721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21-4D25-A312-D11B9C673E0B}"/>
            </c:ext>
          </c:extLst>
        </c:ser>
        <c:ser>
          <c:idx val="1"/>
          <c:order val="1"/>
          <c:tx>
            <c:strRef>
              <c:f>Rho!$B$4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Rho!$C$4:$AZ$4</c:f>
              <c:numCache>
                <c:formatCode>General</c:formatCode>
                <c:ptCount val="50"/>
                <c:pt idx="0">
                  <c:v>1.8240256915210587E-41</c:v>
                </c:pt>
                <c:pt idx="1">
                  <c:v>7.2236755311602645E-21</c:v>
                </c:pt>
                <c:pt idx="2">
                  <c:v>6.8680684372739561E-14</c:v>
                </c:pt>
                <c:pt idx="3">
                  <c:v>2.3996762916801211E-10</c:v>
                </c:pt>
                <c:pt idx="4">
                  <c:v>3.4533346751725237E-8</c:v>
                </c:pt>
                <c:pt idx="5">
                  <c:v>9.9575989539410702E-7</c:v>
                </c:pt>
                <c:pt idx="6">
                  <c:v>1.1375608625566544E-5</c:v>
                </c:pt>
                <c:pt idx="7">
                  <c:v>7.2532656593866113E-5</c:v>
                </c:pt>
                <c:pt idx="8">
                  <c:v>3.1257694746679194E-4</c:v>
                </c:pt>
                <c:pt idx="9">
                  <c:v>1.0218383303882987E-3</c:v>
                </c:pt>
                <c:pt idx="10">
                  <c:v>2.7282309653643209E-3</c:v>
                </c:pt>
                <c:pt idx="11">
                  <c:v>6.250941291057039E-3</c:v>
                </c:pt>
                <c:pt idx="12">
                  <c:v>1.272126024409162E-2</c:v>
                </c:pt>
                <c:pt idx="13">
                  <c:v>2.3570665760331174E-2</c:v>
                </c:pt>
                <c:pt idx="14">
                  <c:v>4.0493361068119432E-2</c:v>
                </c:pt>
                <c:pt idx="15">
                  <c:v>6.5392932214853525E-2</c:v>
                </c:pt>
                <c:pt idx="16">
                  <c:v>0.10032214974830661</c:v>
                </c:pt>
                <c:pt idx="17">
                  <c:v>0.14742288329289793</c:v>
                </c:pt>
                <c:pt idx="18">
                  <c:v>0.20887076360581561</c:v>
                </c:pt>
                <c:pt idx="19">
                  <c:v>0.28682719393543493</c:v>
                </c:pt>
                <c:pt idx="20">
                  <c:v>0.38339978013615661</c:v>
                </c:pt>
                <c:pt idx="21">
                  <c:v>0.50061121263842567</c:v>
                </c:pt>
                <c:pt idx="22">
                  <c:v>0.64037600440876719</c:v>
                </c:pt>
                <c:pt idx="23">
                  <c:v>0.80448416004465739</c:v>
                </c:pt>
                <c:pt idx="24">
                  <c:v>0.99459072565761664</c:v>
                </c:pt>
                <c:pt idx="25">
                  <c:v>1.2122101715018894</c:v>
                </c:pt>
                <c:pt idx="26">
                  <c:v>1.4587146347623128</c:v>
                </c:pt>
                <c:pt idx="27">
                  <c:v>1.7353351615032786</c:v>
                </c:pt>
                <c:pt idx="28">
                  <c:v>2.0431652108359635</c:v>
                </c:pt>
                <c:pt idx="29">
                  <c:v>2.3831658067032904</c:v>
                </c:pt>
                <c:pt idx="30">
                  <c:v>2.7561718355401759</c:v>
                </c:pt>
                <c:pt idx="31">
                  <c:v>3.1628990878089427</c:v>
                </c:pt>
                <c:pt idx="32">
                  <c:v>3.6039517269515815</c:v>
                </c:pt>
                <c:pt idx="33">
                  <c:v>4.0798299410338821</c:v>
                </c:pt>
                <c:pt idx="34">
                  <c:v>4.5909375914506265</c:v>
                </c:pt>
                <c:pt idx="35">
                  <c:v>5.1375897210290313</c:v>
                </c:pt>
                <c:pt idx="36">
                  <c:v>5.7200198223017411</c:v>
                </c:pt>
                <c:pt idx="37">
                  <c:v>6.3383867971484991</c:v>
                </c:pt>
                <c:pt idx="38">
                  <c:v>6.992781562812171</c:v>
                </c:pt>
                <c:pt idx="39">
                  <c:v>7.6832332776932759</c:v>
                </c:pt>
                <c:pt idx="40">
                  <c:v>8.4097151743568261</c:v>
                </c:pt>
                <c:pt idx="41">
                  <c:v>9.1721499977145946</c:v>
                </c:pt>
                <c:pt idx="42">
                  <c:v>9.9704150540982983</c:v>
                </c:pt>
                <c:pt idx="43">
                  <c:v>10.804346882504111</c:v>
                </c:pt>
                <c:pt idx="44">
                  <c:v>11.673745563145278</c:v>
                </c:pt>
                <c:pt idx="45">
                  <c:v>12.578378680985566</c:v>
                </c:pt>
                <c:pt idx="46">
                  <c:v>13.517984963447399</c:v>
                </c:pt>
                <c:pt idx="47">
                  <c:v>14.492277612244671</c:v>
                </c:pt>
                <c:pt idx="48">
                  <c:v>15.500947349470755</c:v>
                </c:pt>
                <c:pt idx="49">
                  <c:v>16.543665197834301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21-4D25-A312-D11B9C673E0B}"/>
            </c:ext>
          </c:extLst>
        </c:ser>
        <c:ser>
          <c:idx val="2"/>
          <c:order val="2"/>
          <c:tx>
            <c:strRef>
              <c:f>Rho!$B$5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Rho!$C$5:$AZ$5</c:f>
              <c:numCache>
                <c:formatCode>General</c:formatCode>
                <c:ptCount val="50"/>
                <c:pt idx="0">
                  <c:v>9.9546668867391585E-29</c:v>
                </c:pt>
                <c:pt idx="1">
                  <c:v>1.8148881916339142E-14</c:v>
                </c:pt>
                <c:pt idx="2">
                  <c:v>1.3307124507183834E-9</c:v>
                </c:pt>
                <c:pt idx="3">
                  <c:v>4.0794980511215032E-7</c:v>
                </c:pt>
                <c:pt idx="4">
                  <c:v>1.3625021969122365E-5</c:v>
                </c:pt>
                <c:pt idx="5">
                  <c:v>1.4829729609667342E-4</c:v>
                </c:pt>
                <c:pt idx="6">
                  <c:v>8.4440564273303509E-4</c:v>
                </c:pt>
                <c:pt idx="7">
                  <c:v>3.1927561083099141E-3</c:v>
                </c:pt>
                <c:pt idx="8">
                  <c:v>9.1613031212592951E-3</c:v>
                </c:pt>
                <c:pt idx="9">
                  <c:v>2.162595366355944E-2</c:v>
                </c:pt>
                <c:pt idx="10">
                  <c:v>4.4227229959378556E-2</c:v>
                </c:pt>
                <c:pt idx="11">
                  <c:v>8.1131715388640543E-2</c:v>
                </c:pt>
                <c:pt idx="12">
                  <c:v>0.13677315903379483</c:v>
                </c:pt>
                <c:pt idx="13">
                  <c:v>0.21562088009440039</c:v>
                </c:pt>
                <c:pt idx="14">
                  <c:v>0.32199689115388874</c:v>
                </c:pt>
                <c:pt idx="15">
                  <c:v>0.4599456240217738</c:v>
                </c:pt>
                <c:pt idx="16">
                  <c:v>0.63315088489656846</c:v>
                </c:pt>
                <c:pt idx="17">
                  <c:v>0.84489104460675879</c:v>
                </c:pt>
                <c:pt idx="18">
                  <c:v>1.0980230267122648</c:v>
                </c:pt>
                <c:pt idx="19">
                  <c:v>1.394986710923013</c:v>
                </c:pt>
                <c:pt idx="20">
                  <c:v>1.7378229425893104</c:v>
                </c:pt>
                <c:pt idx="21">
                  <c:v>2.1281999300616379</c:v>
                </c:pt>
                <c:pt idx="22">
                  <c:v>2.5674442030976405</c:v>
                </c:pt>
                <c:pt idx="23">
                  <c:v>3.0565734313926956</c:v>
                </c:pt>
                <c:pt idx="24">
                  <c:v>3.5963292695873346</c:v>
                </c:pt>
                <c:pt idx="25">
                  <c:v>4.1872090399714654</c:v>
                </c:pt>
                <c:pt idx="26">
                  <c:v>4.829495530192899</c:v>
                </c:pt>
                <c:pt idx="27">
                  <c:v>5.5232845116413483</c:v>
                </c:pt>
                <c:pt idx="28">
                  <c:v>6.2685098095512286</c:v>
                </c:pt>
                <c:pt idx="29">
                  <c:v>7.064965905954832</c:v>
                </c:pt>
                <c:pt idx="30">
                  <c:v>7.9123281527143137</c:v>
                </c:pt>
                <c:pt idx="31">
                  <c:v>8.8101707299215324</c:v>
                </c:pt>
                <c:pt idx="32">
                  <c:v>9.7579825167030805</c:v>
                </c:pt>
                <c:pt idx="33">
                  <c:v>10.755181055393196</c:v>
                </c:pt>
                <c:pt idx="34">
                  <c:v>11.80112479220154</c:v>
                </c:pt>
                <c:pt idx="35">
                  <c:v>12.895123772182806</c:v>
                </c:pt>
                <c:pt idx="36">
                  <c:v>14.036448956486058</c:v>
                </c:pt>
                <c:pt idx="37">
                  <c:v>15.224340317565105</c:v>
                </c:pt>
                <c:pt idx="38">
                  <c:v>16.458013854639415</c:v>
                </c:pt>
                <c:pt idx="39">
                  <c:v>17.736667658110342</c:v>
                </c:pt>
                <c:pt idx="40">
                  <c:v>19.05948713843263</c:v>
                </c:pt>
                <c:pt idx="41">
                  <c:v>20.425649522458588</c:v>
                </c:pt>
                <c:pt idx="42">
                  <c:v>21.834327708702851</c:v>
                </c:pt>
                <c:pt idx="43">
                  <c:v>23.284693562401394</c:v>
                </c:pt>
                <c:pt idx="44">
                  <c:v>24.775920721674325</c:v>
                </c:pt>
                <c:pt idx="45">
                  <c:v>26.307186977523788</c:v>
                </c:pt>
                <c:pt idx="46">
                  <c:v>27.877676282746112</c:v>
                </c:pt>
                <c:pt idx="47">
                  <c:v>29.486580438050275</c:v>
                </c:pt>
                <c:pt idx="48">
                  <c:v>31.133100497670622</c:v>
                </c:pt>
                <c:pt idx="49">
                  <c:v>32.816447931472723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21-4D25-A312-D11B9C673E0B}"/>
            </c:ext>
          </c:extLst>
        </c:ser>
        <c:ser>
          <c:idx val="3"/>
          <c:order val="3"/>
          <c:tx>
            <c:strRef>
              <c:f>Rho!$B$6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Rho!$C$6:$AZ$6</c:f>
              <c:numCache>
                <c:formatCode>General</c:formatCode>
                <c:ptCount val="50"/>
                <c:pt idx="0">
                  <c:v>5.3493516241294035E-19</c:v>
                </c:pt>
                <c:pt idx="1">
                  <c:v>1.4484262281308254E-9</c:v>
                </c:pt>
                <c:pt idx="2">
                  <c:v>2.6052631871411126E-6</c:v>
                </c:pt>
                <c:pt idx="3">
                  <c:v>1.2492523960331802E-4</c:v>
                </c:pt>
                <c:pt idx="4">
                  <c:v>1.369378385478035E-3</c:v>
                </c:pt>
                <c:pt idx="5">
                  <c:v>7.0864177060534416E-3</c:v>
                </c:pt>
                <c:pt idx="6">
                  <c:v>2.3711237792182871E-2</c:v>
                </c:pt>
                <c:pt idx="7">
                  <c:v>6.0144636736595404E-2</c:v>
                </c:pt>
                <c:pt idx="8">
                  <c:v>0.12646643565367435</c:v>
                </c:pt>
                <c:pt idx="9">
                  <c:v>0.23272427909089094</c:v>
                </c:pt>
                <c:pt idx="10">
                  <c:v>0.38810439629546334</c:v>
                </c:pt>
                <c:pt idx="11">
                  <c:v>0.60049123759214074</c:v>
                </c:pt>
                <c:pt idx="12">
                  <c:v>0.87631514431364654</c:v>
                </c:pt>
                <c:pt idx="13">
                  <c:v>1.2205796483744511</c:v>
                </c:pt>
                <c:pt idx="14">
                  <c:v>1.6369853077301846</c:v>
                </c:pt>
                <c:pt idx="15">
                  <c:v>2.1280953139942409</c:v>
                </c:pt>
                <c:pt idx="16">
                  <c:v>2.6955102326255509</c:v>
                </c:pt>
                <c:pt idx="17">
                  <c:v>3.3400342025449636</c:v>
                </c:pt>
                <c:pt idx="18">
                  <c:v>4.061824236299219</c:v>
                </c:pt>
                <c:pt idx="19">
                  <c:v>4.8605196983075727</c:v>
                </c:pt>
                <c:pt idx="20">
                  <c:v>5.7353520079670091</c:v>
                </c:pt>
                <c:pt idx="21">
                  <c:v>6.6852360921627945</c:v>
                </c:pt>
                <c:pt idx="22">
                  <c:v>7.7088457265179562</c:v>
                </c:pt>
                <c:pt idx="23">
                  <c:v>8.8046750437203833</c:v>
                </c:pt>
                <c:pt idx="24">
                  <c:v>9.9710883811358446</c:v>
                </c:pt>
                <c:pt idx="25">
                  <c:v>11.206360421788077</c:v>
                </c:pt>
                <c:pt idx="26">
                  <c:v>12.508708326759269</c:v>
                </c:pt>
                <c:pt idx="27">
                  <c:v>13.876317302312282</c:v>
                </c:pt>
                <c:pt idx="28">
                  <c:v>15.307360810556968</c:v>
                </c:pt>
                <c:pt idx="29">
                  <c:v>16.800016425945085</c:v>
                </c:pt>
                <c:pt idx="30">
                  <c:v>18.352478162832103</c:v>
                </c:pt>
                <c:pt idx="31">
                  <c:v>19.962965950250236</c:v>
                </c:pt>
                <c:pt idx="32">
                  <c:v>21.629732805976417</c:v>
                </c:pt>
                <c:pt idx="33">
                  <c:v>23.35107015958922</c:v>
                </c:pt>
                <c:pt idx="34">
                  <c:v>25.125311690182439</c:v>
                </c:pt>
                <c:pt idx="35">
                  <c:v>26.95083597571141</c:v>
                </c:pt>
                <c:pt idx="36">
                  <c:v>28.826068194938056</c:v>
                </c:pt>
                <c:pt idx="37">
                  <c:v>30.749481077349138</c:v>
                </c:pt>
                <c:pt idx="38">
                  <c:v>32.719595259348701</c:v>
                </c:pt>
                <c:pt idx="39">
                  <c:v>34.734979174896125</c:v>
                </c:pt>
                <c:pt idx="40">
                  <c:v>36.79424858428002</c:v>
                </c:pt>
                <c:pt idx="41">
                  <c:v>38.896065824827964</c:v>
                </c:pt>
                <c:pt idx="42">
                  <c:v>41.039138851187879</c:v>
                </c:pt>
                <c:pt idx="43">
                  <c:v>43.222220119680777</c:v>
                </c:pt>
                <c:pt idx="44">
                  <c:v>45.4441053605427</c:v>
                </c:pt>
                <c:pt idx="45">
                  <c:v>47.703632273193314</c:v>
                </c:pt>
                <c:pt idx="46">
                  <c:v>49.999679172603848</c:v>
                </c:pt>
                <c:pt idx="47">
                  <c:v>52.331163609098802</c:v>
                </c:pt>
                <c:pt idx="48">
                  <c:v>54.697040979257068</c:v>
                </c:pt>
                <c:pt idx="49">
                  <c:v>57.09630314178446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21-4D25-A312-D11B9C673E0B}"/>
            </c:ext>
          </c:extLst>
        </c:ser>
        <c:ser>
          <c:idx val="4"/>
          <c:order val="4"/>
          <c:tx>
            <c:strRef>
              <c:f>Rho!$B$7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Rho!$C$7:$AZ$7</c:f>
              <c:numCache>
                <c:formatCode>General</c:formatCode>
                <c:ptCount val="50"/>
                <c:pt idx="0">
                  <c:v>9.5606229748062578E-12</c:v>
                </c:pt>
                <c:pt idx="1">
                  <c:v>6.7762571900260926E-6</c:v>
                </c:pt>
                <c:pt idx="2">
                  <c:v>7.770392227479003E-4</c:v>
                </c:pt>
                <c:pt idx="3">
                  <c:v>9.3874067121779217E-3</c:v>
                </c:pt>
                <c:pt idx="4">
                  <c:v>4.4930628022144238E-2</c:v>
                </c:pt>
                <c:pt idx="5">
                  <c:v>0.1336727208702719</c:v>
                </c:pt>
                <c:pt idx="6">
                  <c:v>0.30094142404680285</c:v>
                </c:pt>
                <c:pt idx="7">
                  <c:v>0.56671524536186413</c:v>
                </c:pt>
                <c:pt idx="8">
                  <c:v>0.9446978835784493</c:v>
                </c:pt>
                <c:pt idx="9">
                  <c:v>1.4430579922614029</c:v>
                </c:pt>
                <c:pt idx="10">
                  <c:v>2.0656481781473288</c:v>
                </c:pt>
                <c:pt idx="11">
                  <c:v>2.8131792536209694</c:v>
                </c:pt>
                <c:pt idx="12">
                  <c:v>3.6841811838965999</c:v>
                </c:pt>
                <c:pt idx="13">
                  <c:v>4.675732739404399</c:v>
                </c:pt>
                <c:pt idx="14">
                  <c:v>5.783993341671116</c:v>
                </c:pt>
                <c:pt idx="15">
                  <c:v>7.0045809586170433</c:v>
                </c:pt>
                <c:pt idx="16">
                  <c:v>8.3328356303707221</c:v>
                </c:pt>
                <c:pt idx="17">
                  <c:v>9.7640001695819105</c:v>
                </c:pt>
                <c:pt idx="18">
                  <c:v>11.293341777081549</c:v>
                </c:pt>
                <c:pt idx="19">
                  <c:v>12.916231918414772</c:v>
                </c:pt>
                <c:pt idx="20">
                  <c:v>14.628196930560366</c:v>
                </c:pt>
                <c:pt idx="21">
                  <c:v>16.424948242294629</c:v>
                </c:pt>
                <c:pt idx="22">
                  <c:v>18.30239850492568</c:v>
                </c:pt>
                <c:pt idx="23">
                  <c:v>20.256668083167686</c:v>
                </c:pt>
                <c:pt idx="24">
                  <c:v>22.284085043999276</c:v>
                </c:pt>
                <c:pt idx="25">
                  <c:v>24.381180851577515</c:v>
                </c:pt>
                <c:pt idx="26">
                  <c:v>26.544683317745278</c:v>
                </c:pt>
                <c:pt idx="27">
                  <c:v>28.771507891152154</c:v>
                </c:pt>
                <c:pt idx="28">
                  <c:v>31.058748037356036</c:v>
                </c:pt>
                <c:pt idx="29">
                  <c:v>33.403665227840925</c:v>
                </c:pt>
                <c:pt idx="30">
                  <c:v>35.803678889703647</c:v>
                </c:pt>
                <c:pt idx="31">
                  <c:v>38.25635655007747</c:v>
                </c:pt>
                <c:pt idx="32">
                  <c:v>40.759404326207054</c:v>
                </c:pt>
                <c:pt idx="33">
                  <c:v>43.310657853558261</c:v>
                </c:pt>
                <c:pt idx="34">
                  <c:v>45.908073703398983</c:v>
                </c:pt>
                <c:pt idx="35">
                  <c:v>48.549721312902768</c:v>
                </c:pt>
                <c:pt idx="36">
                  <c:v>51.233775431414777</c:v>
                </c:pt>
                <c:pt idx="37">
                  <c:v>53.958509073514655</c:v>
                </c:pt>
                <c:pt idx="38">
                  <c:v>56.722286961059396</c:v>
                </c:pt>
                <c:pt idx="39">
                  <c:v>59.523559431171982</c:v>
                </c:pt>
                <c:pt idx="40">
                  <c:v>62.360856784196322</c:v>
                </c:pt>
                <c:pt idx="41">
                  <c:v>65.232784044283335</c:v>
                </c:pt>
                <c:pt idx="42">
                  <c:v>68.138016105005917</c:v>
                </c:pt>
                <c:pt idx="43">
                  <c:v>71.075293232873165</c:v>
                </c:pt>
                <c:pt idx="44">
                  <c:v>74.043416902564601</c:v>
                </c:pt>
                <c:pt idx="45">
                  <c:v>77.041245938957246</c:v>
                </c:pt>
                <c:pt idx="46">
                  <c:v>80.067692942439692</c:v>
                </c:pt>
                <c:pt idx="47">
                  <c:v>83.12172097550949</c:v>
                </c:pt>
                <c:pt idx="48">
                  <c:v>86.202340490170457</c:v>
                </c:pt>
                <c:pt idx="49">
                  <c:v>89.308606477141765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21-4D25-A312-D11B9C673E0B}"/>
            </c:ext>
          </c:extLst>
        </c:ser>
        <c:ser>
          <c:idx val="5"/>
          <c:order val="5"/>
          <c:tx>
            <c:strRef>
              <c:f>Rho!$B$8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Rho!$C$8:$AZ$8</c:f>
              <c:numCache>
                <c:formatCode>General</c:formatCode>
                <c:ptCount val="50"/>
                <c:pt idx="0">
                  <c:v>1.4981715104281291E-6</c:v>
                </c:pt>
                <c:pt idx="1">
                  <c:v>3.0362011070892117E-3</c:v>
                </c:pt>
                <c:pt idx="2">
                  <c:v>4.911764080257626E-2</c:v>
                </c:pt>
                <c:pt idx="3">
                  <c:v>0.22206863454671427</c:v>
                </c:pt>
                <c:pt idx="4">
                  <c:v>0.58793072579454853</c:v>
                </c:pt>
                <c:pt idx="5">
                  <c:v>1.1766528591399643</c:v>
                </c:pt>
                <c:pt idx="6">
                  <c:v>1.9932210842367935</c:v>
                </c:pt>
                <c:pt idx="7">
                  <c:v>3.0294875417979763</c:v>
                </c:pt>
                <c:pt idx="8">
                  <c:v>4.2714832976975066</c:v>
                </c:pt>
                <c:pt idx="9">
                  <c:v>5.7033185664748594</c:v>
                </c:pt>
                <c:pt idx="10">
                  <c:v>7.3091144177247163</c:v>
                </c:pt>
                <c:pt idx="11">
                  <c:v>9.0738882817964956</c:v>
                </c:pt>
                <c:pt idx="12">
                  <c:v>10.983903071993208</c:v>
                </c:pt>
                <c:pt idx="13">
                  <c:v>13.026749202016585</c:v>
                </c:pt>
                <c:pt idx="14">
                  <c:v>15.191299405983859</c:v>
                </c:pt>
                <c:pt idx="15">
                  <c:v>17.467608343775023</c:v>
                </c:pt>
                <c:pt idx="16">
                  <c:v>19.846793498137263</c:v>
                </c:pt>
                <c:pt idx="17">
                  <c:v>22.320915341633452</c:v>
                </c:pt>
                <c:pt idx="18">
                  <c:v>24.882865089804053</c:v>
                </c:pt>
                <c:pt idx="19">
                  <c:v>27.526263359416991</c:v>
                </c:pt>
                <c:pt idx="20">
                  <c:v>30.245370518893292</c:v>
                </c:pt>
                <c:pt idx="21">
                  <c:v>33.035008291587481</c:v>
                </c:pt>
                <c:pt idx="22">
                  <c:v>35.890491633902336</c:v>
                </c:pt>
                <c:pt idx="23">
                  <c:v>38.807569728316444</c:v>
                </c:pt>
                <c:pt idx="24">
                  <c:v>41.782374928542495</c:v>
                </c:pt>
                <c:pt idx="25">
                  <c:v>44.811378575018018</c:v>
                </c:pt>
                <c:pt idx="26">
                  <c:v>47.891352713359602</c:v>
                </c:pt>
                <c:pt idx="27">
                  <c:v>51.019336870281187</c:v>
                </c:pt>
                <c:pt idx="28">
                  <c:v>54.19260915803104</c:v>
                </c:pt>
                <c:pt idx="29">
                  <c:v>57.40866108402416</c:v>
                </c:pt>
                <c:pt idx="30">
                  <c:v>60.665175535188844</c:v>
                </c:pt>
                <c:pt idx="31">
                  <c:v>63.960007486673945</c:v>
                </c:pt>
                <c:pt idx="32">
                  <c:v>67.291167052944616</c:v>
                </c:pt>
                <c:pt idx="33">
                  <c:v>70.656804557247739</c:v>
                </c:pt>
                <c:pt idx="34">
                  <c:v>74.055197344348599</c:v>
                </c:pt>
                <c:pt idx="35">
                  <c:v>77.484738102645622</c:v>
                </c:pt>
                <c:pt idx="36">
                  <c:v>80.943924496451942</c:v>
                </c:pt>
                <c:pt idx="37">
                  <c:v>84.431349938425427</c:v>
                </c:pt>
                <c:pt idx="38">
                  <c:v>87.945695356724357</c:v>
                </c:pt>
                <c:pt idx="39">
                  <c:v>91.485721832214878</c:v>
                </c:pt>
                <c:pt idx="40">
                  <c:v>95.05026399858609</c:v>
                </c:pt>
                <c:pt idx="41">
                  <c:v>98.638224113072027</c:v>
                </c:pt>
                <c:pt idx="42">
                  <c:v>102.24856671806972</c:v>
                </c:pt>
                <c:pt idx="43">
                  <c:v>105.88031382464841</c:v>
                </c:pt>
                <c:pt idx="44">
                  <c:v>109.53254055806552</c:v>
                </c:pt>
                <c:pt idx="45">
                  <c:v>113.20437121319867</c:v>
                </c:pt>
                <c:pt idx="46">
                  <c:v>116.89497567447067</c:v>
                </c:pt>
                <c:pt idx="47">
                  <c:v>120.6035661605715</c:v>
                </c:pt>
                <c:pt idx="48">
                  <c:v>124.32939425920281</c:v>
                </c:pt>
                <c:pt idx="49">
                  <c:v>128.07174822131722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D21-4D25-A312-D11B9C673E0B}"/>
            </c:ext>
          </c:extLst>
        </c:ser>
        <c:ser>
          <c:idx val="6"/>
          <c:order val="6"/>
          <c:tx>
            <c:strRef>
              <c:f>Rho!$B$9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Rho!$C$9:$AZ$9</c:f>
              <c:numCache>
                <c:formatCode>General</c:formatCode>
                <c:ptCount val="50"/>
                <c:pt idx="0">
                  <c:v>4.5615435801455795E-3</c:v>
                </c:pt>
                <c:pt idx="1">
                  <c:v>0.19578943327318749</c:v>
                </c:pt>
                <c:pt idx="2">
                  <c:v>0.86635170446754073</c:v>
                </c:pt>
                <c:pt idx="3">
                  <c:v>2.0358699772475939</c:v>
                </c:pt>
                <c:pt idx="4">
                  <c:v>3.6258596069978881</c:v>
                </c:pt>
                <c:pt idx="5">
                  <c:v>5.5569135148285937</c:v>
                </c:pt>
                <c:pt idx="6">
                  <c:v>7.7653949825830564</c:v>
                </c:pt>
                <c:pt idx="7">
                  <c:v>10.20250757483633</c:v>
                </c:pt>
                <c:pt idx="8">
                  <c:v>12.830859013377557</c:v>
                </c:pt>
                <c:pt idx="9">
                  <c:v>15.621450219614411</c:v>
                </c:pt>
                <c:pt idx="10">
                  <c:v>18.551441602648566</c:v>
                </c:pt>
                <c:pt idx="11">
                  <c:v>21.60256011974769</c:v>
                </c:pt>
                <c:pt idx="12">
                  <c:v>24.759967609706329</c:v>
                </c:pt>
                <c:pt idx="13">
                  <c:v>28.011449733850053</c:v>
                </c:pt>
                <c:pt idx="14">
                  <c:v>31.346826860026795</c:v>
                </c:pt>
                <c:pt idx="15">
                  <c:v>34.757519780574192</c:v>
                </c:pt>
                <c:pt idx="16">
                  <c:v>38.236224793998034</c:v>
                </c:pt>
                <c:pt idx="17">
                  <c:v>41.776667126608203</c:v>
                </c:pt>
                <c:pt idx="18">
                  <c:v>45.373411281805581</c:v>
                </c:pt>
                <c:pt idx="19">
                  <c:v>49.021713340295129</c:v>
                </c:pt>
                <c:pt idx="20">
                  <c:v>52.717404590242744</c:v>
                </c:pt>
                <c:pt idx="21">
                  <c:v>56.45679885191722</c:v>
                </c:pt>
                <c:pt idx="22">
                  <c:v>60.236617934984793</c:v>
                </c:pt>
                <c:pt idx="23">
                  <c:v>64.053931126047743</c:v>
                </c:pt>
                <c:pt idx="24">
                  <c:v>67.906105644466791</c:v>
                </c:pt>
                <c:pt idx="25">
                  <c:v>71.790765755474567</c:v>
                </c:pt>
                <c:pt idx="26">
                  <c:v>75.705758778023394</c:v>
                </c:pt>
                <c:pt idx="27">
                  <c:v>79.649126629821197</c:v>
                </c:pt>
                <c:pt idx="28">
                  <c:v>83.619081854267364</c:v>
                </c:pt>
                <c:pt idx="29">
                  <c:v>87.613987301824253</c:v>
                </c:pt>
                <c:pt idx="30">
                  <c:v>91.632338811697437</c:v>
                </c:pt>
                <c:pt idx="31">
                  <c:v>95.672750372750443</c:v>
                </c:pt>
                <c:pt idx="32">
                  <c:v>99.733941345562343</c:v>
                </c:pt>
                <c:pt idx="33">
                  <c:v>103.81472540788224</c:v>
                </c:pt>
                <c:pt idx="34">
                  <c:v>107.91400094887774</c:v>
                </c:pt>
                <c:pt idx="35">
                  <c:v>112.03074268755957</c:v>
                </c:pt>
                <c:pt idx="36">
                  <c:v>116.1639943305896</c:v>
                </c:pt>
                <c:pt idx="37">
                  <c:v>120.31286211661642</c:v>
                </c:pt>
                <c:pt idx="38">
                  <c:v>124.47650912004556</c:v>
                </c:pt>
                <c:pt idx="39">
                  <c:v>128.65415020805312</c:v>
                </c:pt>
                <c:pt idx="40">
                  <c:v>132.84504756170207</c:v>
                </c:pt>
                <c:pt idx="41">
                  <c:v>137.04850668600039</c:v>
                </c:pt>
                <c:pt idx="42">
                  <c:v>141.26387284525973</c:v>
                </c:pt>
                <c:pt idx="43">
                  <c:v>145.49052786965026</c:v>
                </c:pt>
                <c:pt idx="44">
                  <c:v>149.72788728677628</c:v>
                </c:pt>
                <c:pt idx="45">
                  <c:v>153.97539773872199</c:v>
                </c:pt>
                <c:pt idx="46">
                  <c:v>158.23253465056942</c:v>
                </c:pt>
                <c:pt idx="47">
                  <c:v>162.49880012106442</c:v>
                </c:pt>
                <c:pt idx="48">
                  <c:v>166.77372101006213</c:v>
                </c:pt>
                <c:pt idx="49">
                  <c:v>171.05684720072716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D21-4D25-A312-D11B9C673E0B}"/>
            </c:ext>
          </c:extLst>
        </c:ser>
        <c:ser>
          <c:idx val="7"/>
          <c:order val="7"/>
          <c:tx>
            <c:strRef>
              <c:f>Rho!$B$10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Rho!$C$10:$AZ$10</c:f>
              <c:numCache>
                <c:formatCode>General</c:formatCode>
                <c:ptCount val="50"/>
                <c:pt idx="0">
                  <c:v>0.54058155808872665</c:v>
                </c:pt>
                <c:pt idx="1">
                  <c:v>2.6024085650062809</c:v>
                </c:pt>
                <c:pt idx="2">
                  <c:v>5.43315979275153</c:v>
                </c:pt>
                <c:pt idx="3">
                  <c:v>8.6801463209930212</c:v>
                </c:pt>
                <c:pt idx="4">
                  <c:v>12.193085930105974</c:v>
                </c:pt>
                <c:pt idx="5">
                  <c:v>15.893745368596147</c:v>
                </c:pt>
                <c:pt idx="6">
                  <c:v>19.735680124144064</c:v>
                </c:pt>
                <c:pt idx="7">
                  <c:v>23.688743774384434</c:v>
                </c:pt>
                <c:pt idx="8">
                  <c:v>27.732073358297111</c:v>
                </c:pt>
                <c:pt idx="9">
                  <c:v>31.85051860836062</c:v>
                </c:pt>
                <c:pt idx="10">
                  <c:v>36.032658322021639</c:v>
                </c:pt>
                <c:pt idx="11">
                  <c:v>40.269621368417582</c:v>
                </c:pt>
                <c:pt idx="12">
                  <c:v>44.554347196701947</c:v>
                </c:pt>
                <c:pt idx="13">
                  <c:v>48.881101216853544</c:v>
                </c:pt>
                <c:pt idx="14">
                  <c:v>53.24514542880906</c:v>
                </c:pt>
                <c:pt idx="15">
                  <c:v>57.642507580719979</c:v>
                </c:pt>
                <c:pt idx="16">
                  <c:v>62.069815075607217</c:v>
                </c:pt>
                <c:pt idx="17">
                  <c:v>66.524172719658381</c:v>
                </c:pt>
                <c:pt idx="18">
                  <c:v>71.003070937315215</c:v>
                </c:pt>
                <c:pt idx="19">
                  <c:v>75.504315646173964</c:v>
                </c:pt>
                <c:pt idx="20">
                  <c:v>80.025973843476606</c:v>
                </c:pt>
                <c:pt idx="21">
                  <c:v>84.566330795385213</c:v>
                </c:pt>
                <c:pt idx="22">
                  <c:v>89.123855933283537</c:v>
                </c:pt>
                <c:pt idx="23">
                  <c:v>93.697175379154473</c:v>
                </c:pt>
                <c:pt idx="24">
                  <c:v>98.285049584461859</c:v>
                </c:pt>
                <c:pt idx="25">
                  <c:v>102.88635496069831</c:v>
                </c:pt>
                <c:pt idx="26">
                  <c:v>107.50006865995194</c:v>
                </c:pt>
                <c:pt idx="27">
                  <c:v>112.12525586622979</c:v>
                </c:pt>
                <c:pt idx="28">
                  <c:v>116.76105910646656</c:v>
                </c:pt>
                <c:pt idx="29">
                  <c:v>121.40668920003029</c:v>
                </c:pt>
                <c:pt idx="30">
                  <c:v>126.06141754796251</c:v>
                </c:pt>
                <c:pt idx="31">
                  <c:v>130.72456952568788</c:v>
                </c:pt>
                <c:pt idx="32">
                  <c:v>135.39551879079147</c:v>
                </c:pt>
                <c:pt idx="33">
                  <c:v>140.07368235445671</c:v>
                </c:pt>
                <c:pt idx="34">
                  <c:v>144.75851629400358</c:v>
                </c:pt>
                <c:pt idx="35">
                  <c:v>149.44951200663988</c:v>
                </c:pt>
                <c:pt idx="36">
                  <c:v>154.14619292249651</c:v>
                </c:pt>
                <c:pt idx="37">
                  <c:v>158.84811160934359</c:v>
                </c:pt>
                <c:pt idx="38">
                  <c:v>163.55484721288883</c:v>
                </c:pt>
                <c:pt idx="39">
                  <c:v>168.26600318585682</c:v>
                </c:pt>
                <c:pt idx="40">
                  <c:v>172.98120526660873</c:v>
                </c:pt>
                <c:pt idx="41">
                  <c:v>177.70009967424221</c:v>
                </c:pt>
                <c:pt idx="42">
                  <c:v>182.42235149219223</c:v>
                </c:pt>
                <c:pt idx="43">
                  <c:v>187.14764321655366</c:v>
                </c:pt>
                <c:pt idx="44">
                  <c:v>191.87567344882919</c:v>
                </c:pt>
                <c:pt idx="45">
                  <c:v>196.60615571571705</c:v>
                </c:pt>
                <c:pt idx="46">
                  <c:v>201.33881740098553</c:v>
                </c:pt>
                <c:pt idx="47">
                  <c:v>206.07339877653141</c:v>
                </c:pt>
                <c:pt idx="48">
                  <c:v>210.8096521214508</c:v>
                </c:pt>
                <c:pt idx="49">
                  <c:v>215.54734091941634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D21-4D25-A312-D11B9C673E0B}"/>
            </c:ext>
          </c:extLst>
        </c:ser>
        <c:ser>
          <c:idx val="8"/>
          <c:order val="8"/>
          <c:tx>
            <c:strRef>
              <c:f>Rho!$B$11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Rho!$C$11:$AZ$11</c:f>
              <c:numCache>
                <c:formatCode>General</c:formatCode>
                <c:ptCount val="50"/>
                <c:pt idx="0">
                  <c:v>5.058015139895339</c:v>
                </c:pt>
                <c:pt idx="1">
                  <c:v>10.158061093169939</c:v>
                </c:pt>
                <c:pt idx="2">
                  <c:v>15.281809298363571</c:v>
                </c:pt>
                <c:pt idx="3">
                  <c:v>20.422688060793114</c:v>
                </c:pt>
                <c:pt idx="4">
                  <c:v>25.576885410967218</c:v>
                </c:pt>
                <c:pt idx="5">
                  <c:v>30.741820985414318</c:v>
                </c:pt>
                <c:pt idx="6">
                  <c:v>35.915594909590865</c:v>
                </c:pt>
                <c:pt idx="7">
                  <c:v>41.096731210161046</c:v>
                </c:pt>
                <c:pt idx="8">
                  <c:v>46.284039504608742</c:v>
                </c:pt>
                <c:pt idx="9">
                  <c:v>51.476532828002171</c:v>
                </c:pt>
                <c:pt idx="10">
                  <c:v>56.673375273360662</c:v>
                </c:pt>
                <c:pt idx="11">
                  <c:v>61.873846813086757</c:v>
                </c:pt>
                <c:pt idx="12">
                  <c:v>67.077318658898434</c:v>
                </c:pt>
                <c:pt idx="13">
                  <c:v>72.283235412954454</c:v>
                </c:pt>
                <c:pt idx="14">
                  <c:v>77.491101774469016</c:v>
                </c:pt>
                <c:pt idx="15">
                  <c:v>82.700472405547103</c:v>
                </c:pt>
                <c:pt idx="16">
                  <c:v>87.91094405034633</c:v>
                </c:pt>
                <c:pt idx="17">
                  <c:v>93.122149300533636</c:v>
                </c:pt>
                <c:pt idx="18">
                  <c:v>98.33375158883058</c:v>
                </c:pt>
                <c:pt idx="19">
                  <c:v>103.54544111550688</c:v>
                </c:pt>
                <c:pt idx="20">
                  <c:v>108.75693149508366</c:v>
                </c:pt>
                <c:pt idx="21">
                  <c:v>113.96795696701273</c:v>
                </c:pt>
                <c:pt idx="22">
                  <c:v>119.17827005366833</c:v>
                </c:pt>
                <c:pt idx="23">
                  <c:v>124.38763957722479</c:v>
                </c:pt>
                <c:pt idx="24">
                  <c:v>129.59584896748729</c:v>
                </c:pt>
                <c:pt idx="25">
                  <c:v>134.80269480784693</c:v>
                </c:pt>
                <c:pt idx="26">
                  <c:v>140.0079855778157</c:v>
                </c:pt>
                <c:pt idx="27">
                  <c:v>145.21154055913817</c:v>
                </c:pt>
                <c:pt idx="28">
                  <c:v>150.41318887901511</c:v>
                </c:pt>
                <c:pt idx="29">
                  <c:v>155.6127686690331</c:v>
                </c:pt>
                <c:pt idx="30">
                  <c:v>160.81012632234922</c:v>
                </c:pt>
                <c:pt idx="31">
                  <c:v>166.00511583479678</c:v>
                </c:pt>
                <c:pt idx="32">
                  <c:v>171.19759821805795</c:v>
                </c:pt>
                <c:pt idx="33">
                  <c:v>176.38744097503726</c:v>
                </c:pt>
                <c:pt idx="34">
                  <c:v>181.57451762917427</c:v>
                </c:pt>
                <c:pt idx="35">
                  <c:v>186.75870730074001</c:v>
                </c:pt>
                <c:pt idx="36">
                  <c:v>191.93989432422811</c:v>
                </c:pt>
                <c:pt idx="37">
                  <c:v>197.11796790183189</c:v>
                </c:pt>
                <c:pt idx="38">
                  <c:v>202.292821788727</c:v>
                </c:pt>
                <c:pt idx="39">
                  <c:v>207.46435400648329</c:v>
                </c:pt>
                <c:pt idx="40">
                  <c:v>212.6324665814397</c:v>
                </c:pt>
                <c:pt idx="41">
                  <c:v>217.79706530529927</c:v>
                </c:pt>
                <c:pt idx="42">
                  <c:v>222.95805951556363</c:v>
                </c:pt>
                <c:pt idx="43">
                  <c:v>228.11536189373049</c:v>
                </c:pt>
                <c:pt idx="44">
                  <c:v>233.26888827943822</c:v>
                </c:pt>
                <c:pt idx="45">
                  <c:v>238.41855749896408</c:v>
                </c:pt>
                <c:pt idx="46">
                  <c:v>243.56429120667363</c:v>
                </c:pt>
                <c:pt idx="47">
                  <c:v>248.70601373818192</c:v>
                </c:pt>
                <c:pt idx="48">
                  <c:v>253.84365197413229</c:v>
                </c:pt>
                <c:pt idx="49">
                  <c:v>258.97713521361754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D21-4D25-A312-D11B9C673E0B}"/>
            </c:ext>
          </c:extLst>
        </c:ser>
        <c:ser>
          <c:idx val="9"/>
          <c:order val="9"/>
          <c:tx>
            <c:strRef>
              <c:f>Rho!$B$12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Rho!$C$12:$AZ$12</c:f>
              <c:numCache>
                <c:formatCode>General</c:formatCode>
                <c:ptCount val="50"/>
                <c:pt idx="0">
                  <c:v>9.3952533892679782</c:v>
                </c:pt>
                <c:pt idx="1">
                  <c:v>17.309729794666577</c:v>
                </c:pt>
                <c:pt idx="2">
                  <c:v>24.548285319545805</c:v>
                </c:pt>
                <c:pt idx="3">
                  <c:v>31.435240865969416</c:v>
                </c:pt>
                <c:pt idx="4">
                  <c:v>38.103111573428784</c:v>
                </c:pt>
                <c:pt idx="5">
                  <c:v>44.619116273382176</c:v>
                </c:pt>
                <c:pt idx="6">
                  <c:v>51.022305279995166</c:v>
                </c:pt>
                <c:pt idx="7">
                  <c:v>57.337518442883209</c:v>
                </c:pt>
                <c:pt idx="8">
                  <c:v>63.581611101087553</c:v>
                </c:pt>
                <c:pt idx="9">
                  <c:v>69.766586400827933</c:v>
                </c:pt>
                <c:pt idx="10">
                  <c:v>75.901317872612935</c:v>
                </c:pt>
                <c:pt idx="11">
                  <c:v>81.992563863199877</c:v>
                </c:pt>
                <c:pt idx="12">
                  <c:v>88.045598275260218</c:v>
                </c:pt>
                <c:pt idx="13">
                  <c:v>94.064620434835177</c:v>
                </c:pt>
                <c:pt idx="14">
                  <c:v>100.05303135383159</c:v>
                </c:pt>
                <c:pt idx="15">
                  <c:v>106.01362576536958</c:v>
                </c:pt>
                <c:pt idx="16">
                  <c:v>111.94872916953845</c:v>
                </c:pt>
                <c:pt idx="17">
                  <c:v>117.86029788377679</c:v>
                </c:pt>
                <c:pt idx="18">
                  <c:v>123.74999354720055</c:v>
                </c:pt>
                <c:pt idx="19">
                  <c:v>129.61923957799161</c:v>
                </c:pt>
                <c:pt idx="20">
                  <c:v>135.46926462226523</c:v>
                </c:pt>
                <c:pt idx="21">
                  <c:v>141.30113645674271</c:v>
                </c:pt>
                <c:pt idx="22">
                  <c:v>147.11578877280286</c:v>
                </c:pt>
                <c:pt idx="23">
                  <c:v>152.9140425749641</c:v>
                </c:pt>
                <c:pt idx="24">
                  <c:v>158.6966234513369</c:v>
                </c:pt>
                <c:pt idx="25">
                  <c:v>164.46417564211978</c:v>
                </c:pt>
                <c:pt idx="26">
                  <c:v>170.21727359735291</c:v>
                </c:pt>
                <c:pt idx="27">
                  <c:v>175.95643154623713</c:v>
                </c:pt>
                <c:pt idx="28">
                  <c:v>181.68211147718196</c:v>
                </c:pt>
                <c:pt idx="29">
                  <c:v>187.39472983683123</c:v>
                </c:pt>
                <c:pt idx="30">
                  <c:v>193.0946631884114</c:v>
                </c:pt>
                <c:pt idx="31">
                  <c:v>198.78225301848516</c:v>
                </c:pt>
                <c:pt idx="32">
                  <c:v>204.45780984210276</c:v>
                </c:pt>
                <c:pt idx="33">
                  <c:v>210.12161672626294</c:v>
                </c:pt>
                <c:pt idx="34">
                  <c:v>215.77393232823982</c:v>
                </c:pt>
                <c:pt idx="35">
                  <c:v>221.4149935270581</c:v>
                </c:pt>
                <c:pt idx="36">
                  <c:v>227.04501771198491</c:v>
                </c:pt>
                <c:pt idx="37">
                  <c:v>232.66420478046194</c:v>
                </c:pt>
                <c:pt idx="38">
                  <c:v>238.27273888874839</c:v>
                </c:pt>
                <c:pt idx="39">
                  <c:v>243.87078999118199</c:v>
                </c:pt>
                <c:pt idx="40">
                  <c:v>249.45851519800561</c:v>
                </c:pt>
                <c:pt idx="41">
                  <c:v>255.03605997685312</c:v>
                </c:pt>
                <c:pt idx="42">
                  <c:v>260.60355921901862</c:v>
                </c:pt>
                <c:pt idx="43">
                  <c:v>266.16113818836629</c:v>
                </c:pt>
                <c:pt idx="44">
                  <c:v>271.70891336803828</c:v>
                </c:pt>
                <c:pt idx="45">
                  <c:v>277.24699321787733</c:v>
                </c:pt>
                <c:pt idx="46">
                  <c:v>282.77547885360877</c:v>
                </c:pt>
                <c:pt idx="47">
                  <c:v>288.29446465726465</c:v>
                </c:pt>
                <c:pt idx="48">
                  <c:v>293.80403882701302</c:v>
                </c:pt>
                <c:pt idx="49">
                  <c:v>299.30428387344614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D21-4D25-A312-D11B9C673E0B}"/>
            </c:ext>
          </c:extLst>
        </c:ser>
        <c:ser>
          <c:idx val="10"/>
          <c:order val="10"/>
          <c:tx>
            <c:strRef>
              <c:f>Rho!$B$13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Rho!$C$13:$AZ$13</c:f>
              <c:numCache>
                <c:formatCode>General</c:formatCode>
                <c:ptCount val="50"/>
                <c:pt idx="0">
                  <c:v>9.9777807903598905</c:v>
                </c:pt>
                <c:pt idx="1">
                  <c:v>19.647918755774999</c:v>
                </c:pt>
                <c:pt idx="2">
                  <c:v>28.756443180563217</c:v>
                </c:pt>
                <c:pt idx="3">
                  <c:v>37.372216345157355</c:v>
                </c:pt>
                <c:pt idx="4">
                  <c:v>45.606650497595851</c:v>
                </c:pt>
                <c:pt idx="5">
                  <c:v>53.546438342331996</c:v>
                </c:pt>
                <c:pt idx="6">
                  <c:v>61.253729163278898</c:v>
                </c:pt>
                <c:pt idx="7">
                  <c:v>68.773188516542405</c:v>
                </c:pt>
                <c:pt idx="8">
                  <c:v>76.137581768653789</c:v>
                </c:pt>
                <c:pt idx="9">
                  <c:v>83.371514981554569</c:v>
                </c:pt>
                <c:pt idx="10">
                  <c:v>90.49388362270237</c:v>
                </c:pt>
                <c:pt idx="11">
                  <c:v>97.519492763107351</c:v>
                </c:pt>
                <c:pt idx="12">
                  <c:v>104.46015116314872</c:v>
                </c:pt>
                <c:pt idx="13">
                  <c:v>111.3254268899247</c:v>
                </c:pt>
                <c:pt idx="14">
                  <c:v>118.12318076708145</c:v>
                </c:pt>
                <c:pt idx="15">
                  <c:v>124.85995079285036</c:v>
                </c:pt>
                <c:pt idx="16">
                  <c:v>131.5412344329294</c:v>
                </c:pt>
                <c:pt idx="17">
                  <c:v>138.17169950956233</c:v>
                </c:pt>
                <c:pt idx="18">
                  <c:v>144.75534422625546</c:v>
                </c:pt>
                <c:pt idx="19">
                  <c:v>151.29562033151717</c:v>
                </c:pt>
                <c:pt idx="20">
                  <c:v>157.7955291451475</c:v>
                </c:pt>
                <c:pt idx="21">
                  <c:v>164.25769731446573</c:v>
                </c:pt>
                <c:pt idx="22">
                  <c:v>170.68443722750231</c:v>
                </c:pt>
                <c:pt idx="23">
                  <c:v>177.07779566979389</c:v>
                </c:pt>
                <c:pt idx="24">
                  <c:v>183.43959337099159</c:v>
                </c:pt>
                <c:pt idx="25">
                  <c:v>189.77145741807803</c:v>
                </c:pt>
                <c:pt idx="26">
                  <c:v>196.07484802903451</c:v>
                </c:pt>
                <c:pt idx="27">
                  <c:v>202.35108082798749</c:v>
                </c:pt>
                <c:pt idx="28">
                  <c:v>208.60134550210071</c:v>
                </c:pt>
                <c:pt idx="29">
                  <c:v>214.82672152563941</c:v>
                </c:pt>
                <c:pt idx="30">
                  <c:v>221.02819148956908</c:v>
                </c:pt>
                <c:pt idx="31">
                  <c:v>227.20665246298174</c:v>
                </c:pt>
                <c:pt idx="32">
                  <c:v>233.36292572647773</c:v>
                </c:pt>
                <c:pt idx="33">
                  <c:v>239.49776515082863</c:v>
                </c:pt>
                <c:pt idx="34">
                  <c:v>245.61186444203841</c:v>
                </c:pt>
                <c:pt idx="35">
                  <c:v>251.705863432825</c:v>
                </c:pt>
                <c:pt idx="36">
                  <c:v>257.7803535679584</c:v>
                </c:pt>
                <c:pt idx="37">
                  <c:v>263.835882704889</c:v>
                </c:pt>
                <c:pt idx="38">
                  <c:v>269.87295933021778</c:v>
                </c:pt>
                <c:pt idx="39">
                  <c:v>275.89205627569038</c:v>
                </c:pt>
                <c:pt idx="40">
                  <c:v>281.89361400369228</c:v>
                </c:pt>
                <c:pt idx="41">
                  <c:v>287.87804352102916</c:v>
                </c:pt>
                <c:pt idx="42">
                  <c:v>293.84572897058848</c:v>
                </c:pt>
                <c:pt idx="43">
                  <c:v>299.79702994289931</c:v>
                </c:pt>
                <c:pt idx="44">
                  <c:v>305.73228354332537</c:v>
                </c:pt>
                <c:pt idx="45">
                  <c:v>311.65180624540056</c:v>
                </c:pt>
                <c:pt idx="46">
                  <c:v>317.55589555644559</c:v>
                </c:pt>
                <c:pt idx="47">
                  <c:v>323.44483151793651</c:v>
                </c:pt>
                <c:pt idx="48">
                  <c:v>329.31887806001129</c:v>
                </c:pt>
                <c:pt idx="49">
                  <c:v>335.17828422688223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D21-4D25-A312-D11B9C673E0B}"/>
            </c:ext>
          </c:extLst>
        </c:ser>
        <c:ser>
          <c:idx val="11"/>
          <c:order val="11"/>
          <c:tx>
            <c:strRef>
              <c:f>Rho!$B$14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Rho!$C$14:$AZ$14</c:f>
              <c:numCache>
                <c:formatCode>General</c:formatCode>
                <c:ptCount val="50"/>
                <c:pt idx="0">
                  <c:v>9.9899591088745563</c:v>
                </c:pt>
                <c:pt idx="1">
                  <c:v>19.943607403579602</c:v>
                </c:pt>
                <c:pt idx="2">
                  <c:v>29.76198354061744</c:v>
                </c:pt>
                <c:pt idx="3">
                  <c:v>39.342380536091405</c:v>
                </c:pt>
                <c:pt idx="4">
                  <c:v>48.65034468115244</c:v>
                </c:pt>
                <c:pt idx="5">
                  <c:v>57.693143792728847</c:v>
                </c:pt>
                <c:pt idx="6">
                  <c:v>66.49351340148327</c:v>
                </c:pt>
                <c:pt idx="7">
                  <c:v>75.077492898362266</c:v>
                </c:pt>
                <c:pt idx="8">
                  <c:v>83.469784716418218</c:v>
                </c:pt>
                <c:pt idx="9">
                  <c:v>91.692301259484651</c:v>
                </c:pt>
                <c:pt idx="10">
                  <c:v>99.763960192975091</c:v>
                </c:pt>
                <c:pt idx="11">
                  <c:v>107.70092695410678</c:v>
                </c:pt>
                <c:pt idx="12">
                  <c:v>115.51698329249261</c:v>
                </c:pt>
                <c:pt idx="13">
                  <c:v>123.22389832733194</c:v>
                </c:pt>
                <c:pt idx="14">
                  <c:v>130.83175948672312</c:v>
                </c:pt>
                <c:pt idx="15">
                  <c:v>138.34925321145454</c:v>
                </c:pt>
                <c:pt idx="16">
                  <c:v>145.7838976872894</c:v>
                </c:pt>
                <c:pt idx="17">
                  <c:v>153.14223390260432</c:v>
                </c:pt>
                <c:pt idx="18">
                  <c:v>160.4299819930861</c:v>
                </c:pt>
                <c:pt idx="19">
                  <c:v>167.65216924491807</c:v>
                </c:pt>
                <c:pt idx="20">
                  <c:v>174.8132351677971</c:v>
                </c:pt>
                <c:pt idx="21">
                  <c:v>181.91711807450289</c:v>
                </c:pt>
                <c:pt idx="22">
                  <c:v>188.96732674177534</c:v>
                </c:pt>
                <c:pt idx="23">
                  <c:v>195.96700000924588</c:v>
                </c:pt>
                <c:pt idx="24">
                  <c:v>202.91895659256247</c:v>
                </c:pt>
                <c:pt idx="25">
                  <c:v>209.82573692441005</c:v>
                </c:pt>
                <c:pt idx="26">
                  <c:v>216.68963847149726</c:v>
                </c:pt>
                <c:pt idx="27">
                  <c:v>223.51274568727791</c:v>
                </c:pt>
                <c:pt idx="28">
                  <c:v>230.29695553284594</c:v>
                </c:pt>
                <c:pt idx="29">
                  <c:v>237.04399931886562</c:v>
                </c:pt>
                <c:pt idx="30">
                  <c:v>243.75546147914227</c:v>
                </c:pt>
                <c:pt idx="31">
                  <c:v>250.43279577333564</c:v>
                </c:pt>
                <c:pt idx="32">
                  <c:v>257.07733932603912</c:v>
                </c:pt>
                <c:pt idx="33">
                  <c:v>263.69032483707826</c:v>
                </c:pt>
                <c:pt idx="34">
                  <c:v>270.27289123961106</c:v>
                </c:pt>
                <c:pt idx="35">
                  <c:v>276.82609303549077</c:v>
                </c:pt>
                <c:pt idx="36">
                  <c:v>283.3509084990697</c:v>
                </c:pt>
                <c:pt idx="37">
                  <c:v>289.84824690939593</c:v>
                </c:pt>
                <c:pt idx="38">
                  <c:v>296.31895494515879</c:v>
                </c:pt>
                <c:pt idx="39">
                  <c:v>302.76382235568667</c:v>
                </c:pt>
                <c:pt idx="40">
                  <c:v>309.18358700390155</c:v>
                </c:pt>
                <c:pt idx="41">
                  <c:v>315.57893936270199</c:v>
                </c:pt>
                <c:pt idx="42">
                  <c:v>321.95052653423022</c:v>
                </c:pt>
                <c:pt idx="43">
                  <c:v>328.29895585143157</c:v>
                </c:pt>
                <c:pt idx="44">
                  <c:v>334.62479811289057</c:v>
                </c:pt>
                <c:pt idx="45">
                  <c:v>340.928590494829</c:v>
                </c:pt>
                <c:pt idx="46">
                  <c:v>347.21083917816321</c:v>
                </c:pt>
                <c:pt idx="47">
                  <c:v>353.47202172343441</c:v>
                </c:pt>
                <c:pt idx="48">
                  <c:v>359.71258922211047</c:v>
                </c:pt>
                <c:pt idx="49">
                  <c:v>365.93296824907293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D21-4D25-A312-D11B9C673E0B}"/>
            </c:ext>
          </c:extLst>
        </c:ser>
        <c:ser>
          <c:idx val="12"/>
          <c:order val="12"/>
          <c:tx>
            <c:strRef>
              <c:f>Rho!$B$15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Rho!$C$15:$AZ$15</c:f>
              <c:numCache>
                <c:formatCode>General</c:formatCode>
                <c:ptCount val="50"/>
                <c:pt idx="0">
                  <c:v>9.9900049613135682</c:v>
                </c:pt>
                <c:pt idx="1">
                  <c:v>19.959626211406121</c:v>
                </c:pt>
                <c:pt idx="2">
                  <c:v>29.898313191089134</c:v>
                </c:pt>
                <c:pt idx="3">
                  <c:v>39.769324894937874</c:v>
                </c:pt>
                <c:pt idx="4">
                  <c:v>49.527868282183348</c:v>
                </c:pt>
                <c:pt idx="5">
                  <c:v>59.142047882605844</c:v>
                </c:pt>
                <c:pt idx="6">
                  <c:v>68.595842929360387</c:v>
                </c:pt>
                <c:pt idx="7">
                  <c:v>77.884877360331075</c:v>
                </c:pt>
                <c:pt idx="8">
                  <c:v>87.011875244291346</c:v>
                </c:pt>
                <c:pt idx="9">
                  <c:v>95.983419426964204</c:v>
                </c:pt>
                <c:pt idx="10">
                  <c:v>104.8079249837991</c:v>
                </c:pt>
                <c:pt idx="11">
                  <c:v>113.49445000422928</c:v>
                </c:pt>
                <c:pt idx="12">
                  <c:v>122.05202916045715</c:v>
                </c:pt>
                <c:pt idx="13">
                  <c:v>130.48931999199021</c:v>
                </c:pt>
                <c:pt idx="14">
                  <c:v>138.81443186796324</c:v>
                </c:pt>
                <c:pt idx="15">
                  <c:v>147.03485959189177</c:v>
                </c:pt>
                <c:pt idx="16">
                  <c:v>155.15747546725433</c:v>
                </c:pt>
                <c:pt idx="17">
                  <c:v>163.1885527068724</c:v>
                </c:pt>
                <c:pt idx="18">
                  <c:v>171.13380438333465</c:v>
                </c:pt>
                <c:pt idx="19">
                  <c:v>178.99842881670318</c:v>
                </c:pt>
                <c:pt idx="20">
                  <c:v>186.78715625985623</c:v>
                </c:pt>
                <c:pt idx="21">
                  <c:v>194.50429408419612</c:v>
                </c:pt>
                <c:pt idx="22">
                  <c:v>202.15376904636801</c:v>
                </c:pt>
                <c:pt idx="23">
                  <c:v>209.73916601922721</c:v>
                </c:pt>
                <c:pt idx="24">
                  <c:v>217.26376302903927</c:v>
                </c:pt>
                <c:pt idx="25">
                  <c:v>224.73056269424802</c:v>
                </c:pt>
                <c:pt idx="26">
                  <c:v>232.14232029231573</c:v>
                </c:pt>
                <c:pt idx="27">
                  <c:v>239.5015687403415</c:v>
                </c:pt>
                <c:pt idx="28">
                  <c:v>246.81064079274051</c:v>
                </c:pt>
                <c:pt idx="29">
                  <c:v>254.07168875355401</c:v>
                </c:pt>
                <c:pt idx="30">
                  <c:v>261.28670198297237</c:v>
                </c:pt>
                <c:pt idx="31">
                  <c:v>268.45752245395101</c:v>
                </c:pt>
                <c:pt idx="32">
                  <c:v>275.58585858921401</c:v>
                </c:pt>
                <c:pt idx="33">
                  <c:v>282.67329758364542</c:v>
                </c:pt>
                <c:pt idx="34">
                  <c:v>289.72131639321873</c:v>
                </c:pt>
                <c:pt idx="35">
                  <c:v>296.73129154977681</c:v>
                </c:pt>
                <c:pt idx="36">
                  <c:v>303.70450794133433</c:v>
                </c:pt>
                <c:pt idx="37">
                  <c:v>310.64216668013319</c:v>
                </c:pt>
                <c:pt idx="38">
                  <c:v>317.54539216531737</c:v>
                </c:pt>
                <c:pt idx="39">
                  <c:v>324.41523843363723</c:v>
                </c:pt>
                <c:pt idx="40">
                  <c:v>331.25269487984775</c:v>
                </c:pt>
                <c:pt idx="41">
                  <c:v>338.05869141824218</c:v>
                </c:pt>
                <c:pt idx="42">
                  <c:v>344.83410314787307</c:v>
                </c:pt>
                <c:pt idx="43">
                  <c:v>351.57975457628885</c:v>
                </c:pt>
                <c:pt idx="44">
                  <c:v>358.29642344990708</c:v>
                </c:pt>
                <c:pt idx="45">
                  <c:v>364.98484423331274</c:v>
                </c:pt>
                <c:pt idx="46">
                  <c:v>371.64571127470248</c:v>
                </c:pt>
                <c:pt idx="47">
                  <c:v>378.2796816902819</c:v>
                </c:pt>
                <c:pt idx="48">
                  <c:v>384.88737799658065</c:v>
                </c:pt>
                <c:pt idx="49">
                  <c:v>391.4693905162963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D21-4D25-A312-D11B9C673E0B}"/>
            </c:ext>
          </c:extLst>
        </c:ser>
        <c:ser>
          <c:idx val="13"/>
          <c:order val="13"/>
          <c:tx>
            <c:strRef>
              <c:f>Rho!$B$16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Rho!$C$16:$AZ$16</c:f>
              <c:numCache>
                <c:formatCode>General</c:formatCode>
                <c:ptCount val="50"/>
                <c:pt idx="0">
                  <c:v>9.9900049983261354</c:v>
                </c:pt>
                <c:pt idx="1">
                  <c:v>19.960034597449699</c:v>
                </c:pt>
                <c:pt idx="2">
                  <c:v>29.909520753459066</c:v>
                </c:pt>
                <c:pt idx="3">
                  <c:v>39.832927362661074</c:v>
                </c:pt>
                <c:pt idx="4">
                  <c:v>49.715365396356191</c:v>
                </c:pt>
                <c:pt idx="5">
                  <c:v>59.536529236320234</c:v>
                </c:pt>
                <c:pt idx="6">
                  <c:v>69.277091810376731</c:v>
                </c:pt>
                <c:pt idx="7">
                  <c:v>78.922100210084167</c:v>
                </c:pt>
                <c:pt idx="8">
                  <c:v>88.46161416674056</c:v>
                </c:pt>
                <c:pt idx="9">
                  <c:v>97.890054170176697</c:v>
                </c:pt>
                <c:pt idx="10">
                  <c:v>107.20519793282695</c:v>
                </c:pt>
                <c:pt idx="11">
                  <c:v>116.40723237865194</c:v>
                </c:pt>
                <c:pt idx="12">
                  <c:v>125.49798718037577</c:v>
                </c:pt>
                <c:pt idx="13">
                  <c:v>134.480358692523</c:v>
                </c:pt>
                <c:pt idx="14">
                  <c:v>143.35789428027172</c:v>
                </c:pt>
                <c:pt idx="15">
                  <c:v>152.13450021331076</c:v>
                </c:pt>
                <c:pt idx="16">
                  <c:v>160.81424057510438</c:v>
                </c:pt>
                <c:pt idx="17">
                  <c:v>169.40120155448972</c:v>
                </c:pt>
                <c:pt idx="18">
                  <c:v>177.89940199420136</c:v>
                </c:pt>
                <c:pt idx="19">
                  <c:v>186.31273632495481</c:v>
                </c:pt>
                <c:pt idx="20">
                  <c:v>194.64493998089617</c:v>
                </c:pt>
                <c:pt idx="21">
                  <c:v>202.89957028784823</c:v>
                </c:pt>
                <c:pt idx="22">
                  <c:v>211.07999789126612</c:v>
                </c:pt>
                <c:pt idx="23">
                  <c:v>219.18940526400118</c:v>
                </c:pt>
                <c:pt idx="24">
                  <c:v>227.23078987440402</c:v>
                </c:pt>
                <c:pt idx="25">
                  <c:v>235.20697032837697</c:v>
                </c:pt>
                <c:pt idx="26">
                  <c:v>243.12059431505554</c:v>
                </c:pt>
                <c:pt idx="27">
                  <c:v>250.97414754901831</c:v>
                </c:pt>
                <c:pt idx="28">
                  <c:v>258.76996315752956</c:v>
                </c:pt>
                <c:pt idx="29">
                  <c:v>266.51023114110524</c:v>
                </c:pt>
                <c:pt idx="30">
                  <c:v>274.19700766198787</c:v>
                </c:pt>
                <c:pt idx="31">
                  <c:v>281.83222400361853</c:v>
                </c:pt>
                <c:pt idx="32">
                  <c:v>289.41769510595344</c:v>
                </c:pt>
                <c:pt idx="33">
                  <c:v>296.95512762429644</c:v>
                </c:pt>
                <c:pt idx="34">
                  <c:v>304.44612748871583</c:v>
                </c:pt>
                <c:pt idx="35">
                  <c:v>311.89220696101336</c:v>
                </c:pt>
                <c:pt idx="36">
                  <c:v>319.29479119937855</c:v>
                </c:pt>
                <c:pt idx="37">
                  <c:v>326.65522434929477</c:v>
                </c:pt>
                <c:pt idx="38">
                  <c:v>333.9747751843617</c:v>
                </c:pt>
                <c:pt idx="39">
                  <c:v>341.25464232347827</c:v>
                </c:pt>
                <c:pt idx="40">
                  <c:v>348.49595905201443</c:v>
                </c:pt>
                <c:pt idx="41">
                  <c:v>355.69979777469274</c:v>
                </c:pt>
                <c:pt idx="42">
                  <c:v>362.86717412727745</c:v>
                </c:pt>
                <c:pt idx="43">
                  <c:v>369.99905077308472</c:v>
                </c:pt>
                <c:pt idx="44">
                  <c:v>377.09634090896373</c:v>
                </c:pt>
                <c:pt idx="45">
                  <c:v>384.1599115038884</c:v>
                </c:pt>
                <c:pt idx="46">
                  <c:v>391.19058629172673</c:v>
                </c:pt>
                <c:pt idx="47">
                  <c:v>398.18914853817938</c:v>
                </c:pt>
                <c:pt idx="48">
                  <c:v>405.15634360035017</c:v>
                </c:pt>
                <c:pt idx="49">
                  <c:v>412.0928812959383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D21-4D25-A312-D11B9C673E0B}"/>
            </c:ext>
          </c:extLst>
        </c:ser>
        <c:ser>
          <c:idx val="14"/>
          <c:order val="14"/>
          <c:tx>
            <c:strRef>
              <c:f>Rho!$B$17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Rho!$C$17:$AZ$17</c:f>
              <c:numCache>
                <c:formatCode>General</c:formatCode>
                <c:ptCount val="50"/>
                <c:pt idx="0">
                  <c:v>9.9900049983337507</c:v>
                </c:pt>
                <c:pt idx="1">
                  <c:v>19.960039934571281</c:v>
                </c:pt>
                <c:pt idx="2">
                  <c:v>29.9101131230621</c:v>
                </c:pt>
                <c:pt idx="3">
                  <c:v>39.839738796252952</c:v>
                </c:pt>
                <c:pt idx="4">
                  <c:v>49.746149929550427</c:v>
                </c:pt>
                <c:pt idx="5">
                  <c:v>59.62280065616843</c:v>
                </c:pt>
                <c:pt idx="6">
                  <c:v>69.46011400519069</c:v>
                </c:pt>
                <c:pt idx="7">
                  <c:v>79.247439679380363</c:v>
                </c:pt>
                <c:pt idx="8">
                  <c:v>88.974743056024764</c:v>
                </c:pt>
                <c:pt idx="9">
                  <c:v>98.633554504316649</c:v>
                </c:pt>
                <c:pt idx="10">
                  <c:v>108.21730125118323</c:v>
                </c:pt>
                <c:pt idx="11">
                  <c:v>117.72126744711964</c:v>
                </c:pt>
                <c:pt idx="12">
                  <c:v>127.14237633409796</c:v>
                </c:pt>
                <c:pt idx="13">
                  <c:v>136.47891281773553</c:v>
                </c:pt>
                <c:pt idx="14">
                  <c:v>145.73024832862447</c:v>
                </c:pt>
                <c:pt idx="15">
                  <c:v>154.89659554219622</c:v>
                </c:pt>
                <c:pt idx="16">
                  <c:v>163.97880190741543</c:v>
                </c:pt>
                <c:pt idx="17">
                  <c:v>172.97818178160512</c:v>
                </c:pt>
                <c:pt idx="18">
                  <c:v>181.89638303856756</c:v>
                </c:pt>
                <c:pt idx="19">
                  <c:v>190.73528277688422</c:v>
                </c:pt>
                <c:pt idx="20">
                  <c:v>199.49690679660884</c:v>
                </c:pt>
                <c:pt idx="21">
                  <c:v>208.18336809180934</c:v>
                </c:pt>
                <c:pt idx="22">
                  <c:v>216.79682035035285</c:v>
                </c:pt>
                <c:pt idx="23">
                  <c:v>225.33942318630289</c:v>
                </c:pt>
                <c:pt idx="24">
                  <c:v>233.81331648222823</c:v>
                </c:pt>
                <c:pt idx="25">
                  <c:v>242.22060176730145</c:v>
                </c:pt>
                <c:pt idx="26">
                  <c:v>250.56332900445381</c:v>
                </c:pt>
                <c:pt idx="27">
                  <c:v>258.843487517771</c:v>
                </c:pt>
                <c:pt idx="28">
                  <c:v>267.06300007417781</c:v>
                </c:pt>
                <c:pt idx="29">
                  <c:v>275.2237193552665</c:v>
                </c:pt>
                <c:pt idx="30">
                  <c:v>283.32742622819154</c:v>
                </c:pt>
                <c:pt idx="31">
                  <c:v>291.3758293591614</c:v>
                </c:pt>
                <c:pt idx="32">
                  <c:v>299.37056581757048</c:v>
                </c:pt>
                <c:pt idx="33">
                  <c:v>307.31320239986786</c:v>
                </c:pt>
                <c:pt idx="34">
                  <c:v>315.20523746509099</c:v>
                </c:pt>
                <c:pt idx="35">
                  <c:v>323.04810312268842</c:v>
                </c:pt>
                <c:pt idx="36">
                  <c:v>330.84316765099356</c:v>
                </c:pt>
                <c:pt idx="37">
                  <c:v>338.59173805395221</c:v>
                </c:pt>
                <c:pt idx="38">
                  <c:v>346.29506268636118</c:v>
                </c:pt>
                <c:pt idx="39">
                  <c:v>353.95433389541921</c:v>
                </c:pt>
                <c:pt idx="40">
                  <c:v>361.57069063996221</c:v>
                </c:pt>
                <c:pt idx="41">
                  <c:v>369.1452210592438</c:v>
                </c:pt>
                <c:pt idx="42">
                  <c:v>376.67896497120944</c:v>
                </c:pt>
                <c:pt idx="43">
                  <c:v>384.17291628643591</c:v>
                </c:pt>
                <c:pt idx="44">
                  <c:v>391.6280253286709</c:v>
                </c:pt>
                <c:pt idx="45">
                  <c:v>399.04520105654916</c:v>
                </c:pt>
                <c:pt idx="46">
                  <c:v>406.42531318380895</c:v>
                </c:pt>
                <c:pt idx="47">
                  <c:v>413.7691941974054</c:v>
                </c:pt>
                <c:pt idx="48">
                  <c:v>421.07764127444881</c:v>
                </c:pt>
                <c:pt idx="49">
                  <c:v>428.35141810001801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D21-4D25-A312-D11B9C673E0B}"/>
            </c:ext>
          </c:extLst>
        </c:ser>
        <c:ser>
          <c:idx val="15"/>
          <c:order val="15"/>
          <c:tx>
            <c:strRef>
              <c:f>Rho!$B$18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Rho!$C$18:$AZ$18</c:f>
              <c:numCache>
                <c:formatCode>General</c:formatCode>
                <c:ptCount val="50"/>
                <c:pt idx="0">
                  <c:v>9.9900049983337507</c:v>
                </c:pt>
                <c:pt idx="1">
                  <c:v>19.960039973180685</c:v>
                </c:pt>
                <c:pt idx="2">
                  <c:v>29.910134317755116</c:v>
                </c:pt>
                <c:pt idx="3">
                  <c:v>39.840284075736406</c:v>
                </c:pt>
                <c:pt idx="4">
                  <c:v>49.750157959169577</c:v>
                </c:pt>
                <c:pt idx="5">
                  <c:v>59.638360220830648</c:v>
                </c:pt>
                <c:pt idx="6">
                  <c:v>69.50181337283162</c:v>
                </c:pt>
                <c:pt idx="7">
                  <c:v>79.335812906789954</c:v>
                </c:pt>
                <c:pt idx="8">
                  <c:v>89.134605998743837</c:v>
                </c:pt>
                <c:pt idx="9">
                  <c:v>98.892095075464468</c:v>
                </c:pt>
                <c:pt idx="10">
                  <c:v>108.60241265305523</c:v>
                </c:pt>
                <c:pt idx="11">
                  <c:v>118.26029281472681</c:v>
                </c:pt>
                <c:pt idx="12">
                  <c:v>127.86126040227073</c:v>
                </c:pt>
                <c:pt idx="13">
                  <c:v>137.40168860108676</c:v>
                </c:pt>
                <c:pt idx="14">
                  <c:v>146.87877380429489</c:v>
                </c:pt>
                <c:pt idx="15">
                  <c:v>156.29046494839491</c:v>
                </c:pt>
                <c:pt idx="16">
                  <c:v>165.63537237118749</c:v>
                </c:pt>
                <c:pt idx="17">
                  <c:v>174.91267166721966</c:v>
                </c:pt>
                <c:pt idx="18">
                  <c:v>184.12201133274453</c:v>
                </c:pt>
                <c:pt idx="19">
                  <c:v>193.26342865983207</c:v>
                </c:pt>
                <c:pt idx="20">
                  <c:v>202.33727568624585</c:v>
                </c:pt>
                <c:pt idx="21">
                  <c:v>211.34415547224782</c:v>
                </c:pt>
                <c:pt idx="22">
                  <c:v>220.28486814913882</c:v>
                </c:pt>
                <c:pt idx="23">
                  <c:v>229.1603657906625</c:v>
                </c:pt>
                <c:pt idx="24">
                  <c:v>237.97171501843155</c:v>
                </c:pt>
                <c:pt idx="25">
                  <c:v>246.72006625407823</c:v>
                </c:pt>
                <c:pt idx="26">
                  <c:v>255.40662860547243</c:v>
                </c:pt>
                <c:pt idx="27">
                  <c:v>264.03264948156618</c:v>
                </c:pt>
                <c:pt idx="28">
                  <c:v>272.59939814704433</c:v>
                </c:pt>
                <c:pt idx="29">
                  <c:v>281.10815254143625</c:v>
                </c:pt>
                <c:pt idx="30">
                  <c:v>289.56018879144011</c:v>
                </c:pt>
                <c:pt idx="31">
                  <c:v>297.95677293738339</c:v>
                </c:pt>
                <c:pt idx="32">
                  <c:v>306.29915447451936</c:v>
                </c:pt>
                <c:pt idx="33">
                  <c:v>314.58856137783846</c:v>
                </c:pt>
                <c:pt idx="34">
                  <c:v>322.8261963363891</c:v>
                </c:pt>
                <c:pt idx="35">
                  <c:v>331.01323397105392</c:v>
                </c:pt>
                <c:pt idx="36">
                  <c:v>339.1508188496349</c:v>
                </c:pt>
                <c:pt idx="37">
                  <c:v>347.24006414618191</c:v>
                </c:pt>
                <c:pt idx="38">
                  <c:v>355.28205081884573</c:v>
                </c:pt>
                <c:pt idx="39">
                  <c:v>363.27782720310546</c:v>
                </c:pt>
                <c:pt idx="40">
                  <c:v>371.22840893581429</c:v>
                </c:pt>
                <c:pt idx="41">
                  <c:v>379.13477914081972</c:v>
                </c:pt>
                <c:pt idx="42">
                  <c:v>386.99788881951292</c:v>
                </c:pt>
                <c:pt idx="43">
                  <c:v>394.81865740002831</c:v>
                </c:pt>
                <c:pt idx="44">
                  <c:v>402.59797340733911</c:v>
                </c:pt>
                <c:pt idx="45">
                  <c:v>410.33669522350522</c:v>
                </c:pt>
                <c:pt idx="46">
                  <c:v>418.03565191309798</c:v>
                </c:pt>
                <c:pt idx="47">
                  <c:v>425.69564409356559</c:v>
                </c:pt>
                <c:pt idx="48">
                  <c:v>433.31744483420289</c:v>
                </c:pt>
                <c:pt idx="49">
                  <c:v>440.9018005705932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D21-4D25-A312-D11B9C673E0B}"/>
            </c:ext>
          </c:extLst>
        </c:ser>
        <c:ser>
          <c:idx val="16"/>
          <c:order val="16"/>
          <c:tx>
            <c:strRef>
              <c:f>Rho!$B$19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Rho!$C$19:$AZ$19</c:f>
              <c:numCache>
                <c:formatCode>General</c:formatCode>
                <c:ptCount val="50"/>
                <c:pt idx="0">
                  <c:v>9.9900049983337507</c:v>
                </c:pt>
                <c:pt idx="1">
                  <c:v>19.960039973346216</c:v>
                </c:pt>
                <c:pt idx="2">
                  <c:v>29.910134854920656</c:v>
                </c:pt>
                <c:pt idx="3">
                  <c:v>39.840317838234114</c:v>
                </c:pt>
                <c:pt idx="4">
                  <c:v>49.750583249072633</c:v>
                </c:pt>
                <c:pt idx="5">
                  <c:v>59.640728082054494</c:v>
                </c:pt>
                <c:pt idx="6">
                  <c:v>69.510030433566868</c:v>
                </c:pt>
                <c:pt idx="7">
                  <c:v>79.356962372848685</c:v>
                </c:pt>
                <c:pt idx="8">
                  <c:v>89.179120674511395</c:v>
                </c:pt>
                <c:pt idx="9">
                  <c:v>98.973377492216599</c:v>
                </c:pt>
                <c:pt idx="10">
                  <c:v>108.73614755043158</c:v>
                </c:pt>
                <c:pt idx="11">
                  <c:v>118.46367048047372</c:v>
                </c:pt>
                <c:pt idx="12">
                  <c:v>128.15224911917079</c:v>
                </c:pt>
                <c:pt idx="13">
                  <c:v>137.79842271530339</c:v>
                </c:pt>
                <c:pt idx="14">
                  <c:v>147.39907659768198</c:v>
                </c:pt>
                <c:pt idx="15">
                  <c:v>156.95149965222538</c:v>
                </c:pt>
                <c:pt idx="16">
                  <c:v>166.45340320104805</c:v>
                </c:pt>
                <c:pt idx="17">
                  <c:v>175.90291358445975</c:v>
                </c:pt>
                <c:pt idx="18">
                  <c:v>185.29854824722784</c:v>
                </c:pt>
                <c:pt idx="19">
                  <c:v>194.63918255910062</c:v>
                </c:pt>
                <c:pt idx="20">
                  <c:v>203.92401240801641</c:v>
                </c:pt>
                <c:pt idx="21">
                  <c:v>213.15251590366563</c:v>
                </c:pt>
                <c:pt idx="22">
                  <c:v>222.32441628354246</c:v>
                </c:pt>
                <c:pt idx="23">
                  <c:v>231.43964723887424</c:v>
                </c:pt>
                <c:pt idx="24">
                  <c:v>240.49832128467136</c:v>
                </c:pt>
                <c:pt idx="25">
                  <c:v>249.50070140959323</c:v>
                </c:pt>
                <c:pt idx="26">
                  <c:v>258.44717599676341</c:v>
                </c:pt>
                <c:pt idx="27">
                  <c:v>267.33823686086112</c:v>
                </c:pt>
                <c:pt idx="28">
                  <c:v>276.17446016713512</c:v>
                </c:pt>
                <c:pt idx="29">
                  <c:v>284.95648996149049</c:v>
                </c:pt>
                <c:pt idx="30">
                  <c:v>293.68502403165076</c:v>
                </c:pt>
                <c:pt idx="31">
                  <c:v>302.36080182686925</c:v>
                </c:pt>
                <c:pt idx="32">
                  <c:v>310.98459418060128</c:v>
                </c:pt>
                <c:pt idx="33">
                  <c:v>319.55719460228505</c:v>
                </c:pt>
                <c:pt idx="34">
                  <c:v>328.07941192792595</c:v>
                </c:pt>
                <c:pt idx="35">
                  <c:v>336.55206414270913</c:v>
                </c:pt>
                <c:pt idx="36">
                  <c:v>344.97597321128177</c:v>
                </c:pt>
                <c:pt idx="37">
                  <c:v>353.35196077208514</c:v>
                </c:pt>
                <c:pt idx="38">
                  <c:v>361.68084457090015</c:v>
                </c:pt>
                <c:pt idx="39">
                  <c:v>369.9634355255414</c:v>
                </c:pt>
                <c:pt idx="40">
                  <c:v>378.20053532845185</c:v>
                </c:pt>
                <c:pt idx="41">
                  <c:v>386.39293450693356</c:v>
                </c:pt>
                <c:pt idx="42">
                  <c:v>394.54141087206159</c:v>
                </c:pt>
                <c:pt idx="43">
                  <c:v>402.64672829713663</c:v>
                </c:pt>
                <c:pt idx="44">
                  <c:v>410.70963577500794</c:v>
                </c:pt>
                <c:pt idx="45">
                  <c:v>418.73086671090476</c:v>
                </c:pt>
                <c:pt idx="46">
                  <c:v>426.71113841369765</c:v>
                </c:pt>
                <c:pt idx="47">
                  <c:v>434.65115175390474</c:v>
                </c:pt>
                <c:pt idx="48">
                  <c:v>442.55159096139226</c:v>
                </c:pt>
                <c:pt idx="49">
                  <c:v>450.41312353967965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D21-4D25-A312-D11B9C673E0B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41858160"/>
        <c:axId val="941860080"/>
        <c:axId val="936867296"/>
      </c:surface3DChart>
      <c:catAx>
        <c:axId val="941858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60080"/>
        <c:crosses val="autoZero"/>
        <c:auto val="1"/>
        <c:lblAlgn val="ctr"/>
        <c:lblOffset val="100"/>
        <c:noMultiLvlLbl val="0"/>
      </c:catAx>
      <c:valAx>
        <c:axId val="94186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58160"/>
        <c:crosses val="autoZero"/>
        <c:crossBetween val="midCat"/>
      </c:valAx>
      <c:serAx>
        <c:axId val="9368672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60080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Rho, vol=20%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54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Rho!$B$24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Rho!$C$24:$AZ$24</c:f>
              <c:numCache>
                <c:formatCode>General</c:formatCode>
                <c:ptCount val="50"/>
                <c:pt idx="0">
                  <c:v>2.9155373317769574E-15</c:v>
                </c:pt>
                <c:pt idx="1">
                  <c:v>9.814499677392361E-8</c:v>
                </c:pt>
                <c:pt idx="2">
                  <c:v>4.0745379654173805E-5</c:v>
                </c:pt>
                <c:pt idx="3">
                  <c:v>9.3629247971002433E-4</c:v>
                </c:pt>
                <c:pt idx="4">
                  <c:v>6.5886799235162358E-3</c:v>
                </c:pt>
                <c:pt idx="5">
                  <c:v>2.5336754690401933E-2</c:v>
                </c:pt>
                <c:pt idx="6">
                  <c:v>6.8496313647903914E-2</c:v>
                </c:pt>
                <c:pt idx="7">
                  <c:v>0.14792299832123143</c:v>
                </c:pt>
                <c:pt idx="8">
                  <c:v>0.27423139001812402</c:v>
                </c:pt>
                <c:pt idx="9">
                  <c:v>0.45595912570109315</c:v>
                </c:pt>
                <c:pt idx="10">
                  <c:v>0.69939887226545272</c:v>
                </c:pt>
                <c:pt idx="11">
                  <c:v>1.0087824315352159</c:v>
                </c:pt>
                <c:pt idx="12">
                  <c:v>1.3866044634997214</c:v>
                </c:pt>
                <c:pt idx="13">
                  <c:v>1.8339701091103287</c:v>
                </c:pt>
                <c:pt idx="14">
                  <c:v>2.3509130878638138</c:v>
                </c:pt>
                <c:pt idx="15">
                  <c:v>2.9366650634722555</c:v>
                </c:pt>
                <c:pt idx="16">
                  <c:v>3.5898738827278036</c:v>
                </c:pt>
                <c:pt idx="17">
                  <c:v>4.3087755407227988</c:v>
                </c:pt>
                <c:pt idx="18">
                  <c:v>5.0913271269724083</c:v>
                </c:pt>
                <c:pt idx="19">
                  <c:v>5.9353081456012875</c:v>
                </c:pt>
                <c:pt idx="20">
                  <c:v>6.8383968104267918</c:v>
                </c:pt>
                <c:pt idx="21">
                  <c:v>7.7982268414141789</c:v>
                </c:pt>
                <c:pt idx="22">
                  <c:v>8.812429226081429</c:v>
                </c:pt>
                <c:pt idx="23">
                  <c:v>9.8786624738498556</c:v>
                </c:pt>
                <c:pt idx="24">
                  <c:v>10.994634114355723</c:v>
                </c:pt>
                <c:pt idx="25">
                  <c:v>12.158115566326206</c:v>
                </c:pt>
                <c:pt idx="26">
                  <c:v>13.366952011649122</c:v>
                </c:pt>
                <c:pt idx="27">
                  <c:v>14.619068526368022</c:v>
                </c:pt>
                <c:pt idx="28">
                  <c:v>15.912473424609976</c:v>
                </c:pt>
                <c:pt idx="29">
                  <c:v>17.245259544138371</c:v>
                </c:pt>
                <c:pt idx="30">
                  <c:v>18.615604027989718</c:v>
                </c:pt>
                <c:pt idx="31">
                  <c:v>20.021767023319956</c:v>
                </c:pt>
                <c:pt idx="32">
                  <c:v>21.46208961663482</c:v>
                </c:pt>
                <c:pt idx="33">
                  <c:v>22.934991246651169</c:v>
                </c:pt>
                <c:pt idx="34">
                  <c:v>24.438966776477276</c:v>
                </c:pt>
                <c:pt idx="35">
                  <c:v>25.972583361284826</c:v>
                </c:pt>
                <c:pt idx="36">
                  <c:v>27.53447721286674</c:v>
                </c:pt>
                <c:pt idx="37">
                  <c:v>29.123350335915344</c:v>
                </c:pt>
                <c:pt idx="38">
                  <c:v>30.73796729058547</c:v>
                </c:pt>
                <c:pt idx="39">
                  <c:v>32.377152020462432</c:v>
                </c:pt>
                <c:pt idx="40">
                  <c:v>34.039784773308142</c:v>
                </c:pt>
                <c:pt idx="41">
                  <c:v>35.724799133053466</c:v>
                </c:pt>
                <c:pt idx="42">
                  <c:v>37.431179174779366</c:v>
                </c:pt>
                <c:pt idx="43">
                  <c:v>39.157956749381754</c:v>
                </c:pt>
                <c:pt idx="44">
                  <c:v>40.904208900851842</c:v>
                </c:pt>
                <c:pt idx="45">
                  <c:v>42.669055416331112</c:v>
                </c:pt>
                <c:pt idx="46">
                  <c:v>44.451656507082653</c:v>
                </c:pt>
                <c:pt idx="47">
                  <c:v>46.251210617084467</c:v>
                </c:pt>
                <c:pt idx="48">
                  <c:v>48.066952354956179</c:v>
                </c:pt>
                <c:pt idx="49">
                  <c:v>49.898150544272617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B-47C4-986B-44CB287F248A}"/>
            </c:ext>
          </c:extLst>
        </c:ser>
        <c:ser>
          <c:idx val="1"/>
          <c:order val="1"/>
          <c:tx>
            <c:strRef>
              <c:f>Rho!$B$25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Rho!$C$25:$AZ$25</c:f>
              <c:numCache>
                <c:formatCode>General</c:formatCode>
                <c:ptCount val="50"/>
                <c:pt idx="0">
                  <c:v>4.3284662987202277E-11</c:v>
                </c:pt>
                <c:pt idx="1">
                  <c:v>1.3045620291245923E-5</c:v>
                </c:pt>
                <c:pt idx="2">
                  <c:v>1.1214508890306956E-3</c:v>
                </c:pt>
                <c:pt idx="3">
                  <c:v>1.17056753256443E-2</c:v>
                </c:pt>
                <c:pt idx="4">
                  <c:v>5.124182147004356E-2</c:v>
                </c:pt>
                <c:pt idx="5">
                  <c:v>0.1434674536858371</c:v>
                </c:pt>
                <c:pt idx="6">
                  <c:v>0.30898154554743779</c:v>
                </c:pt>
                <c:pt idx="7">
                  <c:v>0.56236751489784886</c:v>
                </c:pt>
                <c:pt idx="8">
                  <c:v>0.9123152567874232</c:v>
                </c:pt>
                <c:pt idx="9">
                  <c:v>1.3628210187071792</c:v>
                </c:pt>
                <c:pt idx="10">
                  <c:v>1.9145027101937826</c:v>
                </c:pt>
                <c:pt idx="11">
                  <c:v>2.5656986373751431</c:v>
                </c:pt>
                <c:pt idx="12">
                  <c:v>3.3132920170041014</c:v>
                </c:pt>
                <c:pt idx="13">
                  <c:v>4.1532969241285462</c:v>
                </c:pt>
                <c:pt idx="14">
                  <c:v>5.0812612347879424</c:v>
                </c:pt>
                <c:pt idx="15">
                  <c:v>6.092537079807343</c:v>
                </c:pt>
                <c:pt idx="16">
                  <c:v>7.1824582640566783</c:v>
                </c:pt>
                <c:pt idx="17">
                  <c:v>8.3464535103583923</c:v>
                </c:pt>
                <c:pt idx="18">
                  <c:v>9.5801159590094702</c:v>
                </c:pt>
                <c:pt idx="19">
                  <c:v>10.87924313868019</c:v>
                </c:pt>
                <c:pt idx="20">
                  <c:v>12.239857206089146</c:v>
                </c:pt>
                <c:pt idx="21">
                  <c:v>13.658212169295858</c:v>
                </c:pt>
                <c:pt idx="22">
                  <c:v>15.130792679364992</c:v>
                </c:pt>
                <c:pt idx="23">
                  <c:v>16.654307509990229</c:v>
                </c:pt>
                <c:pt idx="24">
                  <c:v>18.225679838771018</c:v>
                </c:pt>
                <c:pt idx="25">
                  <c:v>19.842035753641614</c:v>
                </c:pt>
                <c:pt idx="26">
                  <c:v>21.500691934441555</c:v>
                </c:pt>
                <c:pt idx="27">
                  <c:v>23.199143134884423</c:v>
                </c:pt>
                <c:pt idx="28">
                  <c:v>24.935049867737622</c:v>
                </c:pt>
                <c:pt idx="29">
                  <c:v>26.706226544028677</c:v>
                </c:pt>
                <c:pt idx="30">
                  <c:v>28.51063021369319</c:v>
                </c:pt>
                <c:pt idx="31">
                  <c:v>30.346349985246217</c:v>
                </c:pt>
                <c:pt idx="32">
                  <c:v>32.211597155421607</c:v>
                </c:pt>
                <c:pt idx="33">
                  <c:v>34.104696049112768</c:v>
                </c:pt>
                <c:pt idx="34">
                  <c:v>36.024075550383714</c:v>
                </c:pt>
                <c:pt idx="35">
                  <c:v>37.968261293348284</c:v>
                </c:pt>
                <c:pt idx="36">
                  <c:v>39.935868474924106</c:v>
                </c:pt>
                <c:pt idx="37">
                  <c:v>41.925595248187328</c:v>
                </c:pt>
                <c:pt idx="38">
                  <c:v>43.936216654106509</c:v>
                </c:pt>
                <c:pt idx="39">
                  <c:v>45.966579050016698</c:v>
                </c:pt>
                <c:pt idx="40">
                  <c:v>48.015594994736851</c:v>
                </c:pt>
                <c:pt idx="41">
                  <c:v>50.082238552351534</c:v>
                </c:pt>
                <c:pt idx="42">
                  <c:v>52.165540979102438</c:v>
                </c:pt>
                <c:pt idx="43">
                  <c:v>54.26458676039227</c:v>
                </c:pt>
                <c:pt idx="44">
                  <c:v>56.378509967464879</c:v>
                </c:pt>
                <c:pt idx="45">
                  <c:v>58.50649090582538</c:v>
                </c:pt>
                <c:pt idx="46">
                  <c:v>60.647753029843891</c:v>
                </c:pt>
                <c:pt idx="47">
                  <c:v>62.801560100228379</c:v>
                </c:pt>
                <c:pt idx="48">
                  <c:v>64.967213563133981</c:v>
                </c:pt>
                <c:pt idx="49">
                  <c:v>67.144050131601475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BB-47C4-986B-44CB287F248A}"/>
            </c:ext>
          </c:extLst>
        </c:ser>
        <c:ser>
          <c:idx val="2"/>
          <c:order val="2"/>
          <c:tx>
            <c:strRef>
              <c:f>Rho!$B$26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Rho!$C$26:$AZ$26</c:f>
              <c:numCache>
                <c:formatCode>General</c:formatCode>
                <c:ptCount val="50"/>
                <c:pt idx="0">
                  <c:v>7.7692467200589768E-8</c:v>
                </c:pt>
                <c:pt idx="1">
                  <c:v>6.0569776566511083E-4</c:v>
                </c:pt>
                <c:pt idx="2">
                  <c:v>1.534011080390588E-2</c:v>
                </c:pt>
                <c:pt idx="3">
                  <c:v>8.6710702538517662E-2</c:v>
                </c:pt>
                <c:pt idx="4">
                  <c:v>0.26230859396038003</c:v>
                </c:pt>
                <c:pt idx="5">
                  <c:v>0.5734265004042175</c:v>
                </c:pt>
                <c:pt idx="6">
                  <c:v>1.0340638105047826</c:v>
                </c:pt>
                <c:pt idx="7">
                  <c:v>1.646394957929183</c:v>
                </c:pt>
                <c:pt idx="8">
                  <c:v>2.405785146566469</c:v>
                </c:pt>
                <c:pt idx="9">
                  <c:v>3.304136103382104</c:v>
                </c:pt>
                <c:pt idx="10">
                  <c:v>4.3318818957364229</c:v>
                </c:pt>
                <c:pt idx="11">
                  <c:v>5.4791111632357179</c:v>
                </c:pt>
                <c:pt idx="12">
                  <c:v>6.7361665658423568</c:v>
                </c:pt>
                <c:pt idx="13">
                  <c:v>8.0939423223301432</c:v>
                </c:pt>
                <c:pt idx="14">
                  <c:v>9.5440112877234498</c:v>
                </c:pt>
                <c:pt idx="15">
                  <c:v>11.07865801382964</c:v>
                </c:pt>
                <c:pt idx="16">
                  <c:v>12.690861768237383</c:v>
                </c:pt>
                <c:pt idx="17">
                  <c:v>14.374254610088256</c:v>
                </c:pt>
                <c:pt idx="18">
                  <c:v>16.123068697306845</c:v>
                </c:pt>
                <c:pt idx="19">
                  <c:v>17.932080685197072</c:v>
                </c:pt>
                <c:pt idx="20">
                  <c:v>19.796557429768221</c:v>
                </c:pt>
                <c:pt idx="21">
                  <c:v>21.71220511144352</c:v>
                </c:pt>
                <c:pt idx="22">
                  <c:v>23.675122699219465</c:v>
                </c:pt>
                <c:pt idx="23">
                  <c:v>25.681760006467449</c:v>
                </c:pt>
                <c:pt idx="24">
                  <c:v>27.728880228186494</c:v>
                </c:pt>
                <c:pt idx="25">
                  <c:v>29.813526666920975</c:v>
                </c:pt>
                <c:pt idx="26">
                  <c:v>31.932993274853292</c:v>
                </c:pt>
                <c:pt idx="27">
                  <c:v>34.084798617924264</c:v>
                </c:pt>
                <c:pt idx="28">
                  <c:v>36.266662877750207</c:v>
                </c:pt>
                <c:pt idx="29">
                  <c:v>38.476487533043752</c:v>
                </c:pt>
                <c:pt idx="30">
                  <c:v>40.712337395186672</c:v>
                </c:pt>
                <c:pt idx="31">
                  <c:v>42.972424707413914</c:v>
                </c:pt>
                <c:pt idx="32">
                  <c:v>45.255095050950594</c:v>
                </c:pt>
                <c:pt idx="33">
                  <c:v>47.558814832967052</c:v>
                </c:pt>
                <c:pt idx="34">
                  <c:v>49.882160159760595</c:v>
                </c:pt>
                <c:pt idx="35">
                  <c:v>52.223806923973669</c:v>
                </c:pt>
                <c:pt idx="36">
                  <c:v>54.582521957005312</c:v>
                </c:pt>
                <c:pt idx="37">
                  <c:v>56.957155117287257</c:v>
                </c:pt>
                <c:pt idx="38">
                  <c:v>59.346632202049058</c:v>
                </c:pt>
                <c:pt idx="39">
                  <c:v>61.749948584880109</c:v>
                </c:pt>
                <c:pt idx="40">
                  <c:v>64.166163494086987</c:v>
                </c:pt>
                <c:pt idx="41">
                  <c:v>66.594394857805327</c:v>
                </c:pt>
                <c:pt idx="42">
                  <c:v>69.033814651285141</c:v>
                </c:pt>
                <c:pt idx="43">
                  <c:v>71.483644689938984</c:v>
                </c:pt>
                <c:pt idx="44">
                  <c:v>73.943152818799888</c:v>
                </c:pt>
                <c:pt idx="45">
                  <c:v>76.411649455140548</c:v>
                </c:pt>
                <c:pt idx="46">
                  <c:v>78.888484446288842</c:v>
                </c:pt>
                <c:pt idx="47">
                  <c:v>81.373044209257458</c:v>
                </c:pt>
                <c:pt idx="48">
                  <c:v>83.864749122779898</c:v>
                </c:pt>
                <c:pt idx="49">
                  <c:v>86.363051145805372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BB-47C4-986B-44CB287F248A}"/>
            </c:ext>
          </c:extLst>
        </c:ser>
        <c:ser>
          <c:idx val="3"/>
          <c:order val="3"/>
          <c:tx>
            <c:strRef>
              <c:f>Rho!$B$27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Rho!$C$27:$AZ$27</c:f>
              <c:numCache>
                <c:formatCode>General</c:formatCode>
                <c:ptCount val="50"/>
                <c:pt idx="0">
                  <c:v>2.5013539023405381E-5</c:v>
                </c:pt>
                <c:pt idx="1">
                  <c:v>1.1981739309242231E-2</c:v>
                </c:pt>
                <c:pt idx="2">
                  <c:v>0.11911631216126903</c:v>
                </c:pt>
                <c:pt idx="3">
                  <c:v>0.42058365657656555</c:v>
                </c:pt>
                <c:pt idx="4">
                  <c:v>0.95750502791312686</c:v>
                </c:pt>
                <c:pt idx="5">
                  <c:v>1.7295450873604499</c:v>
                </c:pt>
                <c:pt idx="6">
                  <c:v>2.7188766452768527</c:v>
                </c:pt>
                <c:pt idx="7">
                  <c:v>3.9025965710024675</c:v>
                </c:pt>
                <c:pt idx="8">
                  <c:v>5.2579361449743303</c:v>
                </c:pt>
                <c:pt idx="9">
                  <c:v>6.7641543932963408</c:v>
                </c:pt>
                <c:pt idx="10">
                  <c:v>8.4030308717272728</c:v>
                </c:pt>
                <c:pt idx="11">
                  <c:v>10.15880318467277</c:v>
                </c:pt>
                <c:pt idx="12">
                  <c:v>12.017909874322465</c:v>
                </c:pt>
                <c:pt idx="13">
                  <c:v>13.968688572840152</c:v>
                </c:pt>
                <c:pt idx="14">
                  <c:v>16.001088392431054</c:v>
                </c:pt>
                <c:pt idx="15">
                  <c:v>18.106416584304746</c:v>
                </c:pt>
                <c:pt idx="16">
                  <c:v>20.277123214968302</c:v>
                </c:pt>
                <c:pt idx="17">
                  <c:v>22.506621239391059</c:v>
                </c:pt>
                <c:pt idx="18">
                  <c:v>24.78913728352466</c:v>
                </c:pt>
                <c:pt idx="19">
                  <c:v>27.119588189475021</c:v>
                </c:pt>
                <c:pt idx="20">
                  <c:v>29.493478815840803</c:v>
                </c:pt>
                <c:pt idx="21">
                  <c:v>31.906817236753756</c:v>
                </c:pt>
                <c:pt idx="22">
                  <c:v>34.356044141419865</c:v>
                </c:pt>
                <c:pt idx="23">
                  <c:v>36.837973824114073</c:v>
                </c:pt>
                <c:pt idx="24">
                  <c:v>39.349744651422256</c:v>
                </c:pt>
                <c:pt idx="25">
                  <c:v>41.888777301333477</c:v>
                </c:pt>
                <c:pt idx="26">
                  <c:v>44.452739398440251</c:v>
                </c:pt>
                <c:pt idx="27">
                  <c:v>47.039515433903119</c:v>
                </c:pt>
                <c:pt idx="28">
                  <c:v>49.647181070167512</c:v>
                </c:pt>
                <c:pt idx="29">
                  <c:v>52.273981099216769</c:v>
                </c:pt>
                <c:pt idx="30">
                  <c:v>54.918310458108792</c:v>
                </c:pt>
                <c:pt idx="31">
                  <c:v>57.578697813686546</c:v>
                </c:pt>
                <c:pt idx="32">
                  <c:v>60.25379131526072</c:v>
                </c:pt>
                <c:pt idx="33">
                  <c:v>62.942346184137541</c:v>
                </c:pt>
                <c:pt idx="34">
                  <c:v>65.643213865578119</c:v>
                </c:pt>
                <c:pt idx="35">
                  <c:v>68.355332514849195</c:v>
                </c:pt>
                <c:pt idx="36">
                  <c:v>71.077718626603442</c:v>
                </c:pt>
                <c:pt idx="37">
                  <c:v>73.809459647599155</c:v>
                </c:pt>
                <c:pt idx="38">
                  <c:v>76.549707438064772</c:v>
                </c:pt>
                <c:pt idx="39">
                  <c:v>79.297672467890507</c:v>
                </c:pt>
                <c:pt idx="40">
                  <c:v>82.052618651126167</c:v>
                </c:pt>
                <c:pt idx="41">
                  <c:v>84.81385873664432</c:v>
                </c:pt>
                <c:pt idx="42">
                  <c:v>87.580750184835395</c:v>
                </c:pt>
                <c:pt idx="43">
                  <c:v>90.352691470252978</c:v>
                </c:pt>
                <c:pt idx="44">
                  <c:v>93.129118758581356</c:v>
                </c:pt>
                <c:pt idx="45">
                  <c:v>95.909502913423822</c:v>
                </c:pt>
                <c:pt idx="46">
                  <c:v>98.693346794441155</c:v>
                </c:pt>
                <c:pt idx="47">
                  <c:v>101.48018281348976</c:v>
                </c:pt>
                <c:pt idx="48">
                  <c:v>104.26957071976643</c:v>
                </c:pt>
                <c:pt idx="49">
                  <c:v>107.06109558869028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DBB-47C4-986B-44CB287F248A}"/>
            </c:ext>
          </c:extLst>
        </c:ser>
        <c:ser>
          <c:idx val="4"/>
          <c:order val="4"/>
          <c:tx>
            <c:strRef>
              <c:f>Rho!$B$28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Rho!$C$28:$AZ$28</c:f>
              <c:numCache>
                <c:formatCode>General</c:formatCode>
                <c:ptCount val="50"/>
                <c:pt idx="0">
                  <c:v>1.9684019476440347E-3</c:v>
                </c:pt>
                <c:pt idx="1">
                  <c:v>0.1180615367981647</c:v>
                </c:pt>
                <c:pt idx="2">
                  <c:v>0.58294742224800933</c:v>
                </c:pt>
                <c:pt idx="3">
                  <c:v>1.4449660567580993</c:v>
                </c:pt>
                <c:pt idx="4">
                  <c:v>2.6541221761136979</c:v>
                </c:pt>
                <c:pt idx="5">
                  <c:v>4.1483206002554978</c:v>
                </c:pt>
                <c:pt idx="6">
                  <c:v>5.8743138124230585</c:v>
                </c:pt>
                <c:pt idx="7">
                  <c:v>7.789892042713972</c:v>
                </c:pt>
                <c:pt idx="8">
                  <c:v>9.8621140558168001</c:v>
                </c:pt>
                <c:pt idx="9">
                  <c:v>12.065171933845738</c:v>
                </c:pt>
                <c:pt idx="10">
                  <c:v>14.378633795122116</c:v>
                </c:pt>
                <c:pt idx="11">
                  <c:v>16.786122169628204</c:v>
                </c:pt>
                <c:pt idx="12">
                  <c:v>19.274344116905304</c:v>
                </c:pt>
                <c:pt idx="13">
                  <c:v>21.832380910501634</c:v>
                </c:pt>
                <c:pt idx="14">
                  <c:v>24.451164204710715</c:v>
                </c:pt>
                <c:pt idx="15">
                  <c:v>27.123085619664508</c:v>
                </c:pt>
                <c:pt idx="16">
                  <c:v>29.841702285697167</c:v>
                </c:pt>
                <c:pt idx="17">
                  <c:v>32.601512057808698</c:v>
                </c:pt>
                <c:pt idx="18">
                  <c:v>35.397779879192306</c:v>
                </c:pt>
                <c:pt idx="19">
                  <c:v>38.22640213674083</c:v>
                </c:pt>
                <c:pt idx="20">
                  <c:v>41.083799564971017</c:v>
                </c:pt>
                <c:pt idx="21">
                  <c:v>43.966831844508796</c:v>
                </c:pt>
                <c:pt idx="22">
                  <c:v>46.872728864542019</c:v>
                </c:pt>
                <c:pt idx="23">
                  <c:v>49.799034915873591</c:v>
                </c:pt>
                <c:pt idx="24">
                  <c:v>52.743563014208014</c:v>
                </c:pt>
                <c:pt idx="25">
                  <c:v>55.704357231611681</c:v>
                </c:pt>
                <c:pt idx="26">
                  <c:v>58.679661412429049</c:v>
                </c:pt>
                <c:pt idx="27">
                  <c:v>61.667893019789602</c:v>
                </c:pt>
                <c:pt idx="28">
                  <c:v>64.667621136003277</c:v>
                </c:pt>
                <c:pt idx="29">
                  <c:v>67.677547849775834</c:v>
                </c:pt>
                <c:pt idx="30">
                  <c:v>70.696492423128163</c:v>
                </c:pt>
                <c:pt idx="31">
                  <c:v>73.723377753975456</c:v>
                </c:pt>
                <c:pt idx="32">
                  <c:v>76.75721874576729</c:v>
                </c:pt>
                <c:pt idx="33">
                  <c:v>79.797112270167347</c:v>
                </c:pt>
                <c:pt idx="34">
                  <c:v>82.842228467442666</c:v>
                </c:pt>
                <c:pt idx="35">
                  <c:v>85.891803175732647</c:v>
                </c:pt>
                <c:pt idx="36">
                  <c:v>88.945131317447064</c:v>
                </c:pt>
                <c:pt idx="37">
                  <c:v>92.001561100792188</c:v>
                </c:pt>
                <c:pt idx="38">
                  <c:v>95.060488918429073</c:v>
                </c:pt>
                <c:pt idx="39">
                  <c:v>98.121354844747401</c:v>
                </c:pt>
                <c:pt idx="40">
                  <c:v>101.18363864912843</c:v>
                </c:pt>
                <c:pt idx="41">
                  <c:v>104.24685625559538</c:v>
                </c:pt>
                <c:pt idx="42">
                  <c:v>107.31055658998162</c:v>
                </c:pt>
                <c:pt idx="43">
                  <c:v>110.37431876462547</c:v>
                </c:pt>
                <c:pt idx="44">
                  <c:v>113.43774955798116</c:v>
                </c:pt>
                <c:pt idx="45">
                  <c:v>116.50048115269567</c:v>
                </c:pt>
                <c:pt idx="46">
                  <c:v>119.56216910086258</c:v>
                </c:pt>
                <c:pt idx="47">
                  <c:v>122.62249048950535</c:v>
                </c:pt>
                <c:pt idx="48">
                  <c:v>125.68114228301118</c:v>
                </c:pt>
                <c:pt idx="49">
                  <c:v>128.73783982233832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BB-47C4-986B-44CB287F248A}"/>
            </c:ext>
          </c:extLst>
        </c:ser>
        <c:ser>
          <c:idx val="5"/>
          <c:order val="5"/>
          <c:tx>
            <c:strRef>
              <c:f>Rho!$B$29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Rho!$C$29:$AZ$29</c:f>
              <c:numCache>
                <c:formatCode>General</c:formatCode>
                <c:ptCount val="50"/>
                <c:pt idx="0">
                  <c:v>4.8575796157643729E-2</c:v>
                </c:pt>
                <c:pt idx="1">
                  <c:v>0.65728086131009644</c:v>
                </c:pt>
                <c:pt idx="2">
                  <c:v>1.9560484482833891</c:v>
                </c:pt>
                <c:pt idx="3">
                  <c:v>3.7454643863001085</c:v>
                </c:pt>
                <c:pt idx="4">
                  <c:v>5.8755556011287497</c:v>
                </c:pt>
                <c:pt idx="5">
                  <c:v>8.2510457333700931</c:v>
                </c:pt>
                <c:pt idx="6">
                  <c:v>10.810010394461255</c:v>
                </c:pt>
                <c:pt idx="7">
                  <c:v>13.510429218050069</c:v>
                </c:pt>
                <c:pt idx="8">
                  <c:v>16.322605204399803</c:v>
                </c:pt>
                <c:pt idx="9">
                  <c:v>19.224806199408725</c:v>
                </c:pt>
                <c:pt idx="10">
                  <c:v>22.200655438282514</c:v>
                </c:pt>
                <c:pt idx="11">
                  <c:v>25.237503391980841</c:v>
                </c:pt>
                <c:pt idx="12">
                  <c:v>28.325372917836884</c:v>
                </c:pt>
                <c:pt idx="13">
                  <c:v>31.456252725055538</c:v>
                </c:pt>
                <c:pt idx="14">
                  <c:v>34.623610135402544</c:v>
                </c:pt>
                <c:pt idx="15">
                  <c:v>37.822046368765946</c:v>
                </c:pt>
                <c:pt idx="16">
                  <c:v>41.047047109998687</c:v>
                </c:pt>
                <c:pt idx="17">
                  <c:v>44.29479839044366</c:v>
                </c:pt>
                <c:pt idx="18">
                  <c:v>47.562048253387928</c:v>
                </c:pt>
                <c:pt idx="19">
                  <c:v>50.84600116043957</c:v>
                </c:pt>
                <c:pt idx="20">
                  <c:v>54.144236235503264</c:v>
                </c:pt>
                <c:pt idx="21">
                  <c:v>57.454643147436421</c:v>
                </c:pt>
                <c:pt idx="22">
                  <c:v>60.775371237375836</c:v>
                </c:pt>
                <c:pt idx="23">
                  <c:v>64.104788724949771</c:v>
                </c:pt>
                <c:pt idx="24">
                  <c:v>67.441449678335204</c:v>
                </c:pt>
                <c:pt idx="25">
                  <c:v>70.784067032038806</c:v>
                </c:pt>
                <c:pt idx="26">
                  <c:v>74.131490364242993</c:v>
                </c:pt>
                <c:pt idx="27">
                  <c:v>77.482687455586188</c:v>
                </c:pt>
                <c:pt idx="28">
                  <c:v>80.836728878703227</c:v>
                </c:pt>
                <c:pt idx="29">
                  <c:v>84.192775036698535</c:v>
                </c:pt>
                <c:pt idx="30">
                  <c:v>87.550065195435067</c:v>
                </c:pt>
                <c:pt idx="31">
                  <c:v>90.907908150582742</c:v>
                </c:pt>
                <c:pt idx="32">
                  <c:v>94.265674243884348</c:v>
                </c:pt>
                <c:pt idx="33">
                  <c:v>97.622788499859027</c:v>
                </c:pt>
                <c:pt idx="34">
                  <c:v>100.97872469835293</c:v>
                </c:pt>
                <c:pt idx="35">
                  <c:v>104.33300023301875</c:v>
                </c:pt>
                <c:pt idx="36">
                  <c:v>107.68517163320975</c:v>
                </c:pt>
                <c:pt idx="37">
                  <c:v>111.03483064858204</c:v>
                </c:pt>
                <c:pt idx="38">
                  <c:v>114.38160081316781</c:v>
                </c:pt>
                <c:pt idx="39">
                  <c:v>117.72513441976241</c:v>
                </c:pt>
                <c:pt idx="40">
                  <c:v>121.06510984688187</c:v>
                </c:pt>
                <c:pt idx="41">
                  <c:v>124.40122918985024</c:v>
                </c:pt>
                <c:pt idx="42">
                  <c:v>127.73321615520189</c:v>
                </c:pt>
                <c:pt idx="43">
                  <c:v>131.06081418386034</c:v>
                </c:pt>
                <c:pt idx="44">
                  <c:v>134.38378477375133</c:v>
                </c:pt>
                <c:pt idx="45">
                  <c:v>137.70190597682489</c:v>
                </c:pt>
                <c:pt idx="46">
                  <c:v>141.01497104906602</c:v>
                </c:pt>
                <c:pt idx="47">
                  <c:v>144.3227872350929</c:v>
                </c:pt>
                <c:pt idx="48">
                  <c:v>147.62517467148643</c:v>
                </c:pt>
                <c:pt idx="49">
                  <c:v>150.92196539513881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DBB-47C4-986B-44CB287F248A}"/>
            </c:ext>
          </c:extLst>
        </c:ser>
        <c:ser>
          <c:idx val="6"/>
          <c:order val="6"/>
          <c:tx>
            <c:strRef>
              <c:f>Rho!$B$30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Rho!$C$30:$AZ$30</c:f>
              <c:numCache>
                <c:formatCode>General</c:formatCode>
                <c:ptCount val="50"/>
                <c:pt idx="0">
                  <c:v>0.4626650529105753</c:v>
                </c:pt>
                <c:pt idx="1">
                  <c:v>2.2955278113909658</c:v>
                </c:pt>
                <c:pt idx="2">
                  <c:v>4.8240469025865851</c:v>
                </c:pt>
                <c:pt idx="3">
                  <c:v>7.7145681524544081</c:v>
                </c:pt>
                <c:pt idx="4">
                  <c:v>10.825115598149127</c:v>
                </c:pt>
                <c:pt idx="5">
                  <c:v>14.082638092999991</c:v>
                </c:pt>
                <c:pt idx="6">
                  <c:v>17.444422479079947</c:v>
                </c:pt>
                <c:pt idx="7">
                  <c:v>20.88321053401625</c:v>
                </c:pt>
                <c:pt idx="8">
                  <c:v>24.380474754909542</c:v>
                </c:pt>
                <c:pt idx="9">
                  <c:v>27.923010462044491</c:v>
                </c:pt>
                <c:pt idx="10">
                  <c:v>31.50105316370545</c:v>
                </c:pt>
                <c:pt idx="11">
                  <c:v>35.107166599865053</c:v>
                </c:pt>
                <c:pt idx="12">
                  <c:v>38.735549995307935</c:v>
                </c:pt>
                <c:pt idx="13">
                  <c:v>42.381587281856397</c:v>
                </c:pt>
                <c:pt idx="14">
                  <c:v>46.04154296658006</c:v>
                </c:pt>
                <c:pt idx="15">
                  <c:v>49.71235057586442</c:v>
                </c:pt>
                <c:pt idx="16">
                  <c:v>53.391461600734104</c:v>
                </c:pt>
                <c:pt idx="17">
                  <c:v>57.076735176127826</c:v>
                </c:pt>
                <c:pt idx="18">
                  <c:v>60.766355903599489</c:v>
                </c:pt>
                <c:pt idx="19">
                  <c:v>64.458771564347103</c:v>
                </c:pt>
                <c:pt idx="20">
                  <c:v>68.152645174199264</c:v>
                </c:pt>
                <c:pt idx="21">
                  <c:v>71.846817566007715</c:v>
                </c:pt>
                <c:pt idx="22">
                  <c:v>75.54027782393409</c:v>
                </c:pt>
                <c:pt idx="23">
                  <c:v>79.232139659027411</c:v>
                </c:pt>
                <c:pt idx="24">
                  <c:v>82.92162233940337</c:v>
                </c:pt>
                <c:pt idx="25">
                  <c:v>86.608035153663209</c:v>
                </c:pt>
                <c:pt idx="26">
                  <c:v>90.290764645104232</c:v>
                </c:pt>
                <c:pt idx="27">
                  <c:v>93.969264040521296</c:v>
                </c:pt>
                <c:pt idx="28">
                  <c:v>97.64304443320593</c:v>
                </c:pt>
                <c:pt idx="29">
                  <c:v>101.31166738002781</c:v>
                </c:pt>
                <c:pt idx="30">
                  <c:v>104.97473864738936</c:v>
                </c:pt>
                <c:pt idx="31">
                  <c:v>108.63190289739578</c:v>
                </c:pt>
                <c:pt idx="32">
                  <c:v>112.28283914871017</c:v>
                </c:pt>
                <c:pt idx="33">
                  <c:v>115.92725687975471</c:v>
                </c:pt>
                <c:pt idx="34">
                  <c:v>119.56489266768591</c:v>
                </c:pt>
                <c:pt idx="35">
                  <c:v>123.19550727674068</c:v>
                </c:pt>
                <c:pt idx="36">
                  <c:v>126.81888312545209</c:v>
                </c:pt>
                <c:pt idx="37">
                  <c:v>130.4348220748661</c:v>
                </c:pt>
                <c:pt idx="38">
                  <c:v>134.04314348998923</c:v>
                </c:pt>
                <c:pt idx="39">
                  <c:v>137.64368253482539</c:v>
                </c:pt>
                <c:pt idx="40">
                  <c:v>141.23628866793706</c:v>
                </c:pt>
                <c:pt idx="41">
                  <c:v>144.82082431082208</c:v>
                </c:pt>
                <c:pt idx="42">
                  <c:v>148.39716366577977</c:v>
                </c:pt>
                <c:pt idx="43">
                  <c:v>151.96519166354591</c:v>
                </c:pt>
                <c:pt idx="44">
                  <c:v>155.52480302395517</c:v>
                </c:pt>
                <c:pt idx="45">
                  <c:v>159.07590141536525</c:v>
                </c:pt>
                <c:pt idx="46">
                  <c:v>162.61839870064031</c:v>
                </c:pt>
                <c:pt idx="47">
                  <c:v>166.15221425921877</c:v>
                </c:pt>
                <c:pt idx="48">
                  <c:v>169.67727437624592</c:v>
                </c:pt>
                <c:pt idx="49">
                  <c:v>173.19351169097621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DBB-47C4-986B-44CB287F248A}"/>
            </c:ext>
          </c:extLst>
        </c:ser>
        <c:ser>
          <c:idx val="7"/>
          <c:order val="7"/>
          <c:tx>
            <c:strRef>
              <c:f>Rho!$B$31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Rho!$C$31:$AZ$31</c:f>
              <c:numCache>
                <c:formatCode>General</c:formatCode>
                <c:ptCount val="50"/>
                <c:pt idx="0">
                  <c:v>2.0396276517295933</c:v>
                </c:pt>
                <c:pt idx="1">
                  <c:v>5.5018256030450026</c:v>
                </c:pt>
                <c:pt idx="2">
                  <c:v>9.274491325250402</c:v>
                </c:pt>
                <c:pt idx="3">
                  <c:v>13.187458778736868</c:v>
                </c:pt>
                <c:pt idx="4">
                  <c:v>17.178656648502812</c:v>
                </c:pt>
                <c:pt idx="5">
                  <c:v>21.217661617090137</c:v>
                </c:pt>
                <c:pt idx="6">
                  <c:v>25.287075576346901</c:v>
                </c:pt>
                <c:pt idx="7">
                  <c:v>29.375944234947269</c:v>
                </c:pt>
                <c:pt idx="8">
                  <c:v>33.476899762460491</c:v>
                </c:pt>
                <c:pt idx="9">
                  <c:v>37.584742260070186</c:v>
                </c:pt>
                <c:pt idx="10">
                  <c:v>41.695665141994091</c:v>
                </c:pt>
                <c:pt idx="11">
                  <c:v>45.806800765768735</c:v>
                </c:pt>
                <c:pt idx="12">
                  <c:v>49.915938601444758</c:v>
                </c:pt>
                <c:pt idx="13">
                  <c:v>54.021342395339097</c:v>
                </c:pt>
                <c:pt idx="14">
                  <c:v>58.121627097547538</c:v>
                </c:pt>
                <c:pt idx="15">
                  <c:v>62.215673419563089</c:v>
                </c:pt>
                <c:pt idx="16">
                  <c:v>66.302566939149727</c:v>
                </c:pt>
                <c:pt idx="17">
                  <c:v>70.381553709148278</c:v>
                </c:pt>
                <c:pt idx="18">
                  <c:v>74.452007255718641</c:v>
                </c:pt>
                <c:pt idx="19">
                  <c:v>78.513403617493836</c:v>
                </c:pt>
                <c:pt idx="20">
                  <c:v>82.565302176554468</c:v>
                </c:pt>
                <c:pt idx="21">
                  <c:v>86.607330736097779</c:v>
                </c:pt>
                <c:pt idx="22">
                  <c:v>90.639173761767353</c:v>
                </c:pt>
                <c:pt idx="23">
                  <c:v>94.660563013729742</c:v>
                </c:pt>
                <c:pt idx="24">
                  <c:v>98.671270008894524</c:v>
                </c:pt>
                <c:pt idx="25">
                  <c:v>102.67109990065613</c:v>
                </c:pt>
                <c:pt idx="26">
                  <c:v>106.6598864683713</c:v>
                </c:pt>
                <c:pt idx="27">
                  <c:v>110.63748798417035</c:v>
                </c:pt>
                <c:pt idx="28">
                  <c:v>114.60378377964308</c:v>
                </c:pt>
                <c:pt idx="29">
                  <c:v>118.55867137549208</c:v>
                </c:pt>
                <c:pt idx="30">
                  <c:v>122.50206406752034</c:v>
                </c:pt>
                <c:pt idx="31">
                  <c:v>126.43388888516343</c:v>
                </c:pt>
                <c:pt idx="32">
                  <c:v>130.3540848561853</c:v>
                </c:pt>
                <c:pt idx="33">
                  <c:v>134.26260152454489</c:v>
                </c:pt>
                <c:pt idx="34">
                  <c:v>138.15939767882602</c:v>
                </c:pt>
                <c:pt idx="35">
                  <c:v>142.04444025674437</c:v>
                </c:pt>
                <c:pt idx="36">
                  <c:v>145.91770339764236</c:v>
                </c:pt>
                <c:pt idx="37">
                  <c:v>149.77916761995968</c:v>
                </c:pt>
                <c:pt idx="38">
                  <c:v>153.62881910472007</c:v>
                </c:pt>
                <c:pt idx="39">
                  <c:v>157.46664906933412</c:v>
                </c:pt>
                <c:pt idx="40">
                  <c:v>161.29265321865159</c:v>
                </c:pt>
                <c:pt idx="41">
                  <c:v>165.10683126233729</c:v>
                </c:pt>
                <c:pt idx="42">
                  <c:v>168.90918648939524</c:v>
                </c:pt>
                <c:pt idx="43">
                  <c:v>172.69972539210301</c:v>
                </c:pt>
                <c:pt idx="44">
                  <c:v>176.47845733280363</c:v>
                </c:pt>
                <c:pt idx="45">
                  <c:v>180.24539424798658</c:v>
                </c:pt>
                <c:pt idx="46">
                  <c:v>184.00055038490723</c:v>
                </c:pt>
                <c:pt idx="47">
                  <c:v>187.7439420666787</c:v>
                </c:pt>
                <c:pt idx="48">
                  <c:v>191.47558748234448</c:v>
                </c:pt>
                <c:pt idx="49">
                  <c:v>195.1955064989242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DBB-47C4-986B-44CB287F248A}"/>
            </c:ext>
          </c:extLst>
        </c:ser>
        <c:ser>
          <c:idx val="8"/>
          <c:order val="8"/>
          <c:tx>
            <c:strRef>
              <c:f>Rho!$B$32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Rho!$C$32:$AZ$32</c:f>
              <c:numCache>
                <c:formatCode>General</c:formatCode>
                <c:ptCount val="50"/>
                <c:pt idx="0">
                  <c:v>4.9319898584384116</c:v>
                </c:pt>
                <c:pt idx="1">
                  <c:v>9.8019788801767245</c:v>
                </c:pt>
                <c:pt idx="2">
                  <c:v>14.628325566737617</c:v>
                </c:pt>
                <c:pt idx="3">
                  <c:v>19.417631512966548</c:v>
                </c:pt>
                <c:pt idx="4">
                  <c:v>24.173738548666901</c:v>
                </c:pt>
                <c:pt idx="5">
                  <c:v>28.899256857821797</c:v>
                </c:pt>
                <c:pt idx="6">
                  <c:v>33.596116095735589</c:v>
                </c:pt>
                <c:pt idx="7">
                  <c:v>38.265821976803814</c:v>
                </c:pt>
                <c:pt idx="8">
                  <c:v>42.909594584950781</c:v>
                </c:pt>
                <c:pt idx="9">
                  <c:v>47.528450546914641</c:v>
                </c:pt>
                <c:pt idx="10">
                  <c:v>52.123255391929909</c:v>
                </c:pt>
                <c:pt idx="11">
                  <c:v>56.694758730344901</c:v>
                </c:pt>
                <c:pt idx="12">
                  <c:v>61.243618893738955</c:v>
                </c:pt>
                <c:pt idx="13">
                  <c:v>65.770420783846205</c:v>
                </c:pt>
                <c:pt idx="14">
                  <c:v>70.275689165990372</c:v>
                </c:pt>
                <c:pt idx="15">
                  <c:v>74.759898803298526</c:v>
                </c:pt>
                <c:pt idx="16">
                  <c:v>79.223482337588294</c:v>
                </c:pt>
                <c:pt idx="17">
                  <c:v>83.666836523960512</c:v>
                </c:pt>
                <c:pt idx="18">
                  <c:v>88.09032723730256</c:v>
                </c:pt>
                <c:pt idx="19">
                  <c:v>92.494293545844172</c:v>
                </c:pt>
                <c:pt idx="20">
                  <c:v>96.87905106450286</c:v>
                </c:pt>
                <c:pt idx="21">
                  <c:v>101.24489474425351</c:v>
                </c:pt>
                <c:pt idx="22">
                  <c:v>105.59210121418536</c:v>
                </c:pt>
                <c:pt idx="23">
                  <c:v>109.92093076467341</c:v>
                </c:pt>
                <c:pt idx="24">
                  <c:v>114.23162903959584</c:v>
                </c:pt>
                <c:pt idx="25">
                  <c:v>118.52442849042791</c:v>
                </c:pt>
                <c:pt idx="26">
                  <c:v>122.79954963375525</c:v>
                </c:pt>
                <c:pt idx="27">
                  <c:v>127.05720214521092</c:v>
                </c:pt>
                <c:pt idx="28">
                  <c:v>131.29758581630026</c:v>
                </c:pt>
                <c:pt idx="29">
                  <c:v>135.52089139551936</c:v>
                </c:pt>
                <c:pt idx="30">
                  <c:v>139.72730133121883</c:v>
                </c:pt>
                <c:pt idx="31">
                  <c:v>143.91699043054646</c:v>
                </c:pt>
                <c:pt idx="32">
                  <c:v>148.09012644632259</c:v>
                </c:pt>
                <c:pt idx="33">
                  <c:v>152.24687060171499</c:v>
                </c:pt>
                <c:pt idx="34">
                  <c:v>156.38737806097399</c:v>
                </c:pt>
                <c:pt idx="35">
                  <c:v>160.5117983531843</c:v>
                </c:pt>
                <c:pt idx="36">
                  <c:v>164.62027575492172</c:v>
                </c:pt>
                <c:pt idx="37">
                  <c:v>168.71294963682391</c:v>
                </c:pt>
                <c:pt idx="38">
                  <c:v>172.78995477835602</c:v>
                </c:pt>
                <c:pt idx="39">
                  <c:v>176.85142165444597</c:v>
                </c:pt>
                <c:pt idx="40">
                  <c:v>180.89747669715783</c:v>
                </c:pt>
                <c:pt idx="41">
                  <c:v>184.92824253514422</c:v>
                </c:pt>
                <c:pt idx="42">
                  <c:v>188.94383821325957</c:v>
                </c:pt>
                <c:pt idx="43">
                  <c:v>192.94437939441008</c:v>
                </c:pt>
                <c:pt idx="44">
                  <c:v>196.92997854545681</c:v>
                </c:pt>
                <c:pt idx="45">
                  <c:v>200.9007451087646</c:v>
                </c:pt>
                <c:pt idx="46">
                  <c:v>204.8567856608008</c:v>
                </c:pt>
                <c:pt idx="47">
                  <c:v>208.79820405902035</c:v>
                </c:pt>
                <c:pt idx="48">
                  <c:v>212.72510157813514</c:v>
                </c:pt>
                <c:pt idx="49">
                  <c:v>216.63757703673949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DBB-47C4-986B-44CB287F248A}"/>
            </c:ext>
          </c:extLst>
        </c:ser>
        <c:ser>
          <c:idx val="9"/>
          <c:order val="9"/>
          <c:tx>
            <c:strRef>
              <c:f>Rho!$B$33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Rho!$C$33:$AZ$33</c:f>
              <c:numCache>
                <c:formatCode>General</c:formatCode>
                <c:ptCount val="50"/>
                <c:pt idx="0">
                  <c:v>7.7428944428213189</c:v>
                </c:pt>
                <c:pt idx="1">
                  <c:v>13.963207315360487</c:v>
                </c:pt>
                <c:pt idx="2">
                  <c:v>19.801355879149479</c:v>
                </c:pt>
                <c:pt idx="3">
                  <c:v>25.432746553601699</c:v>
                </c:pt>
                <c:pt idx="4">
                  <c:v>30.924184743469109</c:v>
                </c:pt>
                <c:pt idx="5">
                  <c:v>36.309866980005239</c:v>
                </c:pt>
                <c:pt idx="6">
                  <c:v>41.610220083116062</c:v>
                </c:pt>
                <c:pt idx="7">
                  <c:v>46.838682825452473</c:v>
                </c:pt>
                <c:pt idx="8">
                  <c:v>52.00470479945416</c:v>
                </c:pt>
                <c:pt idx="9">
                  <c:v>57.115262574421607</c:v>
                </c:pt>
                <c:pt idx="10">
                  <c:v>62.175702748657528</c:v>
                </c:pt>
                <c:pt idx="11">
                  <c:v>67.190245447350335</c:v>
                </c:pt>
                <c:pt idx="12">
                  <c:v>72.162302281855588</c:v>
                </c:pt>
                <c:pt idx="13">
                  <c:v>77.094686351401819</c:v>
                </c:pt>
                <c:pt idx="14">
                  <c:v>81.989756152584818</c:v>
                </c:pt>
                <c:pt idx="15">
                  <c:v>86.849517290041277</c:v>
                </c:pt>
                <c:pt idx="16">
                  <c:v>91.675696274079556</c:v>
                </c:pt>
                <c:pt idx="17">
                  <c:v>96.469795289044669</c:v>
                </c:pt>
                <c:pt idx="18">
                  <c:v>101.23313364605735</c:v>
                </c:pt>
                <c:pt idx="19">
                  <c:v>105.96687970369521</c:v>
                </c:pt>
                <c:pt idx="20">
                  <c:v>110.67207582692566</c:v>
                </c:pt>
                <c:pt idx="21">
                  <c:v>115.34965817023266</c:v>
                </c:pt>
                <c:pt idx="22">
                  <c:v>120.00047255103472</c:v>
                </c:pt>
                <c:pt idx="23">
                  <c:v>124.62528732724441</c:v>
                </c:pt>
                <c:pt idx="24">
                  <c:v>129.22480394934576</c:v>
                </c:pt>
                <c:pt idx="25">
                  <c:v>133.79966568602867</c:v>
                </c:pt>
                <c:pt idx="26">
                  <c:v>138.35046489986854</c:v>
                </c:pt>
                <c:pt idx="27">
                  <c:v>142.87774916057003</c:v>
                </c:pt>
                <c:pt idx="28">
                  <c:v>147.38202641782578</c:v>
                </c:pt>
                <c:pt idx="29">
                  <c:v>151.86376940705392</c:v>
                </c:pt>
                <c:pt idx="30">
                  <c:v>156.32341942451029</c:v>
                </c:pt>
                <c:pt idx="31">
                  <c:v>160.76138958025473</c:v>
                </c:pt>
                <c:pt idx="32">
                  <c:v>165.17806761589924</c:v>
                </c:pt>
                <c:pt idx="33">
                  <c:v>169.57381835733025</c:v>
                </c:pt>
                <c:pt idx="34">
                  <c:v>173.94898585948812</c:v>
                </c:pt>
                <c:pt idx="35">
                  <c:v>178.30389528994112</c:v>
                </c:pt>
                <c:pt idx="36">
                  <c:v>182.63885458975815</c:v>
                </c:pt>
                <c:pt idx="37">
                  <c:v>186.95415594359221</c:v>
                </c:pt>
                <c:pt idx="38">
                  <c:v>191.25007708556808</c:v>
                </c:pt>
                <c:pt idx="39">
                  <c:v>195.52688246325391</c:v>
                </c:pt>
                <c:pt idx="40">
                  <c:v>199.78482427847447</c:v>
                </c:pt>
                <c:pt idx="41">
                  <c:v>204.02414342083242</c:v>
                </c:pt>
                <c:pt idx="42">
                  <c:v>208.24507030741754</c:v>
                </c:pt>
                <c:pt idx="43">
                  <c:v>212.44782564020832</c:v>
                </c:pt>
                <c:pt idx="44">
                  <c:v>216.63262109101836</c:v>
                </c:pt>
                <c:pt idx="45">
                  <c:v>220.79965992246093</c:v>
                </c:pt>
                <c:pt idx="46">
                  <c:v>224.94913755224721</c:v>
                </c:pt>
                <c:pt idx="47">
                  <c:v>229.08124206714945</c:v>
                </c:pt>
                <c:pt idx="48">
                  <c:v>233.19615469213571</c:v>
                </c:pt>
                <c:pt idx="49">
                  <c:v>237.29405021947213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DBB-47C4-986B-44CB287F248A}"/>
            </c:ext>
          </c:extLst>
        </c:ser>
        <c:ser>
          <c:idx val="10"/>
          <c:order val="10"/>
          <c:tx>
            <c:strRef>
              <c:f>Rho!$B$34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Rho!$C$34:$AZ$34</c:f>
              <c:numCache>
                <c:formatCode>General</c:formatCode>
                <c:ptCount val="50"/>
                <c:pt idx="0">
                  <c:v>9.3111062933054924</c:v>
                </c:pt>
                <c:pt idx="1">
                  <c:v>16.997597069863819</c:v>
                </c:pt>
                <c:pt idx="2">
                  <c:v>23.936909463006028</c:v>
                </c:pt>
                <c:pt idx="3">
                  <c:v>30.470390561626747</c:v>
                </c:pt>
                <c:pt idx="4">
                  <c:v>36.738595144398118</c:v>
                </c:pt>
                <c:pt idx="5">
                  <c:v>42.813919395874585</c:v>
                </c:pt>
                <c:pt idx="6">
                  <c:v>48.739182226438395</c:v>
                </c:pt>
                <c:pt idx="7">
                  <c:v>54.542150099630142</c:v>
                </c:pt>
                <c:pt idx="8">
                  <c:v>60.242046033683735</c:v>
                </c:pt>
                <c:pt idx="9">
                  <c:v>65.852844532273409</c:v>
                </c:pt>
                <c:pt idx="10">
                  <c:v>71.385096279460569</c:v>
                </c:pt>
                <c:pt idx="11">
                  <c:v>76.847010789415847</c:v>
                </c:pt>
                <c:pt idx="12">
                  <c:v>82.245134855835516</c:v>
                </c:pt>
                <c:pt idx="13">
                  <c:v>87.584796997583751</c:v>
                </c:pt>
                <c:pt idx="14">
                  <c:v>92.870409511912868</c:v>
                </c:pt>
                <c:pt idx="15">
                  <c:v>98.105680207936459</c:v>
                </c:pt>
                <c:pt idx="16">
                  <c:v>103.29376480098867</c:v>
                </c:pt>
                <c:pt idx="17">
                  <c:v>108.43737912904156</c:v>
                </c:pt>
                <c:pt idx="18">
                  <c:v>113.53888344474242</c:v>
                </c:pt>
                <c:pt idx="19">
                  <c:v>118.60034685036835</c:v>
                </c:pt>
                <c:pt idx="20">
                  <c:v>123.62359732426977</c:v>
                </c:pt>
                <c:pt idx="21">
                  <c:v>128.61026110284774</c:v>
                </c:pt>
                <c:pt idx="22">
                  <c:v>133.56179407133629</c:v>
                </c:pt>
                <c:pt idx="23">
                  <c:v>138.4795070678102</c:v>
                </c:pt>
                <c:pt idx="24">
                  <c:v>143.36458648983773</c:v>
                </c:pt>
                <c:pt idx="25">
                  <c:v>148.21811123257916</c:v>
                </c:pt>
                <c:pt idx="26">
                  <c:v>153.04106673045484</c:v>
                </c:pt>
                <c:pt idx="27">
                  <c:v>157.83435668906282</c:v>
                </c:pt>
                <c:pt idx="28">
                  <c:v>162.59881295819966</c:v>
                </c:pt>
                <c:pt idx="29">
                  <c:v>167.33520389609637</c:v>
                </c:pt>
                <c:pt idx="30">
                  <c:v>172.0442414993866</c:v>
                </c:pt>
                <c:pt idx="31">
                  <c:v>176.72658751598797</c:v>
                </c:pt>
                <c:pt idx="32">
                  <c:v>181.38285871415266</c:v>
                </c:pt>
                <c:pt idx="33">
                  <c:v>186.01363144697893</c:v>
                </c:pt>
                <c:pt idx="34">
                  <c:v>190.61944562518394</c:v>
                </c:pt>
                <c:pt idx="35">
                  <c:v>195.20080819010852</c:v>
                </c:pt>
                <c:pt idx="36">
                  <c:v>199.75819616241992</c:v>
                </c:pt>
                <c:pt idx="37">
                  <c:v>204.2920593288074</c:v>
                </c:pt>
                <c:pt idx="38">
                  <c:v>208.80282261838641</c:v>
                </c:pt>
                <c:pt idx="39">
                  <c:v>213.29088821197067</c:v>
                </c:pt>
                <c:pt idx="40">
                  <c:v>217.75663742041573</c:v>
                </c:pt>
                <c:pt idx="41">
                  <c:v>222.20043236254588</c:v>
                </c:pt>
                <c:pt idx="42">
                  <c:v>226.62261746849657</c:v>
                </c:pt>
                <c:pt idx="43">
                  <c:v>231.02352083043613</c:v>
                </c:pt>
                <c:pt idx="44">
                  <c:v>235.40345541941832</c:v>
                </c:pt>
                <c:pt idx="45">
                  <c:v>239.76272018443765</c:v>
                </c:pt>
                <c:pt idx="46">
                  <c:v>244.10160104751125</c:v>
                </c:pt>
                <c:pt idx="47">
                  <c:v>248.42037180672168</c:v>
                </c:pt>
                <c:pt idx="48">
                  <c:v>252.71929495756004</c:v>
                </c:pt>
                <c:pt idx="49">
                  <c:v>256.9986224415502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DBB-47C4-986B-44CB287F248A}"/>
            </c:ext>
          </c:extLst>
        </c:ser>
        <c:ser>
          <c:idx val="11"/>
          <c:order val="11"/>
          <c:tx>
            <c:strRef>
              <c:f>Rho!$B$35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Rho!$C$35:$AZ$35</c:f>
              <c:numCache>
                <c:formatCode>General</c:formatCode>
                <c:ptCount val="50"/>
                <c:pt idx="0">
                  <c:v>9.8489758625579302</c:v>
                </c:pt>
                <c:pt idx="1">
                  <c:v>18.727453260072853</c:v>
                </c:pt>
                <c:pt idx="2">
                  <c:v>26.74171475353192</c:v>
                </c:pt>
                <c:pt idx="3">
                  <c:v>34.200126589648207</c:v>
                </c:pt>
                <c:pt idx="4">
                  <c:v>41.277215823472964</c:v>
                </c:pt>
                <c:pt idx="5">
                  <c:v>48.073652121744175</c:v>
                </c:pt>
                <c:pt idx="6">
                  <c:v>54.652113577166297</c:v>
                </c:pt>
                <c:pt idx="7">
                  <c:v>61.054291488019352</c:v>
                </c:pt>
                <c:pt idx="8">
                  <c:v>67.309416261096175</c:v>
                </c:pt>
                <c:pt idx="9">
                  <c:v>73.43885824101524</c:v>
                </c:pt>
                <c:pt idx="10">
                  <c:v>79.458778146251888</c:v>
                </c:pt>
                <c:pt idx="11">
                  <c:v>85.381740275363398</c:v>
                </c:pt>
                <c:pt idx="12">
                  <c:v>91.217740659853305</c:v>
                </c:pt>
                <c:pt idx="13">
                  <c:v>96.974888251429135</c:v>
                </c:pt>
                <c:pt idx="14">
                  <c:v>102.65987136012461</c:v>
                </c:pt>
                <c:pt idx="15">
                  <c:v>108.27828621505343</c:v>
                </c:pt>
                <c:pt idx="16">
                  <c:v>113.83487415197752</c:v>
                </c:pt>
                <c:pt idx="17">
                  <c:v>119.33369655013396</c:v>
                </c:pt>
                <c:pt idx="18">
                  <c:v>124.77826631673554</c:v>
                </c:pt>
                <c:pt idx="19">
                  <c:v>130.1716483822899</c:v>
                </c:pt>
                <c:pt idx="20">
                  <c:v>135.51653766829455</c:v>
                </c:pt>
                <c:pt idx="21">
                  <c:v>140.81532039534991</c:v>
                </c:pt>
                <c:pt idx="22">
                  <c:v>146.07012287953319</c:v>
                </c:pt>
                <c:pt idx="23">
                  <c:v>151.28285079991707</c:v>
                </c:pt>
                <c:pt idx="24">
                  <c:v>156.45522111616262</c:v>
                </c:pt>
                <c:pt idx="25">
                  <c:v>161.58878825070076</c:v>
                </c:pt>
                <c:pt idx="26">
                  <c:v>166.68496574750907</c:v>
                </c:pt>
                <c:pt idx="27">
                  <c:v>171.74504432829821</c:v>
                </c:pt>
                <c:pt idx="28">
                  <c:v>176.77020705345612</c:v>
                </c:pt>
                <c:pt idx="29">
                  <c:v>181.76154213669031</c:v>
                </c:pt>
                <c:pt idx="30">
                  <c:v>186.72005384342674</c:v>
                </c:pt>
                <c:pt idx="31">
                  <c:v>191.64667181286191</c:v>
                </c:pt>
                <c:pt idx="32">
                  <c:v>196.54225907451516</c:v>
                </c:pt>
                <c:pt idx="33">
                  <c:v>201.40761897676569</c:v>
                </c:pt>
                <c:pt idx="34">
                  <c:v>206.2435012032638</c:v>
                </c:pt>
                <c:pt idx="35">
                  <c:v>211.05060702042684</c:v>
                </c:pt>
                <c:pt idx="36">
                  <c:v>215.82959387335973</c:v>
                </c:pt>
                <c:pt idx="37">
                  <c:v>220.58107942691839</c:v>
                </c:pt>
                <c:pt idx="38">
                  <c:v>225.30564513208424</c:v>
                </c:pt>
                <c:pt idx="39">
                  <c:v>230.00383938445145</c:v>
                </c:pt>
                <c:pt idx="40">
                  <c:v>234.67618033077457</c:v>
                </c:pt>
                <c:pt idx="41">
                  <c:v>239.32315837065198</c:v>
                </c:pt>
                <c:pt idx="42">
                  <c:v>243.94523839313743</c:v>
                </c:pt>
                <c:pt idx="43">
                  <c:v>248.54286178205993</c:v>
                </c:pt>
                <c:pt idx="44">
                  <c:v>253.11644821884346</c:v>
                </c:pt>
                <c:pt idx="45">
                  <c:v>257.66639730746357</c:v>
                </c:pt>
                <c:pt idx="46">
                  <c:v>262.19309004270082</c:v>
                </c:pt>
                <c:pt idx="47">
                  <c:v>266.69689013992627</c:v>
                </c:pt>
                <c:pt idx="48">
                  <c:v>271.17814524219278</c:v>
                </c:pt>
                <c:pt idx="49">
                  <c:v>275.63718801831254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DBB-47C4-986B-44CB287F248A}"/>
            </c:ext>
          </c:extLst>
        </c:ser>
        <c:ser>
          <c:idx val="12"/>
          <c:order val="12"/>
          <c:tx>
            <c:strRef>
              <c:f>Rho!$B$36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Rho!$C$36:$AZ$36</c:f>
              <c:numCache>
                <c:formatCode>General</c:formatCode>
                <c:ptCount val="50"/>
                <c:pt idx="0">
                  <c:v>9.9693029945287854</c:v>
                </c:pt>
                <c:pt idx="1">
                  <c:v>19.522974084010126</c:v>
                </c:pt>
                <c:pt idx="2">
                  <c:v>28.39016422301777</c:v>
                </c:pt>
                <c:pt idx="3">
                  <c:v>36.680746478076991</c:v>
                </c:pt>
                <c:pt idx="4">
                  <c:v>44.52940714583994</c:v>
                </c:pt>
                <c:pt idx="5">
                  <c:v>52.035124616342841</c:v>
                </c:pt>
                <c:pt idx="6">
                  <c:v>59.267237553388952</c:v>
                </c:pt>
                <c:pt idx="7">
                  <c:v>66.275083755870511</c:v>
                </c:pt>
                <c:pt idx="8">
                  <c:v>73.094735333031409</c:v>
                </c:pt>
                <c:pt idx="9">
                  <c:v>79.753296736124071</c:v>
                </c:pt>
                <c:pt idx="10">
                  <c:v>86.27164604316286</c:v>
                </c:pt>
                <c:pt idx="11">
                  <c:v>92.666220586205981</c:v>
                </c:pt>
                <c:pt idx="12">
                  <c:v>98.950210815958272</c:v>
                </c:pt>
                <c:pt idx="13">
                  <c:v>105.13437955576562</c:v>
                </c:pt>
                <c:pt idx="14">
                  <c:v>111.22763803332587</c:v>
                </c:pt>
                <c:pt idx="15">
                  <c:v>117.23745998936677</c:v>
                </c:pt>
                <c:pt idx="16">
                  <c:v>123.17018541516252</c:v>
                </c:pt>
                <c:pt idx="17">
                  <c:v>129.03124740461573</c:v>
                </c:pt>
                <c:pt idx="18">
                  <c:v>134.82534437247151</c:v>
                </c:pt>
                <c:pt idx="19">
                  <c:v>140.55657274099252</c:v>
                </c:pt>
                <c:pt idx="20">
                  <c:v>146.22853054687866</c:v>
                </c:pt>
                <c:pt idx="21">
                  <c:v>151.84439933243175</c:v>
                </c:pt>
                <c:pt idx="22">
                  <c:v>157.40700959544188</c:v>
                </c:pt>
                <c:pt idx="23">
                  <c:v>162.9188936331866</c:v>
                </c:pt>
                <c:pt idx="24">
                  <c:v>168.382328608569</c:v>
                </c:pt>
                <c:pt idx="25">
                  <c:v>173.79937195057423</c:v>
                </c:pt>
                <c:pt idx="26">
                  <c:v>179.17189068540515</c:v>
                </c:pt>
                <c:pt idx="27">
                  <c:v>184.50158591813749</c:v>
                </c:pt>
                <c:pt idx="28">
                  <c:v>189.7900134065834</c:v>
                </c:pt>
                <c:pt idx="29">
                  <c:v>195.03860096125632</c:v>
                </c:pt>
                <c:pt idx="30">
                  <c:v>200.24866324847756</c:v>
                </c:pt>
                <c:pt idx="31">
                  <c:v>205.42141445409717</c:v>
                </c:pt>
                <c:pt idx="32">
                  <c:v>210.55797917333442</c:v>
                </c:pt>
                <c:pt idx="33">
                  <c:v>215.65940182088951</c:v>
                </c:pt>
                <c:pt idx="34">
                  <c:v>220.72665479967583</c:v>
                </c:pt>
                <c:pt idx="35">
                  <c:v>225.76064562254984</c:v>
                </c:pt>
                <c:pt idx="36">
                  <c:v>230.76222314651963</c:v>
                </c:pt>
                <c:pt idx="37">
                  <c:v>235.73218305103018</c:v>
                </c:pt>
                <c:pt idx="38">
                  <c:v>240.67127266950595</c:v>
                </c:pt>
                <c:pt idx="39">
                  <c:v>245.58019526519712</c:v>
                </c:pt>
                <c:pt idx="40">
                  <c:v>250.45961382762172</c:v>
                </c:pt>
                <c:pt idx="41">
                  <c:v>255.31015445383105</c:v>
                </c:pt>
                <c:pt idx="42">
                  <c:v>260.13240936880339</c:v>
                </c:pt>
                <c:pt idx="43">
                  <c:v>264.92693963107473</c:v>
                </c:pt>
                <c:pt idx="44">
                  <c:v>269.6942775629131</c:v>
                </c:pt>
                <c:pt idx="45">
                  <c:v>274.43492893866892</c:v>
                </c:pt>
                <c:pt idx="46">
                  <c:v>279.14937496018666</c:v>
                </c:pt>
                <c:pt idx="47">
                  <c:v>283.83807404416842</c:v>
                </c:pt>
                <c:pt idx="48">
                  <c:v>288.5014634430118</c:v>
                </c:pt>
                <c:pt idx="49">
                  <c:v>293.13996071778939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DBB-47C4-986B-44CB287F248A}"/>
            </c:ext>
          </c:extLst>
        </c:ser>
        <c:ser>
          <c:idx val="13"/>
          <c:order val="13"/>
          <c:tx>
            <c:strRef>
              <c:f>Rho!$B$37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Rho!$C$37:$AZ$37</c:f>
              <c:numCache>
                <c:formatCode>General</c:formatCode>
                <c:ptCount val="50"/>
                <c:pt idx="0">
                  <c:v>9.9877868050641503</c:v>
                </c:pt>
                <c:pt idx="1">
                  <c:v>19.8261213746312</c:v>
                </c:pt>
                <c:pt idx="2">
                  <c:v>29.245072006046914</c:v>
                </c:pt>
                <c:pt idx="3">
                  <c:v>38.183205335550987</c:v>
                </c:pt>
                <c:pt idx="4">
                  <c:v>46.692198548977835</c:v>
                </c:pt>
                <c:pt idx="5">
                  <c:v>54.839430840815332</c:v>
                </c:pt>
                <c:pt idx="6">
                  <c:v>62.683596450535603</c:v>
                </c:pt>
                <c:pt idx="7">
                  <c:v>70.271704194040638</c:v>
                </c:pt>
                <c:pt idx="8">
                  <c:v>77.640758146235612</c:v>
                </c:pt>
                <c:pt idx="9">
                  <c:v>84.819982584634872</c:v>
                </c:pt>
                <c:pt idx="10">
                  <c:v>91.832695816939776</c:v>
                </c:pt>
                <c:pt idx="11">
                  <c:v>98.697735694326767</c:v>
                </c:pt>
                <c:pt idx="12">
                  <c:v>105.43051355826336</c:v>
                </c:pt>
                <c:pt idx="13">
                  <c:v>112.04379047813339</c:v>
                </c:pt>
                <c:pt idx="14">
                  <c:v>118.54825237304844</c:v>
                </c:pt>
                <c:pt idx="15">
                  <c:v>124.95294041224376</c:v>
                </c:pt>
                <c:pt idx="16">
                  <c:v>131.26557684852222</c:v>
                </c:pt>
                <c:pt idx="17">
                  <c:v>137.492814637484</c:v>
                </c:pt>
                <c:pt idx="18">
                  <c:v>143.64043091141022</c:v>
                </c:pt>
                <c:pt idx="19">
                  <c:v>149.71347861958171</c:v>
                </c:pt>
                <c:pt idx="20">
                  <c:v>155.71640664155908</c:v>
                </c:pt>
                <c:pt idx="21">
                  <c:v>161.65315587575483</c:v>
                </c:pt>
                <c:pt idx="22">
                  <c:v>167.52723682476258</c:v>
                </c:pt>
                <c:pt idx="23">
                  <c:v>173.34179278544363</c:v>
                </c:pt>
                <c:pt idx="24">
                  <c:v>179.09965173251067</c:v>
                </c:pt>
                <c:pt idx="25">
                  <c:v>184.80336924155054</c:v>
                </c:pt>
                <c:pt idx="26">
                  <c:v>190.45526425048573</c:v>
                </c:pt>
                <c:pt idx="27">
                  <c:v>196.05744905169558</c:v>
                </c:pt>
                <c:pt idx="28">
                  <c:v>201.61185460156619</c:v>
                </c:pt>
                <c:pt idx="29">
                  <c:v>207.12025200276011</c:v>
                </c:pt>
                <c:pt idx="30">
                  <c:v>212.5842708375425</c:v>
                </c:pt>
                <c:pt idx="31">
                  <c:v>218.00541489409568</c:v>
                </c:pt>
                <c:pt idx="32">
                  <c:v>223.38507572177815</c:v>
                </c:pt>
                <c:pt idx="33">
                  <c:v>228.72454436833027</c:v>
                </c:pt>
                <c:pt idx="34">
                  <c:v>234.02502158663111</c:v>
                </c:pt>
                <c:pt idx="35">
                  <c:v>239.28762674670665</c:v>
                </c:pt>
                <c:pt idx="36">
                  <c:v>244.51340564723014</c:v>
                </c:pt>
                <c:pt idx="37">
                  <c:v>249.70333738743304</c:v>
                </c:pt>
                <c:pt idx="38">
                  <c:v>254.85834043341276</c:v>
                </c:pt>
                <c:pt idx="39">
                  <c:v>259.97927799092867</c:v>
                </c:pt>
                <c:pt idx="40">
                  <c:v>265.06696277889193</c:v>
                </c:pt>
                <c:pt idx="41">
                  <c:v>270.12216128306079</c:v>
                </c:pt>
                <c:pt idx="42">
                  <c:v>275.14559755733603</c:v>
                </c:pt>
                <c:pt idx="43">
                  <c:v>280.1379566299978</c:v>
                </c:pt>
                <c:pt idx="44">
                  <c:v>285.09988756386525</c:v>
                </c:pt>
                <c:pt idx="45">
                  <c:v>290.03200621235965</c:v>
                </c:pt>
                <c:pt idx="46">
                  <c:v>294.93489770758788</c:v>
                </c:pt>
                <c:pt idx="47">
                  <c:v>299.80911871160851</c:v>
                </c:pt>
                <c:pt idx="48">
                  <c:v>304.65519945786616</c:v>
                </c:pt>
                <c:pt idx="49">
                  <c:v>309.47364560622196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DBB-47C4-986B-44CB287F248A}"/>
            </c:ext>
          </c:extLst>
        </c:ser>
        <c:ser>
          <c:idx val="14"/>
          <c:order val="14"/>
          <c:tx>
            <c:strRef>
              <c:f>Rho!$B$38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Rho!$C$38:$AZ$38</c:f>
              <c:numCache>
                <c:formatCode>General</c:formatCode>
                <c:ptCount val="50"/>
                <c:pt idx="0">
                  <c:v>9.989825783141761</c:v>
                </c:pt>
                <c:pt idx="1">
                  <c:v>19.924080062887661</c:v>
                </c:pt>
                <c:pt idx="2">
                  <c:v>29.642425234579129</c:v>
                </c:pt>
                <c:pt idx="3">
                  <c:v>39.021658405667154</c:v>
                </c:pt>
                <c:pt idx="4">
                  <c:v>48.039616695751526</c:v>
                </c:pt>
                <c:pt idx="5">
                  <c:v>56.719853041525752</c:v>
                </c:pt>
                <c:pt idx="6">
                  <c:v>65.098182663181063</c:v>
                </c:pt>
                <c:pt idx="7">
                  <c:v>73.210216289147141</c:v>
                </c:pt>
                <c:pt idx="8">
                  <c:v>81.087590504535044</c:v>
                </c:pt>
                <c:pt idx="9">
                  <c:v>88.757319713568393</c:v>
                </c:pt>
                <c:pt idx="10">
                  <c:v>96.242165870813224</c:v>
                </c:pt>
                <c:pt idx="11">
                  <c:v>103.56126648920475</c:v>
                </c:pt>
                <c:pt idx="12">
                  <c:v>110.73075933133246</c:v>
                </c:pt>
                <c:pt idx="13">
                  <c:v>117.7643251164187</c:v>
                </c:pt>
                <c:pt idx="14">
                  <c:v>124.67363530085693</c:v>
                </c:pt>
                <c:pt idx="15">
                  <c:v>131.46871378977332</c:v>
                </c:pt>
                <c:pt idx="16">
                  <c:v>138.15822691407394</c:v>
                </c:pt>
                <c:pt idx="17">
                  <c:v>144.74971570890841</c:v>
                </c:pt>
                <c:pt idx="18">
                  <c:v>151.24978248367267</c:v>
                </c:pt>
                <c:pt idx="19">
                  <c:v>157.66424137341923</c:v>
                </c:pt>
                <c:pt idx="20">
                  <c:v>163.99824050897516</c:v>
                </c:pt>
                <c:pt idx="21">
                  <c:v>170.25636176013873</c:v>
                </c:pt>
                <c:pt idx="22">
                  <c:v>176.44270267799365</c:v>
                </c:pt>
                <c:pt idx="23">
                  <c:v>182.56094423252131</c:v>
                </c:pt>
                <c:pt idx="24">
                  <c:v>188.61440714938252</c:v>
                </c:pt>
                <c:pt idx="25">
                  <c:v>194.60609904147438</c:v>
                </c:pt>
                <c:pt idx="26">
                  <c:v>200.53875406336624</c:v>
                </c:pt>
                <c:pt idx="27">
                  <c:v>206.41486645630164</c:v>
                </c:pt>
                <c:pt idx="28">
                  <c:v>212.23671907241214</c:v>
                </c:pt>
                <c:pt idx="29">
                  <c:v>218.0064077496892</c:v>
                </c:pt>
                <c:pt idx="30">
                  <c:v>223.72586223945231</c:v>
                </c:pt>
                <c:pt idx="31">
                  <c:v>229.39686425450574</c:v>
                </c:pt>
                <c:pt idx="32">
                  <c:v>235.02106310056189</c:v>
                </c:pt>
                <c:pt idx="33">
                  <c:v>240.59998926952923</c:v>
                </c:pt>
                <c:pt idx="34">
                  <c:v>246.13506630611039</c:v>
                </c:pt>
                <c:pt idx="35">
                  <c:v>251.62762120518866</c:v>
                </c:pt>
                <c:pt idx="36">
                  <c:v>257.0788935538697</c:v>
                </c:pt>
                <c:pt idx="37">
                  <c:v>262.49004359663627</c:v>
                </c:pt>
                <c:pt idx="38">
                  <c:v>267.86215937318008</c:v>
                </c:pt>
                <c:pt idx="39">
                  <c:v>273.19626305478522</c:v>
                </c:pt>
                <c:pt idx="40">
                  <c:v>278.49331658563358</c:v>
                </c:pt>
                <c:pt idx="41">
                  <c:v>283.75422671926339</c:v>
                </c:pt>
                <c:pt idx="42">
                  <c:v>288.9798495270137</c:v>
                </c:pt>
                <c:pt idx="43">
                  <c:v>294.17099444410718</c:v>
                </c:pt>
                <c:pt idx="44">
                  <c:v>299.32842790966822</c:v>
                </c:pt>
                <c:pt idx="45">
                  <c:v>304.45287664910694</c:v>
                </c:pt>
                <c:pt idx="46">
                  <c:v>309.54503064066824</c:v>
                </c:pt>
                <c:pt idx="47">
                  <c:v>314.60554580232815</c:v>
                </c:pt>
                <c:pt idx="48">
                  <c:v>319.63504643045547</c:v>
                </c:pt>
                <c:pt idx="49">
                  <c:v>324.63412741759055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DBB-47C4-986B-44CB287F248A}"/>
            </c:ext>
          </c:extLst>
        </c:ser>
        <c:ser>
          <c:idx val="15"/>
          <c:order val="15"/>
          <c:tx>
            <c:strRef>
              <c:f>Rho!$B$39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Rho!$C$39:$AZ$39</c:f>
              <c:numCache>
                <c:formatCode>General</c:formatCode>
                <c:ptCount val="50"/>
                <c:pt idx="0">
                  <c:v>9.9899937425487071</c:v>
                </c:pt>
                <c:pt idx="1">
                  <c:v>19.951462891393383</c:v>
                </c:pt>
                <c:pt idx="2">
                  <c:v>29.810172215636356</c:v>
                </c:pt>
                <c:pt idx="3">
                  <c:v>39.457121776080655</c:v>
                </c:pt>
                <c:pt idx="4">
                  <c:v>48.832355634235014</c:v>
                </c:pt>
                <c:pt idx="5">
                  <c:v>57.922265459566475</c:v>
                </c:pt>
                <c:pt idx="6">
                  <c:v>66.73692184392155</c:v>
                </c:pt>
                <c:pt idx="7">
                  <c:v>75.295737423125914</c:v>
                </c:pt>
                <c:pt idx="8">
                  <c:v>83.62051674627169</c:v>
                </c:pt>
                <c:pt idx="9">
                  <c:v>91.732436651684779</c:v>
                </c:pt>
                <c:pt idx="10">
                  <c:v>99.650887955721103</c:v>
                </c:pt>
                <c:pt idx="11">
                  <c:v>107.39315723574289</c:v>
                </c:pt>
                <c:pt idx="12">
                  <c:v>114.97446966285729</c:v>
                </c:pt>
                <c:pt idx="13">
                  <c:v>122.40817222241328</c:v>
                </c:pt>
                <c:pt idx="14">
                  <c:v>129.70595750120449</c:v>
                </c:pt>
                <c:pt idx="15">
                  <c:v>136.87808460213029</c:v>
                </c:pt>
                <c:pt idx="16">
                  <c:v>143.9335799807825</c:v>
                </c:pt>
                <c:pt idx="17">
                  <c:v>150.88041303921528</c:v>
                </c:pt>
                <c:pt idx="18">
                  <c:v>157.72564663370272</c:v>
                </c:pt>
                <c:pt idx="19">
                  <c:v>164.47556479755497</c:v>
                </c:pt>
                <c:pt idx="20">
                  <c:v>171.13578064331162</c:v>
                </c:pt>
                <c:pt idx="21">
                  <c:v>177.71132740782372</c:v>
                </c:pt>
                <c:pt idx="22">
                  <c:v>184.20673533132472</c:v>
                </c:pt>
                <c:pt idx="23">
                  <c:v>190.62609670309027</c:v>
                </c:pt>
                <c:pt idx="24">
                  <c:v>196.97312104593431</c:v>
                </c:pt>
                <c:pt idx="25">
                  <c:v>203.25118208448924</c:v>
                </c:pt>
                <c:pt idx="26">
                  <c:v>209.46335785925817</c:v>
                </c:pt>
                <c:pt idx="27">
                  <c:v>215.61246511026602</c:v>
                </c:pt>
                <c:pt idx="28">
                  <c:v>221.70108885668176</c:v>
                </c:pt>
                <c:pt idx="29">
                  <c:v>227.7316079364563</c:v>
                </c:pt>
                <c:pt idx="30">
                  <c:v>233.70621713715138</c:v>
                </c:pt>
                <c:pt idx="31">
                  <c:v>239.62694644057069</c:v>
                </c:pt>
                <c:pt idx="32">
                  <c:v>245.4956778151039</c:v>
                </c:pt>
                <c:pt idx="33">
                  <c:v>251.31415991714908</c:v>
                </c:pt>
                <c:pt idx="34">
                  <c:v>257.08402100352959</c:v>
                </c:pt>
                <c:pt idx="35">
                  <c:v>262.80678030799385</c:v>
                </c:pt>
                <c:pt idx="36">
                  <c:v>268.48385809466879</c:v>
                </c:pt>
                <c:pt idx="37">
                  <c:v>274.11658456811546</c:v>
                </c:pt>
                <c:pt idx="38">
                  <c:v>279.70620779210606</c:v>
                </c:pt>
                <c:pt idx="39">
                  <c:v>285.25390074635317</c:v>
                </c:pt>
                <c:pt idx="40">
                  <c:v>290.76076763133943</c:v>
                </c:pt>
                <c:pt idx="41">
                  <c:v>296.22784951542133</c:v>
                </c:pt>
                <c:pt idx="42">
                  <c:v>301.65612940497795</c:v>
                </c:pt>
                <c:pt idx="43">
                  <c:v>307.0465368070881</c:v>
                </c:pt>
                <c:pt idx="44">
                  <c:v>312.39995184468148</c:v>
                </c:pt>
                <c:pt idx="45">
                  <c:v>317.7172089760324</c:v>
                </c:pt>
                <c:pt idx="46">
                  <c:v>322.99910036359785</c:v>
                </c:pt>
                <c:pt idx="47">
                  <c:v>328.24637893134854</c:v>
                </c:pt>
                <c:pt idx="48">
                  <c:v>333.45976114474058</c:v>
                </c:pt>
                <c:pt idx="49">
                  <c:v>338.63992954318462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DBB-47C4-986B-44CB287F248A}"/>
            </c:ext>
          </c:extLst>
        </c:ser>
        <c:ser>
          <c:idx val="16"/>
          <c:order val="16"/>
          <c:tx>
            <c:strRef>
              <c:f>Rho!$B$40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Rho!$C$40:$AZ$40</c:f>
              <c:numCache>
                <c:formatCode>General</c:formatCode>
                <c:ptCount val="50"/>
                <c:pt idx="0">
                  <c:v>9.9900044333117659</c:v>
                </c:pt>
                <c:pt idx="1">
                  <c:v>19.958199888181859</c:v>
                </c:pt>
                <c:pt idx="2">
                  <c:v>29.875241343482664</c:v>
                </c:pt>
                <c:pt idx="3">
                  <c:v>39.669441320637574</c:v>
                </c:pt>
                <c:pt idx="4">
                  <c:v>49.275873716227721</c:v>
                </c:pt>
                <c:pt idx="5">
                  <c:v>58.659707295076828</c:v>
                </c:pt>
                <c:pt idx="6">
                  <c:v>67.810197543662667</c:v>
                </c:pt>
                <c:pt idx="7">
                  <c:v>76.730661853179072</c:v>
                </c:pt>
                <c:pt idx="8">
                  <c:v>85.431448147951755</c:v>
                </c:pt>
                <c:pt idx="9">
                  <c:v>93.925858365570534</c:v>
                </c:pt>
                <c:pt idx="10">
                  <c:v>102.22796567098746</c:v>
                </c:pt>
                <c:pt idx="11">
                  <c:v>110.35151195897653</c:v>
                </c:pt>
                <c:pt idx="12">
                  <c:v>118.30939435504304</c:v>
                </c:pt>
                <c:pt idx="13">
                  <c:v>126.11346472821283</c:v>
                </c:pt>
                <c:pt idx="14">
                  <c:v>133.77449114730291</c:v>
                </c:pt>
                <c:pt idx="15">
                  <c:v>141.30219947676213</c:v>
                </c:pt>
                <c:pt idx="16">
                  <c:v>148.70535118023273</c:v>
                </c:pt>
                <c:pt idx="17">
                  <c:v>155.9918340531236</c:v>
                </c:pt>
                <c:pt idx="18">
                  <c:v>163.16875387224707</c:v>
                </c:pt>
                <c:pt idx="19">
                  <c:v>170.24252108865093</c:v>
                </c:pt>
                <c:pt idx="20">
                  <c:v>177.21893001152091</c:v>
                </c:pt>
                <c:pt idx="21">
                  <c:v>184.10322969922836</c:v>
                </c:pt>
                <c:pt idx="22">
                  <c:v>190.90018668324839</c:v>
                </c:pt>
                <c:pt idx="23">
                  <c:v>197.61414008721923</c:v>
                </c:pt>
                <c:pt idx="24">
                  <c:v>204.24904988195715</c:v>
                </c:pt>
                <c:pt idx="25">
                  <c:v>210.80853905822912</c:v>
                </c:pt>
                <c:pt idx="26">
                  <c:v>217.29593046992025</c:v>
                </c:pt>
                <c:pt idx="27">
                  <c:v>223.71427903840043</c:v>
                </c:pt>
                <c:pt idx="28">
                  <c:v>230.06639993491453</c:v>
                </c:pt>
                <c:pt idx="29">
                  <c:v>236.35489328260059</c:v>
                </c:pt>
                <c:pt idx="30">
                  <c:v>242.58216584875814</c:v>
                </c:pt>
                <c:pt idx="31">
                  <c:v>248.75045013367262</c:v>
                </c:pt>
                <c:pt idx="32">
                  <c:v>254.86182120543509</c:v>
                </c:pt>
                <c:pt idx="33">
                  <c:v>260.91821158066881</c:v>
                </c:pt>
                <c:pt idx="34">
                  <c:v>266.92142440835255</c:v>
                </c:pt>
                <c:pt idx="35">
                  <c:v>272.87314517731136</c:v>
                </c:pt>
                <c:pt idx="36">
                  <c:v>278.77495213666674</c:v>
                </c:pt>
                <c:pt idx="37">
                  <c:v>284.62832559188035</c:v>
                </c:pt>
                <c:pt idx="38">
                  <c:v>290.43465621632822</c:v>
                </c:pt>
                <c:pt idx="39">
                  <c:v>296.19525249901477</c:v>
                </c:pt>
                <c:pt idx="40">
                  <c:v>301.91134743257601</c:v>
                </c:pt>
                <c:pt idx="41">
                  <c:v>307.58410453168091</c:v>
                </c:pt>
                <c:pt idx="42">
                  <c:v>313.21462325995731</c:v>
                </c:pt>
                <c:pt idx="43">
                  <c:v>318.80394393331824</c:v>
                </c:pt>
                <c:pt idx="44">
                  <c:v>324.35305215878776</c:v>
                </c:pt>
                <c:pt idx="45">
                  <c:v>329.86288286039138</c:v>
                </c:pt>
                <c:pt idx="46">
                  <c:v>335.33432393719795</c:v>
                </c:pt>
                <c:pt idx="47">
                  <c:v>340.7682195930214</c:v>
                </c:pt>
                <c:pt idx="48">
                  <c:v>346.16537337247269</c:v>
                </c:pt>
                <c:pt idx="49">
                  <c:v>351.52655093388364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DBB-47C4-986B-44CB287F248A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04340208"/>
        <c:axId val="821368704"/>
        <c:axId val="1059042208"/>
      </c:surface3DChart>
      <c:catAx>
        <c:axId val="404340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368704"/>
        <c:crosses val="autoZero"/>
        <c:auto val="1"/>
        <c:lblAlgn val="ctr"/>
        <c:lblOffset val="100"/>
        <c:noMultiLvlLbl val="0"/>
      </c:catAx>
      <c:valAx>
        <c:axId val="82136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340208"/>
        <c:crosses val="autoZero"/>
        <c:crossBetween val="midCat"/>
      </c:valAx>
      <c:serAx>
        <c:axId val="10590422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36870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Rho, vol=40%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54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Rho!$B$45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Rho!$C$45:$AZ$45</c:f>
              <c:numCache>
                <c:formatCode>General</c:formatCode>
                <c:ptCount val="50"/>
                <c:pt idx="0">
                  <c:v>2.1199464390282875E-4</c:v>
                </c:pt>
                <c:pt idx="1">
                  <c:v>3.3410152637297671E-2</c:v>
                </c:pt>
                <c:pt idx="2">
                  <c:v>0.22740331672264325</c:v>
                </c:pt>
                <c:pt idx="3">
                  <c:v>0.66095606128822748</c:v>
                </c:pt>
                <c:pt idx="4">
                  <c:v>1.3341496192013671</c:v>
                </c:pt>
                <c:pt idx="5">
                  <c:v>2.2182054930954451</c:v>
                </c:pt>
                <c:pt idx="6">
                  <c:v>3.2798013308085325</c:v>
                </c:pt>
                <c:pt idx="7">
                  <c:v>4.4887301949385643</c:v>
                </c:pt>
                <c:pt idx="8">
                  <c:v>5.8195424216233285</c:v>
                </c:pt>
                <c:pt idx="9">
                  <c:v>7.2513128024172824</c:v>
                </c:pt>
                <c:pt idx="10">
                  <c:v>8.7669381205946699</c:v>
                </c:pt>
                <c:pt idx="11">
                  <c:v>10.352412970428153</c:v>
                </c:pt>
                <c:pt idx="12">
                  <c:v>11.996208096973973</c:v>
                </c:pt>
                <c:pt idx="13">
                  <c:v>13.688769165660592</c:v>
                </c:pt>
                <c:pt idx="14">
                  <c:v>15.422122124389954</c:v>
                </c:pt>
                <c:pt idx="15">
                  <c:v>17.189564805243414</c:v>
                </c:pt>
                <c:pt idx="16">
                  <c:v>18.985425868221043</c:v>
                </c:pt>
                <c:pt idx="17">
                  <c:v>20.804875617053547</c:v>
                </c:pt>
                <c:pt idx="18">
                  <c:v>22.64377663485114</c:v>
                </c:pt>
                <c:pt idx="19">
                  <c:v>24.498565043083374</c:v>
                </c:pt>
                <c:pt idx="20">
                  <c:v>26.366155419206429</c:v>
                </c:pt>
                <c:pt idx="21">
                  <c:v>28.243864102552326</c:v>
                </c:pt>
                <c:pt idx="22">
                  <c:v>30.129346888716384</c:v>
                </c:pt>
                <c:pt idx="23">
                  <c:v>32.020548062063739</c:v>
                </c:pt>
                <c:pt idx="24">
                  <c:v>33.915658426022354</c:v>
                </c:pt>
                <c:pt idx="25">
                  <c:v>35.813080523787924</c:v>
                </c:pt>
                <c:pt idx="26">
                  <c:v>37.711399644145345</c:v>
                </c:pt>
                <c:pt idx="27">
                  <c:v>39.609359512258941</c:v>
                </c:pt>
                <c:pt idx="28">
                  <c:v>41.505841798346964</c:v>
                </c:pt>
                <c:pt idx="29">
                  <c:v>43.399848756334357</c:v>
                </c:pt>
                <c:pt idx="30">
                  <c:v>45.290488443240832</c:v>
                </c:pt>
                <c:pt idx="31">
                  <c:v>47.176962078068236</c:v>
                </c:pt>
                <c:pt idx="32">
                  <c:v>49.058553183620127</c:v>
                </c:pt>
                <c:pt idx="33">
                  <c:v>50.934618221470217</c:v>
                </c:pt>
                <c:pt idx="34">
                  <c:v>52.804578483291323</c:v>
                </c:pt>
                <c:pt idx="35">
                  <c:v>54.667913044052376</c:v>
                </c:pt>
                <c:pt idx="36">
                  <c:v>56.524152616536952</c:v>
                </c:pt>
                <c:pt idx="37">
                  <c:v>58.372874174027899</c:v>
                </c:pt>
                <c:pt idx="38">
                  <c:v>60.213696230216847</c:v>
                </c:pt>
                <c:pt idx="39">
                  <c:v>62.046274683504308</c:v>
                </c:pt>
                <c:pt idx="40">
                  <c:v>63.870299147684264</c:v>
                </c:pt>
                <c:pt idx="41">
                  <c:v>65.68548970320505</c:v>
                </c:pt>
                <c:pt idx="42">
                  <c:v>67.491594013277791</c:v>
                </c:pt>
                <c:pt idx="43">
                  <c:v>69.288384757466204</c:v>
                </c:pt>
                <c:pt idx="44">
                  <c:v>71.07565734235817</c:v>
                </c:pt>
                <c:pt idx="45">
                  <c:v>72.85322785474682</c:v>
                </c:pt>
                <c:pt idx="46">
                  <c:v>74.620931227637953</c:v>
                </c:pt>
                <c:pt idx="47">
                  <c:v>76.378619593521591</c:v>
                </c:pt>
                <c:pt idx="48">
                  <c:v>78.126160802828011</c:v>
                </c:pt>
                <c:pt idx="49">
                  <c:v>79.863437088441117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1-4177-8A52-4931BA083E93}"/>
            </c:ext>
          </c:extLst>
        </c:ser>
        <c:ser>
          <c:idx val="1"/>
          <c:order val="1"/>
          <c:tx>
            <c:strRef>
              <c:f>Rho!$B$46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Rho!$C$46:$AZ$46</c:f>
              <c:numCache>
                <c:formatCode>General</c:formatCode>
                <c:ptCount val="50"/>
                <c:pt idx="0">
                  <c:v>2.688395841193117E-3</c:v>
                </c:pt>
                <c:pt idx="1">
                  <c:v>0.12878062769075843</c:v>
                </c:pt>
                <c:pt idx="2">
                  <c:v>0.58621559612638163</c:v>
                </c:pt>
                <c:pt idx="3">
                  <c:v>1.3895295048668961</c:v>
                </c:pt>
                <c:pt idx="4">
                  <c:v>2.4776047475522174</c:v>
                </c:pt>
                <c:pt idx="5">
                  <c:v>3.7882430933967277</c:v>
                </c:pt>
                <c:pt idx="6">
                  <c:v>5.2717373794706477</c:v>
                </c:pt>
                <c:pt idx="7">
                  <c:v>6.8902669412987683</c:v>
                </c:pt>
                <c:pt idx="8">
                  <c:v>8.6151673554682819</c:v>
                </c:pt>
                <c:pt idx="9">
                  <c:v>10.424503359111174</c:v>
                </c:pt>
                <c:pt idx="10">
                  <c:v>12.301259643583773</c:v>
                </c:pt>
                <c:pt idx="11">
                  <c:v>14.232049210863531</c:v>
                </c:pt>
                <c:pt idx="12">
                  <c:v>16.206196624633009</c:v>
                </c:pt>
                <c:pt idx="13">
                  <c:v>18.215082492418315</c:v>
                </c:pt>
                <c:pt idx="14">
                  <c:v>20.251668886572546</c:v>
                </c:pt>
                <c:pt idx="15">
                  <c:v>22.310150903029616</c:v>
                </c:pt>
                <c:pt idx="16">
                  <c:v>24.385697171128598</c:v>
                </c:pt>
                <c:pt idx="17">
                  <c:v>26.474253935573397</c:v>
                </c:pt>
                <c:pt idx="18">
                  <c:v>28.572395204414146</c:v>
                </c:pt>
                <c:pt idx="19">
                  <c:v>30.677206733412678</c:v>
                </c:pt>
                <c:pt idx="20">
                  <c:v>32.786195188826078</c:v>
                </c:pt>
                <c:pt idx="21">
                  <c:v>34.897216277541773</c:v>
                </c:pt>
                <c:pt idx="22">
                  <c:v>37.008417331371263</c:v>
                </c:pt>
                <c:pt idx="23">
                  <c:v>39.11819102566519</c:v>
                </c:pt>
                <c:pt idx="24">
                  <c:v>41.225137761761204</c:v>
                </c:pt>
                <c:pt idx="25">
                  <c:v>43.328034854629266</c:v>
                </c:pt>
                <c:pt idx="26">
                  <c:v>45.425811112955998</c:v>
                </c:pt>
                <c:pt idx="27">
                  <c:v>47.517525727407339</c:v>
                </c:pt>
                <c:pt idx="28">
                  <c:v>49.602350627342808</c:v>
                </c:pt>
                <c:pt idx="29">
                  <c:v>51.679555650077766</c:v>
                </c:pt>
                <c:pt idx="30">
                  <c:v>53.748496006251933</c:v>
                </c:pt>
                <c:pt idx="31">
                  <c:v>55.808601631596332</c:v>
                </c:pt>
                <c:pt idx="32">
                  <c:v>57.859368097751371</c:v>
                </c:pt>
                <c:pt idx="33">
                  <c:v>59.900348818836271</c:v>
                </c:pt>
                <c:pt idx="34">
                  <c:v>61.931148340644604</c:v>
                </c:pt>
                <c:pt idx="35">
                  <c:v>63.951416538921286</c:v>
                </c:pt>
                <c:pt idx="36">
                  <c:v>65.960843584604788</c:v>
                </c:pt>
                <c:pt idx="37">
                  <c:v>67.959155559032368</c:v>
                </c:pt>
                <c:pt idx="38">
                  <c:v>69.946110622290263</c:v>
                </c:pt>
                <c:pt idx="39">
                  <c:v>71.921495654206893</c:v>
                </c:pt>
                <c:pt idx="40">
                  <c:v>73.885123300747182</c:v>
                </c:pt>
                <c:pt idx="41">
                  <c:v>75.836829369395062</c:v>
                </c:pt>
                <c:pt idx="42">
                  <c:v>77.776470526000367</c:v>
                </c:pt>
                <c:pt idx="43">
                  <c:v>79.703922252896305</c:v>
                </c:pt>
                <c:pt idx="44">
                  <c:v>81.619077034164235</c:v>
                </c:pt>
                <c:pt idx="45">
                  <c:v>83.521842738970733</c:v>
                </c:pt>
                <c:pt idx="46">
                  <c:v>85.412141178119668</c:v>
                </c:pt>
                <c:pt idx="47">
                  <c:v>87.289906812495161</c:v>
                </c:pt>
                <c:pt idx="48">
                  <c:v>89.155085595047368</c:v>
                </c:pt>
                <c:pt idx="49">
                  <c:v>91.007633930482314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1-4177-8A52-4931BA083E93}"/>
            </c:ext>
          </c:extLst>
        </c:ser>
        <c:ser>
          <c:idx val="2"/>
          <c:order val="2"/>
          <c:tx>
            <c:strRef>
              <c:f>Rho!$B$47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Rho!$C$47:$AZ$47</c:f>
              <c:numCache>
                <c:formatCode>General</c:formatCode>
                <c:ptCount val="50"/>
                <c:pt idx="0">
                  <c:v>2.0174608982033621E-2</c:v>
                </c:pt>
                <c:pt idx="1">
                  <c:v>0.38176337268635946</c:v>
                </c:pt>
                <c:pt idx="2">
                  <c:v>1.2672370904528139</c:v>
                </c:pt>
                <c:pt idx="3">
                  <c:v>2.557150573273471</c:v>
                </c:pt>
                <c:pt idx="4">
                  <c:v>4.1322802256892963</c:v>
                </c:pt>
                <c:pt idx="5">
                  <c:v>5.9102116217632439</c:v>
                </c:pt>
                <c:pt idx="6">
                  <c:v>7.8354047566188081</c:v>
                </c:pt>
                <c:pt idx="7">
                  <c:v>9.8695666860390112</c:v>
                </c:pt>
                <c:pt idx="8">
                  <c:v>11.985494372773882</c:v>
                </c:pt>
                <c:pt idx="9">
                  <c:v>14.163308228529683</c:v>
                </c:pt>
                <c:pt idx="10">
                  <c:v>16.388114161488453</c:v>
                </c:pt>
                <c:pt idx="11">
                  <c:v>18.64851121454479</c:v>
                </c:pt>
                <c:pt idx="12">
                  <c:v>20.93561020616869</c:v>
                </c:pt>
                <c:pt idx="13">
                  <c:v>23.242369974697247</c:v>
                </c:pt>
                <c:pt idx="14">
                  <c:v>25.563136776542226</c:v>
                </c:pt>
                <c:pt idx="15">
                  <c:v>27.893317210392091</c:v>
                </c:pt>
                <c:pt idx="16">
                  <c:v>30.229141121653001</c:v>
                </c:pt>
                <c:pt idx="17">
                  <c:v>32.567486533073016</c:v>
                </c:pt>
                <c:pt idx="18">
                  <c:v>34.905748218213517</c:v>
                </c:pt>
                <c:pt idx="19">
                  <c:v>37.241737558198544</c:v>
                </c:pt>
                <c:pt idx="20">
                  <c:v>39.573605202723556</c:v>
                </c:pt>
                <c:pt idx="21">
                  <c:v>41.899780610377206</c:v>
                </c:pt>
                <c:pt idx="22">
                  <c:v>44.218924257826458</c:v>
                </c:pt>
                <c:pt idx="23">
                  <c:v>46.529889479365671</c:v>
                </c:pt>
                <c:pt idx="24">
                  <c:v>48.8316917128843</c:v>
                </c:pt>
                <c:pt idx="25">
                  <c:v>51.123483503213791</c:v>
                </c:pt>
                <c:pt idx="26">
                  <c:v>53.404534025367745</c:v>
                </c:pt>
                <c:pt idx="27">
                  <c:v>55.674212188691278</c:v>
                </c:pt>
                <c:pt idx="28">
                  <c:v>57.93197260208489</c:v>
                </c:pt>
                <c:pt idx="29">
                  <c:v>60.177343843186371</c:v>
                </c:pt>
                <c:pt idx="30">
                  <c:v>62.409918596486591</c:v>
                </c:pt>
                <c:pt idx="31">
                  <c:v>64.629345317867148</c:v>
                </c:pt>
                <c:pt idx="32">
                  <c:v>66.835321153790943</c:v>
                </c:pt>
                <c:pt idx="33">
                  <c:v>69.02758589794017</c:v>
                </c:pt>
                <c:pt idx="34">
                  <c:v>71.205916810517792</c:v>
                </c:pt>
                <c:pt idx="35">
                  <c:v>73.370124158664623</c:v>
                </c:pt>
                <c:pt idx="36">
                  <c:v>75.520047362666205</c:v>
                </c:pt>
                <c:pt idx="37">
                  <c:v>77.655551653452008</c:v>
                </c:pt>
                <c:pt idx="38">
                  <c:v>79.776525163541919</c:v>
                </c:pt>
                <c:pt idx="39">
                  <c:v>81.882876386983099</c:v>
                </c:pt>
                <c:pt idx="40">
                  <c:v>83.974531954651724</c:v>
                </c:pt>
                <c:pt idx="41">
                  <c:v>86.051434680098851</c:v>
                </c:pt>
                <c:pt idx="42">
                  <c:v>88.113541838318341</c:v>
                </c:pt>
                <c:pt idx="43">
                  <c:v>90.160823645724321</c:v>
                </c:pt>
                <c:pt idx="44">
                  <c:v>92.193261914505158</c:v>
                </c:pt>
                <c:pt idx="45">
                  <c:v>94.210848858561008</c:v>
                </c:pt>
                <c:pt idx="46">
                  <c:v>96.213586031598453</c:v>
                </c:pt>
                <c:pt idx="47">
                  <c:v>98.201483380764785</c:v>
                </c:pt>
                <c:pt idx="48">
                  <c:v>100.17455840156417</c:v>
                </c:pt>
                <c:pt idx="49">
                  <c:v>102.13283538178266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1-4177-8A52-4931BA083E93}"/>
            </c:ext>
          </c:extLst>
        </c:ser>
        <c:ser>
          <c:idx val="3"/>
          <c:order val="3"/>
          <c:tx>
            <c:strRef>
              <c:f>Rho!$B$48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Rho!$C$48:$AZ$48</c:f>
              <c:numCache>
                <c:formatCode>General</c:formatCode>
                <c:ptCount val="50"/>
                <c:pt idx="0">
                  <c:v>9.901989601050129E-2</c:v>
                </c:pt>
                <c:pt idx="1">
                  <c:v>0.91525144160066807</c:v>
                </c:pt>
                <c:pt idx="2">
                  <c:v>2.3756805265942287</c:v>
                </c:pt>
                <c:pt idx="3">
                  <c:v>4.2248382812955017</c:v>
                </c:pt>
                <c:pt idx="4">
                  <c:v>6.3166111299292416</c:v>
                </c:pt>
                <c:pt idx="5">
                  <c:v>8.5676980505201517</c:v>
                </c:pt>
                <c:pt idx="6">
                  <c:v>10.927278670975221</c:v>
                </c:pt>
                <c:pt idx="7">
                  <c:v>13.362390898872304</c:v>
                </c:pt>
                <c:pt idx="8">
                  <c:v>15.850576939970898</c:v>
                </c:pt>
                <c:pt idx="9">
                  <c:v>18.375924915779336</c:v>
                </c:pt>
                <c:pt idx="10">
                  <c:v>20.926801193055905</c:v>
                </c:pt>
                <c:pt idx="11">
                  <c:v>23.494480436916326</c:v>
                </c:pt>
                <c:pt idx="12">
                  <c:v>26.072280152564122</c:v>
                </c:pt>
                <c:pt idx="13">
                  <c:v>28.654992880141137</c:v>
                </c:pt>
                <c:pt idx="14">
                  <c:v>31.238501485645209</c:v>
                </c:pt>
                <c:pt idx="15">
                  <c:v>33.819511193897171</c:v>
                </c:pt>
                <c:pt idx="16">
                  <c:v>36.395358405967748</c:v>
                </c:pt>
                <c:pt idx="17">
                  <c:v>38.963871408681534</c:v>
                </c:pt>
                <c:pt idx="18">
                  <c:v>41.523267000086086</c:v>
                </c:pt>
                <c:pt idx="19">
                  <c:v>44.072072503817417</c:v>
                </c:pt>
                <c:pt idx="20">
                  <c:v>46.609066071558175</c:v>
                </c:pt>
                <c:pt idx="21">
                  <c:v>49.133230382604204</c:v>
                </c:pt>
                <c:pt idx="22">
                  <c:v>51.643716307679199</c:v>
                </c:pt>
                <c:pt idx="23">
                  <c:v>54.139814086248769</c:v>
                </c:pt>
                <c:pt idx="24">
                  <c:v>56.620930240519627</c:v>
                </c:pt>
                <c:pt idx="25">
                  <c:v>59.086568919675386</c:v>
                </c:pt>
                <c:pt idx="26">
                  <c:v>61.536316701308479</c:v>
                </c:pt>
                <c:pt idx="27">
                  <c:v>63.969830116717461</c:v>
                </c:pt>
                <c:pt idx="28">
                  <c:v>66.386825341347844</c:v>
                </c:pt>
                <c:pt idx="29">
                  <c:v>68.787069620385338</c:v>
                </c:pt>
                <c:pt idx="30">
                  <c:v>71.170374095483112</c:v>
                </c:pt>
                <c:pt idx="31">
                  <c:v>73.536587770900297</c:v>
                </c:pt>
                <c:pt idx="32">
                  <c:v>75.885592412315631</c:v>
                </c:pt>
                <c:pt idx="33">
                  <c:v>78.217298213781447</c:v>
                </c:pt>
                <c:pt idx="34">
                  <c:v>80.531640100942951</c:v>
                </c:pt>
                <c:pt idx="35">
                  <c:v>82.828574564126157</c:v>
                </c:pt>
                <c:pt idx="36">
                  <c:v>85.108076934918756</c:v>
                </c:pt>
                <c:pt idx="37">
                  <c:v>87.370139035711617</c:v>
                </c:pt>
                <c:pt idx="38">
                  <c:v>89.614767144289956</c:v>
                </c:pt>
                <c:pt idx="39">
                  <c:v>91.841980225675897</c:v>
                </c:pt>
                <c:pt idx="40">
                  <c:v>94.051808391581019</c:v>
                </c:pt>
                <c:pt idx="41">
                  <c:v>96.244291554434426</c:v>
                </c:pt>
                <c:pt idx="42">
                  <c:v>98.419478248342301</c:v>
                </c:pt>
                <c:pt idx="43">
                  <c:v>100.57742459374219</c:v>
                </c:pt>
                <c:pt idx="44">
                  <c:v>102.71819338614901</c:v>
                </c:pt>
                <c:pt idx="45">
                  <c:v>104.84185329238757</c:v>
                </c:pt>
                <c:pt idx="46">
                  <c:v>106.94847814019855</c:v>
                </c:pt>
                <c:pt idx="47">
                  <c:v>109.03814628917856</c:v>
                </c:pt>
                <c:pt idx="48">
                  <c:v>111.11094007275604</c:v>
                </c:pt>
                <c:pt idx="49">
                  <c:v>113.16694530235804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81-4177-8A52-4931BA083E93}"/>
            </c:ext>
          </c:extLst>
        </c:ser>
        <c:ser>
          <c:idx val="4"/>
          <c:order val="4"/>
          <c:tx>
            <c:strRef>
              <c:f>Rho!$B$49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Rho!$C$49:$AZ$49</c:f>
              <c:numCache>
                <c:formatCode>General</c:formatCode>
                <c:ptCount val="50"/>
                <c:pt idx="0">
                  <c:v>0.34387414719888948</c:v>
                </c:pt>
                <c:pt idx="1">
                  <c:v>1.8457858977243349</c:v>
                </c:pt>
                <c:pt idx="2">
                  <c:v>3.9649733189571927</c:v>
                </c:pt>
                <c:pt idx="3">
                  <c:v>6.391195032890467</c:v>
                </c:pt>
                <c:pt idx="4">
                  <c:v>8.9902698271112875</c:v>
                </c:pt>
                <c:pt idx="5">
                  <c:v>11.69375646513182</c:v>
                </c:pt>
                <c:pt idx="6">
                  <c:v>14.462340517177152</c:v>
                </c:pt>
                <c:pt idx="7">
                  <c:v>17.271495440169353</c:v>
                </c:pt>
                <c:pt idx="8">
                  <c:v>20.10498173283386</c:v>
                </c:pt>
                <c:pt idx="9">
                  <c:v>22.951558308244618</c:v>
                </c:pt>
                <c:pt idx="10">
                  <c:v>25.803174365459714</c:v>
                </c:pt>
                <c:pt idx="11">
                  <c:v>28.653908438471795</c:v>
                </c:pt>
                <c:pt idx="12">
                  <c:v>31.499312576528673</c:v>
                </c:pt>
                <c:pt idx="13">
                  <c:v>34.335989311891517</c:v>
                </c:pt>
                <c:pt idx="14">
                  <c:v>37.16130893883404</c:v>
                </c:pt>
                <c:pt idx="15">
                  <c:v>39.973214823197011</c:v>
                </c:pt>
                <c:pt idx="16">
                  <c:v>42.77008585592322</c:v>
                </c:pt>
                <c:pt idx="17">
                  <c:v>45.550637104043645</c:v>
                </c:pt>
                <c:pt idx="18">
                  <c:v>48.313846653038986</c:v>
                </c:pt>
                <c:pt idx="19">
                  <c:v>51.05890081373343</c:v>
                </c:pt>
                <c:pt idx="20">
                  <c:v>53.785152462408462</c:v>
                </c:pt>
                <c:pt idx="21">
                  <c:v>56.492088939380849</c:v>
                </c:pt>
                <c:pt idx="22">
                  <c:v>59.179307014529826</c:v>
                </c:pt>
                <c:pt idx="23">
                  <c:v>61.846493152159695</c:v>
                </c:pt>
                <c:pt idx="24">
                  <c:v>64.493407800902446</c:v>
                </c:pt>
                <c:pt idx="25">
                  <c:v>67.119872776552242</c:v>
                </c:pt>
                <c:pt idx="26">
                  <c:v>69.72576104693178</c:v>
                </c:pt>
                <c:pt idx="27">
                  <c:v>72.310988400435107</c:v>
                </c:pt>
                <c:pt idx="28">
                  <c:v>74.875506604993973</c:v>
                </c:pt>
                <c:pt idx="29">
                  <c:v>77.41929775604963</c:v>
                </c:pt>
                <c:pt idx="30">
                  <c:v>79.942369580304728</c:v>
                </c:pt>
                <c:pt idx="31">
                  <c:v>82.444751513200885</c:v>
                </c:pt>
                <c:pt idx="32">
                  <c:v>84.926491406851227</c:v>
                </c:pt>
                <c:pt idx="33">
                  <c:v>87.387652754816912</c:v>
                </c:pt>
                <c:pt idx="34">
                  <c:v>89.828312342996853</c:v>
                </c:pt>
                <c:pt idx="35">
                  <c:v>92.248558253690263</c:v>
                </c:pt>
                <c:pt idx="36">
                  <c:v>94.648488163828858</c:v>
                </c:pt>
                <c:pt idx="37">
                  <c:v>97.028207889369781</c:v>
                </c:pt>
                <c:pt idx="38">
                  <c:v>99.387830136571637</c:v>
                </c:pt>
                <c:pt idx="39">
                  <c:v>101.72747342785478</c:v>
                </c:pt>
                <c:pt idx="40">
                  <c:v>104.04726117555312</c:v>
                </c:pt>
                <c:pt idx="41">
                  <c:v>106.34732088139926</c:v>
                </c:pt>
                <c:pt idx="42">
                  <c:v>108.62778344326669</c:v>
                </c:pt>
                <c:pt idx="43">
                  <c:v>110.88878255370106</c:v>
                </c:pt>
                <c:pt idx="44">
                  <c:v>113.1304541772387</c:v>
                </c:pt>
                <c:pt idx="45">
                  <c:v>115.35293609554562</c:v>
                </c:pt>
                <c:pt idx="46">
                  <c:v>117.55636751109094</c:v>
                </c:pt>
                <c:pt idx="47">
                  <c:v>119.74088870146844</c:v>
                </c:pt>
                <c:pt idx="48">
                  <c:v>121.90664071764625</c:v>
                </c:pt>
                <c:pt idx="49">
                  <c:v>124.0537651204008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81-4177-8A52-4931BA083E93}"/>
            </c:ext>
          </c:extLst>
        </c:ser>
        <c:ser>
          <c:idx val="5"/>
          <c:order val="5"/>
          <c:tx>
            <c:strRef>
              <c:f>Rho!$B$50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Rho!$C$50:$AZ$50</c:f>
              <c:numCache>
                <c:formatCode>General</c:formatCode>
                <c:ptCount val="50"/>
                <c:pt idx="0">
                  <c:v>0.90005833983234396</c:v>
                </c:pt>
                <c:pt idx="1">
                  <c:v>3.2310814267145074</c:v>
                </c:pt>
                <c:pt idx="2">
                  <c:v>6.0153744215510176</c:v>
                </c:pt>
                <c:pt idx="3">
                  <c:v>8.9918508720063972</c:v>
                </c:pt>
                <c:pt idx="4">
                  <c:v>12.063725215373925</c:v>
                </c:pt>
                <c:pt idx="5">
                  <c:v>15.184654348546422</c:v>
                </c:pt>
                <c:pt idx="6">
                  <c:v>18.329016979679462</c:v>
                </c:pt>
                <c:pt idx="7">
                  <c:v>21.4812969336664</c:v>
                </c:pt>
                <c:pt idx="8">
                  <c:v>24.631496184008938</c:v>
                </c:pt>
                <c:pt idx="9">
                  <c:v>27.77288209502176</c:v>
                </c:pt>
                <c:pt idx="10">
                  <c:v>30.900773725543289</c:v>
                </c:pt>
                <c:pt idx="11">
                  <c:v>34.011840413867731</c:v>
                </c:pt>
                <c:pt idx="12">
                  <c:v>37.103673479645508</c:v>
                </c:pt>
                <c:pt idx="13">
                  <c:v>40.174512838750495</c:v>
                </c:pt>
                <c:pt idx="14">
                  <c:v>43.223066018656354</c:v>
                </c:pt>
                <c:pt idx="15">
                  <c:v>46.248384633920288</c:v>
                </c:pt>
                <c:pt idx="16">
                  <c:v>49.249777870866843</c:v>
                </c:pt>
                <c:pt idx="17">
                  <c:v>52.226750534875691</c:v>
                </c:pt>
                <c:pt idx="18">
                  <c:v>55.178957827199071</c:v>
                </c:pt>
                <c:pt idx="19">
                  <c:v>58.106171776385622</c:v>
                </c:pt>
                <c:pt idx="20">
                  <c:v>61.008255951637999</c:v>
                </c:pt>
                <c:pt idx="21">
                  <c:v>63.885146165799156</c:v>
                </c:pt>
                <c:pt idx="22">
                  <c:v>66.736835578526367</c:v>
                </c:pt>
                <c:pt idx="23">
                  <c:v>69.563363077690823</c:v>
                </c:pt>
                <c:pt idx="24">
                  <c:v>72.36480413418704</c:v>
                </c:pt>
                <c:pt idx="25">
                  <c:v>75.141263544374993</c:v>
                </c:pt>
                <c:pt idx="26">
                  <c:v>77.892869628132388</c:v>
                </c:pt>
                <c:pt idx="27">
                  <c:v>80.619769560027962</c:v>
                </c:pt>
                <c:pt idx="28">
                  <c:v>83.322125590219144</c:v>
                </c:pt>
                <c:pt idx="29">
                  <c:v>86.000111969500693</c:v>
                </c:pt>
                <c:pt idx="30">
                  <c:v>88.653912435691268</c:v>
                </c:pt>
                <c:pt idx="31">
                  <c:v>91.283718150500491</c:v>
                </c:pt>
                <c:pt idx="32">
                  <c:v>93.889726000134246</c:v>
                </c:pt>
                <c:pt idx="33">
                  <c:v>96.472137191262803</c:v>
                </c:pt>
                <c:pt idx="34">
                  <c:v>99.031156088079115</c:v>
                </c:pt>
                <c:pt idx="35">
                  <c:v>101.56698924709426</c:v>
                </c:pt>
                <c:pt idx="36">
                  <c:v>104.07984461483063</c:v>
                </c:pt>
                <c:pt idx="37">
                  <c:v>106.56993086025818</c:v>
                </c:pt>
                <c:pt idx="38">
                  <c:v>109.03745681910293</c:v>
                </c:pt>
                <c:pt idx="39">
                  <c:v>111.48263103135724</c:v>
                </c:pt>
                <c:pt idx="40">
                  <c:v>113.90566135668128</c:v>
                </c:pt>
                <c:pt idx="41">
                  <c:v>116.30675465508543</c:v>
                </c:pt>
                <c:pt idx="42">
                  <c:v>118.68611652246592</c:v>
                </c:pt>
                <c:pt idx="43">
                  <c:v>121.04395107233863</c:v>
                </c:pt>
                <c:pt idx="44">
                  <c:v>123.38046075656101</c:v>
                </c:pt>
                <c:pt idx="45">
                  <c:v>125.69584621901635</c:v>
                </c:pt>
                <c:pt idx="46">
                  <c:v>127.99030617720909</c:v>
                </c:pt>
                <c:pt idx="47">
                  <c:v>130.2640373275224</c:v>
                </c:pt>
                <c:pt idx="48">
                  <c:v>132.51723427055845</c:v>
                </c:pt>
                <c:pt idx="49">
                  <c:v>134.75008945353269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781-4177-8A52-4931BA083E93}"/>
            </c:ext>
          </c:extLst>
        </c:ser>
        <c:ser>
          <c:idx val="6"/>
          <c:order val="6"/>
          <c:tx>
            <c:strRef>
              <c:f>Rho!$B$51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Rho!$C$51:$AZ$51</c:f>
              <c:numCache>
                <c:formatCode>General</c:formatCode>
                <c:ptCount val="50"/>
                <c:pt idx="0">
                  <c:v>1.8700586165914483</c:v>
                </c:pt>
                <c:pt idx="1">
                  <c:v>5.036070672768056</c:v>
                </c:pt>
                <c:pt idx="2">
                  <c:v>8.4362359164914515</c:v>
                </c:pt>
                <c:pt idx="3">
                  <c:v>11.913985443079588</c:v>
                </c:pt>
                <c:pt idx="4">
                  <c:v>15.41569073297264</c:v>
                </c:pt>
                <c:pt idx="5">
                  <c:v>18.916853040550677</c:v>
                </c:pt>
                <c:pt idx="6">
                  <c:v>22.404536424546112</c:v>
                </c:pt>
                <c:pt idx="7">
                  <c:v>25.871309962195181</c:v>
                </c:pt>
                <c:pt idx="8">
                  <c:v>29.312683899582499</c:v>
                </c:pt>
                <c:pt idx="9">
                  <c:v>32.725870142600328</c:v>
                </c:pt>
                <c:pt idx="10">
                  <c:v>36.109123869755926</c:v>
                </c:pt>
                <c:pt idx="11">
                  <c:v>39.461368361473887</c:v>
                </c:pt>
                <c:pt idx="12">
                  <c:v>42.781969253903348</c:v>
                </c:pt>
                <c:pt idx="13">
                  <c:v>46.070592688330763</c:v>
                </c:pt>
                <c:pt idx="14">
                  <c:v>49.327112985377944</c:v>
                </c:pt>
                <c:pt idx="15">
                  <c:v>52.551550785101114</c:v>
                </c:pt>
                <c:pt idx="16">
                  <c:v>55.744030586322872</c:v>
                </c:pt>
                <c:pt idx="17">
                  <c:v>58.904751004915035</c:v>
                </c:pt>
                <c:pt idx="18">
                  <c:v>62.033963582654835</c:v>
                </c:pt>
                <c:pt idx="19">
                  <c:v>65.131957470149146</c:v>
                </c:pt>
                <c:pt idx="20">
                  <c:v>68.199048221845828</c:v>
                </c:pt>
                <c:pt idx="21">
                  <c:v>71.23556951749832</c:v>
                </c:pt>
                <c:pt idx="22">
                  <c:v>74.24186699666096</c:v>
                </c:pt>
                <c:pt idx="23">
                  <c:v>77.218293638451243</c:v>
                </c:pt>
                <c:pt idx="24">
                  <c:v>80.16520628413042</c:v>
                </c:pt>
                <c:pt idx="25">
                  <c:v>83.082963013263054</c:v>
                </c:pt>
                <c:pt idx="26">
                  <c:v>85.971921162975775</c:v>
                </c:pt>
                <c:pt idx="27">
                  <c:v>88.832435835418792</c:v>
                </c:pt>
                <c:pt idx="28">
                  <c:v>91.66485877827327</c:v>
                </c:pt>
                <c:pt idx="29">
                  <c:v>94.469537551902377</c:v>
                </c:pt>
                <c:pt idx="30">
                  <c:v>97.246814917774685</c:v>
                </c:pt>
                <c:pt idx="31">
                  <c:v>99.997028398327572</c:v>
                </c:pt>
                <c:pt idx="32">
                  <c:v>102.72050997002238</c:v>
                </c:pt>
                <c:pt idx="33">
                  <c:v>105.4175858600552</c:v>
                </c:pt>
                <c:pt idx="34">
                  <c:v>108.08857642378834</c:v>
                </c:pt>
                <c:pt idx="35">
                  <c:v>110.73379608500538</c:v>
                </c:pt>
                <c:pt idx="36">
                  <c:v>113.35355332496516</c:v>
                </c:pt>
                <c:pt idx="37">
                  <c:v>115.94815070922164</c:v>
                </c:pt>
                <c:pt idx="38">
                  <c:v>118.51788494350306</c:v>
                </c:pt>
                <c:pt idx="39">
                  <c:v>121.0630469517625</c:v>
                </c:pt>
                <c:pt idx="40">
                  <c:v>123.58392197093748</c:v>
                </c:pt>
                <c:pt idx="41">
                  <c:v>126.08078965808402</c:v>
                </c:pt>
                <c:pt idx="42">
                  <c:v>128.55392420643867</c:v>
                </c:pt>
                <c:pt idx="43">
                  <c:v>131.00359446767192</c:v>
                </c:pt>
                <c:pt idx="44">
                  <c:v>133.43006407816011</c:v>
                </c:pt>
                <c:pt idx="45">
                  <c:v>135.83359158755189</c:v>
                </c:pt>
                <c:pt idx="46">
                  <c:v>138.21443058827006</c:v>
                </c:pt>
                <c:pt idx="47">
                  <c:v>140.57282984487514</c:v>
                </c:pt>
                <c:pt idx="48">
                  <c:v>142.90903342245466</c:v>
                </c:pt>
                <c:pt idx="49">
                  <c:v>145.22328081338557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781-4177-8A52-4931BA083E93}"/>
            </c:ext>
          </c:extLst>
        </c:ser>
        <c:ser>
          <c:idx val="7"/>
          <c:order val="7"/>
          <c:tx>
            <c:strRef>
              <c:f>Rho!$B$52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Rho!$C$52:$AZ$52</c:f>
              <c:numCache>
                <c:formatCode>General</c:formatCode>
                <c:ptCount val="50"/>
                <c:pt idx="0">
                  <c:v>3.2213119523005909</c:v>
                </c:pt>
                <c:pt idx="1">
                  <c:v>7.1368215691718566</c:v>
                </c:pt>
                <c:pt idx="2">
                  <c:v>11.088000185964113</c:v>
                </c:pt>
                <c:pt idx="3">
                  <c:v>15.01881948472977</c:v>
                </c:pt>
                <c:pt idx="4">
                  <c:v>18.912585839265248</c:v>
                </c:pt>
                <c:pt idx="5">
                  <c:v>22.763093764832078</c:v>
                </c:pt>
                <c:pt idx="6">
                  <c:v>26.568020924082695</c:v>
                </c:pt>
                <c:pt idx="7">
                  <c:v>30.326737320128505</c:v>
                </c:pt>
                <c:pt idx="8">
                  <c:v>34.039419978794363</c:v>
                </c:pt>
                <c:pt idx="9">
                  <c:v>37.706647988059238</c:v>
                </c:pt>
                <c:pt idx="10">
                  <c:v>41.329201159024329</c:v>
                </c:pt>
                <c:pt idx="11">
                  <c:v>44.907954032882429</c:v>
                </c:pt>
                <c:pt idx="12">
                  <c:v>48.44381792836522</c:v>
                </c:pt>
                <c:pt idx="13">
                  <c:v>51.937708571906448</c:v>
                </c:pt>
                <c:pt idx="14">
                  <c:v>55.390527937387645</c:v>
                </c:pt>
                <c:pt idx="15">
                  <c:v>58.803154232395833</c:v>
                </c:pt>
                <c:pt idx="16">
                  <c:v>62.176436662347378</c:v>
                </c:pt>
                <c:pt idx="17">
                  <c:v>65.511193037224146</c:v>
                </c:pt>
                <c:pt idx="18">
                  <c:v>68.808209078800132</c:v>
                </c:pt>
                <c:pt idx="19">
                  <c:v>72.068238739811349</c:v>
                </c:pt>
                <c:pt idx="20">
                  <c:v>75.292005113209328</c:v>
                </c:pt>
                <c:pt idx="21">
                  <c:v>78.480201670141852</c:v>
                </c:pt>
                <c:pt idx="22">
                  <c:v>81.63349366379947</c:v>
                </c:pt>
                <c:pt idx="23">
                  <c:v>84.75251959767715</c:v>
                </c:pt>
                <c:pt idx="24">
                  <c:v>87.837892695576798</c:v>
                </c:pt>
                <c:pt idx="25">
                  <c:v>90.890202335389503</c:v>
                </c:pt>
                <c:pt idx="26">
                  <c:v>93.910015424536837</c:v>
                </c:pt>
                <c:pt idx="27">
                  <c:v>96.897877705125737</c:v>
                </c:pt>
                <c:pt idx="28">
                  <c:v>99.854314983386075</c:v>
                </c:pt>
                <c:pt idx="29">
                  <c:v>102.77983428209504</c:v>
                </c:pt>
                <c:pt idx="30">
                  <c:v>105.67492491726991</c:v>
                </c:pt>
                <c:pt idx="31">
                  <c:v>108.54005950196212</c:v>
                </c:pt>
                <c:pt idx="32">
                  <c:v>111.37569488086926</c:v>
                </c:pt>
                <c:pt idx="33">
                  <c:v>114.18227299992442</c:v>
                </c:pt>
                <c:pt idx="34">
                  <c:v>116.96022171517967</c:v>
                </c:pt>
                <c:pt idx="35">
                  <c:v>119.70995554527973</c:v>
                </c:pt>
                <c:pt idx="36">
                  <c:v>122.43187637168542</c:v>
                </c:pt>
                <c:pt idx="37">
                  <c:v>125.12637409060711</c:v>
                </c:pt>
                <c:pt idx="38">
                  <c:v>127.79382722036968</c:v>
                </c:pt>
                <c:pt idx="39">
                  <c:v>130.43460346767992</c:v>
                </c:pt>
                <c:pt idx="40">
                  <c:v>133.0490602560123</c:v>
                </c:pt>
                <c:pt idx="41">
                  <c:v>135.6375452190791</c:v>
                </c:pt>
                <c:pt idx="42">
                  <c:v>138.20039666211468</c:v>
                </c:pt>
                <c:pt idx="43">
                  <c:v>140.73794399347742</c:v>
                </c:pt>
                <c:pt idx="44">
                  <c:v>143.25050812886585</c:v>
                </c:pt>
                <c:pt idx="45">
                  <c:v>145.73840187024976</c:v>
                </c:pt>
                <c:pt idx="46">
                  <c:v>148.20193026144045</c:v>
                </c:pt>
                <c:pt idx="47">
                  <c:v>150.64139092205983</c:v>
                </c:pt>
                <c:pt idx="48">
                  <c:v>153.05707436151957</c:v>
                </c:pt>
                <c:pt idx="49">
                  <c:v>155.44926427448368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781-4177-8A52-4931BA083E93}"/>
            </c:ext>
          </c:extLst>
        </c:ser>
        <c:ser>
          <c:idx val="8"/>
          <c:order val="8"/>
          <c:tx>
            <c:strRef>
              <c:f>Rho!$B$53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Rho!$C$53:$AZ$53</c:f>
              <c:numCache>
                <c:formatCode>General</c:formatCode>
                <c:ptCount val="50"/>
                <c:pt idx="0">
                  <c:v>4.7745615896881741</c:v>
                </c:pt>
                <c:pt idx="1">
                  <c:v>9.357459779830597</c:v>
                </c:pt>
                <c:pt idx="2">
                  <c:v>13.813076890990503</c:v>
                </c:pt>
                <c:pt idx="3">
                  <c:v>18.164602673684989</c:v>
                </c:pt>
                <c:pt idx="4">
                  <c:v>22.42554698974585</c:v>
                </c:pt>
                <c:pt idx="5">
                  <c:v>26.605095852007466</c:v>
                </c:pt>
                <c:pt idx="6">
                  <c:v>30.710044125946041</c:v>
                </c:pt>
                <c:pt idx="7">
                  <c:v>34.745695814504138</c:v>
                </c:pt>
                <c:pt idx="8">
                  <c:v>38.71634959003061</c:v>
                </c:pt>
                <c:pt idx="9">
                  <c:v>42.625587403764001</c:v>
                </c:pt>
                <c:pt idx="10">
                  <c:v>46.47645847548366</c:v>
                </c:pt>
                <c:pt idx="11">
                  <c:v>50.271602971250381</c:v>
                </c:pt>
                <c:pt idx="12">
                  <c:v>54.01333867408966</c:v>
                </c:pt>
                <c:pt idx="13">
                  <c:v>57.703723798316034</c:v>
                </c:pt>
                <c:pt idx="14">
                  <c:v>61.344603795554939</c:v>
                </c:pt>
                <c:pt idx="15">
                  <c:v>64.93764705515585</c:v>
                </c:pt>
                <c:pt idx="16">
                  <c:v>68.484372680710493</c:v>
                </c:pt>
                <c:pt idx="17">
                  <c:v>71.986172475292335</c:v>
                </c:pt>
                <c:pt idx="18">
                  <c:v>75.444328605049279</c:v>
                </c:pt>
                <c:pt idx="19">
                  <c:v>78.860027978597216</c:v>
                </c:pt>
                <c:pt idx="20">
                  <c:v>82.234374090208902</c:v>
                </c:pt>
                <c:pt idx="21">
                  <c:v>85.568396876271564</c:v>
                </c:pt>
                <c:pt idx="22">
                  <c:v>88.863060995430189</c:v>
                </c:pt>
                <c:pt idx="23">
                  <c:v>92.119272843579978</c:v>
                </c:pt>
                <c:pt idx="24">
                  <c:v>95.337886542820087</c:v>
                </c:pt>
                <c:pt idx="25">
                  <c:v>98.519709090371364</c:v>
                </c:pt>
                <c:pt idx="26">
                  <c:v>101.66550481376608</c:v>
                </c:pt>
                <c:pt idx="27">
                  <c:v>104.77599924857132</c:v>
                </c:pt>
                <c:pt idx="28">
                  <c:v>107.85188253190066</c:v>
                </c:pt>
                <c:pt idx="29">
                  <c:v>110.89381238715949</c:v>
                </c:pt>
                <c:pt idx="30">
                  <c:v>113.90241676155311</c:v>
                </c:pt>
                <c:pt idx="31">
                  <c:v>116.87829616690543</c:v>
                </c:pt>
                <c:pt idx="32">
                  <c:v>119.82202576560431</c:v>
                </c:pt>
                <c:pt idx="33">
                  <c:v>122.73415723648687</c:v>
                </c:pt>
                <c:pt idx="34">
                  <c:v>125.61522044982264</c:v>
                </c:pt>
                <c:pt idx="35">
                  <c:v>128.46572497595309</c:v>
                </c:pt>
                <c:pt idx="36">
                  <c:v>131.28616144838156</c:v>
                </c:pt>
                <c:pt idx="37">
                  <c:v>134.0770027990074</c:v>
                </c:pt>
                <c:pt idx="38">
                  <c:v>136.83870538063073</c:v>
                </c:pt>
                <c:pt idx="39">
                  <c:v>139.57170998971654</c:v>
                </c:pt>
                <c:pt idx="40">
                  <c:v>142.27644280061719</c:v>
                </c:pt>
                <c:pt idx="41">
                  <c:v>144.95331622094884</c:v>
                </c:pt>
                <c:pt idx="42">
                  <c:v>147.60272967654561</c:v>
                </c:pt>
                <c:pt idx="43">
                  <c:v>150.22507033333707</c:v>
                </c:pt>
                <c:pt idx="44">
                  <c:v>152.82071376257662</c:v>
                </c:pt>
                <c:pt idx="45">
                  <c:v>155.39002455506221</c:v>
                </c:pt>
                <c:pt idx="46">
                  <c:v>157.9333568893166</c:v>
                </c:pt>
                <c:pt idx="47">
                  <c:v>160.45105505811364</c:v>
                </c:pt>
                <c:pt idx="48">
                  <c:v>162.94345395723417</c:v>
                </c:pt>
                <c:pt idx="49">
                  <c:v>165.41087953990137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781-4177-8A52-4931BA083E93}"/>
            </c:ext>
          </c:extLst>
        </c:ser>
        <c:ser>
          <c:idx val="9"/>
          <c:order val="9"/>
          <c:tx>
            <c:strRef>
              <c:f>Rho!$B$54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Rho!$C$54:$AZ$54</c:f>
              <c:numCache>
                <c:formatCode>General</c:formatCode>
                <c:ptCount val="50"/>
                <c:pt idx="0">
                  <c:v>6.2881454200234401</c:v>
                </c:pt>
                <c:pt idx="1">
                  <c:v>11.518961420101293</c:v>
                </c:pt>
                <c:pt idx="2">
                  <c:v>16.464576015219418</c:v>
                </c:pt>
                <c:pt idx="3">
                  <c:v>21.22486437180919</c:v>
                </c:pt>
                <c:pt idx="4">
                  <c:v>25.842611577444298</c:v>
                </c:pt>
                <c:pt idx="5">
                  <c:v>30.341932220380727</c:v>
                </c:pt>
                <c:pt idx="6">
                  <c:v>34.738467942211678</c:v>
                </c:pt>
                <c:pt idx="7">
                  <c:v>39.04328244755694</c:v>
                </c:pt>
                <c:pt idx="8">
                  <c:v>43.264675867308831</c:v>
                </c:pt>
                <c:pt idx="9">
                  <c:v>47.409145943000325</c:v>
                </c:pt>
                <c:pt idx="10">
                  <c:v>51.481945792506544</c:v>
                </c:pt>
                <c:pt idx="11">
                  <c:v>55.487430425350226</c:v>
                </c:pt>
                <c:pt idx="12">
                  <c:v>59.429283760650655</c:v>
                </c:pt>
                <c:pt idx="13">
                  <c:v>63.310673826033074</c:v>
                </c:pt>
                <c:pt idx="14">
                  <c:v>67.134362627563775</c:v>
                </c:pt>
                <c:pt idx="15">
                  <c:v>70.902786230778119</c:v>
                </c:pt>
                <c:pt idx="16">
                  <c:v>74.618114589750263</c:v>
                </c:pt>
                <c:pt idx="17">
                  <c:v>78.282297204071753</c:v>
                </c:pt>
                <c:pt idx="18">
                  <c:v>81.897098607993883</c:v>
                </c:pt>
                <c:pt idx="19">
                  <c:v>85.464126404385539</c:v>
                </c:pt>
                <c:pt idx="20">
                  <c:v>88.984853727039166</c:v>
                </c:pt>
                <c:pt idx="21">
                  <c:v>92.460637467911226</c:v>
                </c:pt>
                <c:pt idx="22">
                  <c:v>95.89273323626746</c:v>
                </c:pt>
                <c:pt idx="23">
                  <c:v>99.282307761500434</c:v>
                </c:pt>
                <c:pt idx="24">
                  <c:v>102.63044927175265</c:v>
                </c:pt>
                <c:pt idx="25">
                  <c:v>105.93817625181966</c:v>
                </c:pt>
                <c:pt idx="26">
                  <c:v>109.20644489019509</c:v>
                </c:pt>
                <c:pt idx="27">
                  <c:v>112.43615545602458</c:v>
                </c:pt>
                <c:pt idx="28">
                  <c:v>115.62815779505945</c:v>
                </c:pt>
                <c:pt idx="29">
                  <c:v>118.78325609458879</c:v>
                </c:pt>
                <c:pt idx="30">
                  <c:v>121.90221303739206</c:v>
                </c:pt>
                <c:pt idx="31">
                  <c:v>124.98575344160442</c:v>
                </c:pt>
                <c:pt idx="32">
                  <c:v>128.03456746531666</c:v>
                </c:pt>
                <c:pt idx="33">
                  <c:v>131.04931344049905</c:v>
                </c:pt>
                <c:pt idx="34">
                  <c:v>134.03062038953516</c:v>
                </c:pt>
                <c:pt idx="35">
                  <c:v>136.97909026860836</c:v>
                </c:pt>
                <c:pt idx="36">
                  <c:v>139.89529997489291</c:v>
                </c:pt>
                <c:pt idx="37">
                  <c:v>142.77980314858587</c:v>
                </c:pt>
                <c:pt idx="38">
                  <c:v>145.63313179598441</c:v>
                </c:pt>
                <c:pt idx="39">
                  <c:v>148.45579775584392</c:v>
                </c:pt>
                <c:pt idx="40">
                  <c:v>151.24829402797315</c:v>
                </c:pt>
                <c:pt idx="41">
                  <c:v>154.01109598029731</c:v>
                </c:pt>
                <c:pt idx="42">
                  <c:v>156.74466244834676</c:v>
                </c:pt>
                <c:pt idx="43">
                  <c:v>159.44943673922035</c:v>
                </c:pt>
                <c:pt idx="44">
                  <c:v>162.12584755046529</c:v>
                </c:pt>
                <c:pt idx="45">
                  <c:v>164.7743098129541</c:v>
                </c:pt>
                <c:pt idx="46">
                  <c:v>167.39522546568355</c:v>
                </c:pt>
                <c:pt idx="47">
                  <c:v>169.98898416943314</c:v>
                </c:pt>
                <c:pt idx="48">
                  <c:v>172.55596396537646</c:v>
                </c:pt>
                <c:pt idx="49">
                  <c:v>175.09653188401299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781-4177-8A52-4931BA083E93}"/>
            </c:ext>
          </c:extLst>
        </c:ser>
        <c:ser>
          <c:idx val="10"/>
          <c:order val="10"/>
          <c:tx>
            <c:strRef>
              <c:f>Rho!$B$55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Rho!$C$55:$AZ$55</c:f>
              <c:numCache>
                <c:formatCode>General</c:formatCode>
                <c:ptCount val="50"/>
                <c:pt idx="0">
                  <c:v>7.567022463888371</c:v>
                </c:pt>
                <c:pt idx="1">
                  <c:v>13.478597360508497</c:v>
                </c:pt>
                <c:pt idx="2">
                  <c:v>18.92600228196601</c:v>
                </c:pt>
                <c:pt idx="3">
                  <c:v>24.099653791382018</c:v>
                </c:pt>
                <c:pt idx="4">
                  <c:v>29.075543360705744</c:v>
                </c:pt>
                <c:pt idx="5">
                  <c:v>33.89426199393823</c:v>
                </c:pt>
                <c:pt idx="6">
                  <c:v>38.581030015877381</c:v>
                </c:pt>
                <c:pt idx="7">
                  <c:v>43.153059839065669</c:v>
                </c:pt>
                <c:pt idx="8">
                  <c:v>47.622877227336751</c:v>
                </c:pt>
                <c:pt idx="9">
                  <c:v>52.000032731099822</c:v>
                </c:pt>
                <c:pt idx="10">
                  <c:v>56.292070901528845</c:v>
                </c:pt>
                <c:pt idx="11">
                  <c:v>60.505119439979104</c:v>
                </c:pt>
                <c:pt idx="12">
                  <c:v>64.644267641350822</c:v>
                </c:pt>
                <c:pt idx="13">
                  <c:v>68.713820499050058</c:v>
                </c:pt>
                <c:pt idx="14">
                  <c:v>72.717475641202867</c:v>
                </c:pt>
                <c:pt idx="15">
                  <c:v>76.658450335705979</c:v>
                </c:pt>
                <c:pt idx="16">
                  <c:v>80.539575036532838</c:v>
                </c:pt>
                <c:pt idx="17">
                  <c:v>84.363363829890886</c:v>
                </c:pt>
                <c:pt idx="18">
                  <c:v>88.132068515565905</c:v>
                </c:pt>
                <c:pt idx="19">
                  <c:v>91.847720831513612</c:v>
                </c:pt>
                <c:pt idx="20">
                  <c:v>95.512165916400491</c:v>
                </c:pt>
                <c:pt idx="21">
                  <c:v>99.12708918256341</c:v>
                </c:pt>
                <c:pt idx="22">
                  <c:v>102.69403815505804</c:v>
                </c:pt>
                <c:pt idx="23">
                  <c:v>106.21444041077471</c:v>
                </c:pt>
                <c:pt idx="24">
                  <c:v>109.68961845755629</c:v>
                </c:pt>
                <c:pt idx="25">
                  <c:v>113.12080218453727</c:v>
                </c:pt>
                <c:pt idx="26">
                  <c:v>116.50913936436379</c:v>
                </c:pt>
                <c:pt idx="27">
                  <c:v>119.85570457774004</c:v>
                </c:pt>
                <c:pt idx="28">
                  <c:v>123.16150684897124</c:v>
                </c:pt>
                <c:pt idx="29">
                  <c:v>126.42749621974821</c:v>
                </c:pt>
                <c:pt idx="30">
                  <c:v>129.65456944174818</c:v>
                </c:pt>
                <c:pt idx="31">
                  <c:v>132.84357493279319</c:v>
                </c:pt>
                <c:pt idx="32">
                  <c:v>135.99531711352421</c:v>
                </c:pt>
                <c:pt idx="33">
                  <c:v>139.11056021981241</c:v>
                </c:pt>
                <c:pt idx="34">
                  <c:v>142.19003166897571</c:v>
                </c:pt>
                <c:pt idx="35">
                  <c:v>145.23442504422889</c:v>
                </c:pt>
                <c:pt idx="36">
                  <c:v>148.24440275086482</c:v>
                </c:pt>
                <c:pt idx="37">
                  <c:v>151.22059838884684</c:v>
                </c:pt>
                <c:pt idx="38">
                  <c:v>154.16361887933016</c:v>
                </c:pt>
                <c:pt idx="39">
                  <c:v>157.07404637677999</c:v>
                </c:pt>
                <c:pt idx="40">
                  <c:v>159.95243999354361</c:v>
                </c:pt>
                <c:pt idx="41">
                  <c:v>162.79933735975965</c:v>
                </c:pt>
                <c:pt idx="42">
                  <c:v>165.6152560381872</c:v>
                </c:pt>
                <c:pt idx="43">
                  <c:v>168.40069481077924</c:v>
                </c:pt>
                <c:pt idx="44">
                  <c:v>171.15613485151627</c:v>
                </c:pt>
                <c:pt idx="45">
                  <c:v>173.88204079806533</c:v>
                </c:pt>
                <c:pt idx="46">
                  <c:v>176.57886173318511</c:v>
                </c:pt>
                <c:pt idx="47">
                  <c:v>179.24703208539549</c:v>
                </c:pt>
                <c:pt idx="48">
                  <c:v>181.88697245723966</c:v>
                </c:pt>
                <c:pt idx="49">
                  <c:v>184.49909038844223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781-4177-8A52-4931BA083E93}"/>
            </c:ext>
          </c:extLst>
        </c:ser>
        <c:ser>
          <c:idx val="11"/>
          <c:order val="11"/>
          <c:tx>
            <c:strRef>
              <c:f>Rho!$B$56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Rho!$C$56:$AZ$56</c:f>
              <c:numCache>
                <c:formatCode>General</c:formatCode>
                <c:ptCount val="50"/>
                <c:pt idx="0">
                  <c:v>8.5219067657974712</c:v>
                </c:pt>
                <c:pt idx="1">
                  <c:v>15.14930446214589</c:v>
                </c:pt>
                <c:pt idx="2">
                  <c:v>21.12000735043156</c:v>
                </c:pt>
                <c:pt idx="3">
                  <c:v>26.719907203265898</c:v>
                </c:pt>
                <c:pt idx="4">
                  <c:v>32.061979379986759</c:v>
                </c:pt>
                <c:pt idx="5">
                  <c:v>37.205212625747272</c:v>
                </c:pt>
                <c:pt idx="6">
                  <c:v>42.185448918602226</c:v>
                </c:pt>
                <c:pt idx="7">
                  <c:v>47.026659296002926</c:v>
                </c:pt>
                <c:pt idx="8">
                  <c:v>51.745974425113666</c:v>
                </c:pt>
                <c:pt idx="9">
                  <c:v>56.356245401488813</c:v>
                </c:pt>
                <c:pt idx="10">
                  <c:v>60.86747657498843</c:v>
                </c:pt>
                <c:pt idx="11">
                  <c:v>65.287686531160162</c:v>
                </c:pt>
                <c:pt idx="12">
                  <c:v>69.623455169001588</c:v>
                </c:pt>
                <c:pt idx="13">
                  <c:v>73.880287304733116</c:v>
                </c:pt>
                <c:pt idx="14">
                  <c:v>78.062863439056656</c:v>
                </c:pt>
                <c:pt idx="15">
                  <c:v>82.175218144784481</c:v>
                </c:pt>
                <c:pt idx="16">
                  <c:v>86.220870350210987</c:v>
                </c:pt>
                <c:pt idx="17">
                  <c:v>90.202920669075695</c:v>
                </c:pt>
                <c:pt idx="18">
                  <c:v>94.124125557722095</c:v>
                </c:pt>
                <c:pt idx="19">
                  <c:v>97.986954800818481</c:v>
                </c:pt>
                <c:pt idx="20">
                  <c:v>101.7936367594146</c:v>
                </c:pt>
                <c:pt idx="21">
                  <c:v>105.54619447427272</c:v>
                </c:pt>
                <c:pt idx="22">
                  <c:v>109.24647482594999</c:v>
                </c:pt>
                <c:pt idx="23">
                  <c:v>112.89617234709874</c:v>
                </c:pt>
                <c:pt idx="24">
                  <c:v>116.49684886219701</c:v>
                </c:pt>
                <c:pt idx="25">
                  <c:v>120.04994983318896</c:v>
                </c:pt>
                <c:pt idx="26">
                  <c:v>123.55681807655284</c:v>
                </c:pt>
                <c:pt idx="27">
                  <c:v>127.01870536217996</c:v>
                </c:pt>
                <c:pt idx="28">
                  <c:v>130.43678228989032</c:v>
                </c:pt>
                <c:pt idx="29">
                  <c:v>133.81214675375247</c:v>
                </c:pt>
                <c:pt idx="30">
                  <c:v>137.14583123958082</c:v>
                </c:pt>
                <c:pt idx="31">
                  <c:v>140.43880915144803</c:v>
                </c:pt>
                <c:pt idx="32">
                  <c:v>143.69200032480254</c:v>
                </c:pt>
                <c:pt idx="33">
                  <c:v>146.90627585397482</c:v>
                </c:pt>
                <c:pt idx="34">
                  <c:v>150.08246233843164</c:v>
                </c:pt>
                <c:pt idx="35">
                  <c:v>153.22134563357494</c:v>
                </c:pt>
                <c:pt idx="36">
                  <c:v>156.32367417706766</c:v>
                </c:pt>
                <c:pt idx="37">
                  <c:v>159.39016194975522</c:v>
                </c:pt>
                <c:pt idx="38">
                  <c:v>162.42149112061341</c:v>
                </c:pt>
                <c:pt idx="39">
                  <c:v>165.41831441730233</c:v>
                </c:pt>
                <c:pt idx="40">
                  <c:v>168.38125725747688</c:v>
                </c:pt>
                <c:pt idx="41">
                  <c:v>171.31091967070526</c:v>
                </c:pt>
                <c:pt idx="42">
                  <c:v>174.20787803646328</c:v>
                </c:pt>
                <c:pt idx="43">
                  <c:v>177.07268666001863</c:v>
                </c:pt>
                <c:pt idx="44">
                  <c:v>179.90587920496912</c:v>
                </c:pt>
                <c:pt idx="45">
                  <c:v>182.70796999863268</c:v>
                </c:pt>
                <c:pt idx="46">
                  <c:v>185.47945522432539</c:v>
                </c:pt>
                <c:pt idx="47">
                  <c:v>188.22081401272936</c:v>
                </c:pt>
                <c:pt idx="48">
                  <c:v>190.93250944299538</c:v>
                </c:pt>
                <c:pt idx="49">
                  <c:v>193.61498946289515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781-4177-8A52-4931BA083E93}"/>
            </c:ext>
          </c:extLst>
        </c:ser>
        <c:ser>
          <c:idx val="12"/>
          <c:order val="12"/>
          <c:tx>
            <c:strRef>
              <c:f>Rho!$B$57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Rho!$C$57:$AZ$57</c:f>
              <c:numCache>
                <c:formatCode>General</c:formatCode>
                <c:ptCount val="50"/>
                <c:pt idx="0">
                  <c:v>9.1621576828050184</c:v>
                </c:pt>
                <c:pt idx="1">
                  <c:v>16.49964291723095</c:v>
                </c:pt>
                <c:pt idx="2">
                  <c:v>23.007913244948508</c:v>
                </c:pt>
                <c:pt idx="3">
                  <c:v>29.046471333625377</c:v>
                </c:pt>
                <c:pt idx="4">
                  <c:v>34.764142712887654</c:v>
                </c:pt>
                <c:pt idx="5">
                  <c:v>40.238913140243085</c:v>
                </c:pt>
                <c:pt idx="6">
                  <c:v>45.517857948704858</c:v>
                </c:pt>
                <c:pt idx="7">
                  <c:v>50.632164038407694</c:v>
                </c:pt>
                <c:pt idx="8">
                  <c:v>55.603893594464068</c:v>
                </c:pt>
                <c:pt idx="9">
                  <c:v>60.449432190585469</c:v>
                </c:pt>
                <c:pt idx="10">
                  <c:v>65.181414053966321</c:v>
                </c:pt>
                <c:pt idx="11">
                  <c:v>69.809874520345261</c:v>
                </c:pt>
                <c:pt idx="12">
                  <c:v>74.342978880590152</c:v>
                </c:pt>
                <c:pt idx="13">
                  <c:v>78.787504324567962</c:v>
                </c:pt>
                <c:pt idx="14">
                  <c:v>83.149170580294566</c:v>
                </c:pt>
                <c:pt idx="15">
                  <c:v>87.43287388387283</c:v>
                </c:pt>
                <c:pt idx="16">
                  <c:v>91.642856971362619</c:v>
                </c:pt>
                <c:pt idx="17">
                  <c:v>95.782835430595767</c:v>
                </c:pt>
                <c:pt idx="18">
                  <c:v>99.856093496983121</c:v>
                </c:pt>
                <c:pt idx="19">
                  <c:v>103.86555795954639</c:v>
                </c:pt>
                <c:pt idx="20">
                  <c:v>107.81385606593483</c:v>
                </c:pt>
                <c:pt idx="21">
                  <c:v>111.70336151943341</c:v>
                </c:pt>
                <c:pt idx="22">
                  <c:v>115.53623147075565</c:v>
                </c:pt>
                <c:pt idx="23">
                  <c:v>119.31443660085529</c:v>
                </c:pt>
                <c:pt idx="24">
                  <c:v>123.03978583342263</c:v>
                </c:pt>
                <c:pt idx="25">
                  <c:v>126.71394682327606</c:v>
                </c:pt>
                <c:pt idx="26">
                  <c:v>130.33846308607502</c:v>
                </c:pt>
                <c:pt idx="27">
                  <c:v>133.91476843086437</c:v>
                </c:pt>
                <c:pt idx="28">
                  <c:v>137.44419920683646</c:v>
                </c:pt>
                <c:pt idx="29">
                  <c:v>140.92800476377539</c:v>
                </c:pt>
                <c:pt idx="30">
                  <c:v>144.36735644123632</c:v>
                </c:pt>
                <c:pt idx="31">
                  <c:v>147.76335533715962</c:v>
                </c:pt>
                <c:pt idx="32">
                  <c:v>151.11703905707219</c:v>
                </c:pt>
                <c:pt idx="33">
                  <c:v>154.42938760652231</c:v>
                </c:pt>
                <c:pt idx="34">
                  <c:v>157.70132855920963</c:v>
                </c:pt>
                <c:pt idx="35">
                  <c:v>160.93374160942091</c:v>
                </c:pt>
                <c:pt idx="36">
                  <c:v>164.12746259838912</c:v>
                </c:pt>
                <c:pt idx="37">
                  <c:v>167.28328708896365</c:v>
                </c:pt>
                <c:pt idx="38">
                  <c:v>170.40197355068531</c:v>
                </c:pt>
                <c:pt idx="39">
                  <c:v>173.48424620736904</c:v>
                </c:pt>
                <c:pt idx="40">
                  <c:v>176.53079759113726</c:v>
                </c:pt>
                <c:pt idx="41">
                  <c:v>179.54229084013497</c:v>
                </c:pt>
                <c:pt idx="42">
                  <c:v>182.51936177161693</c:v>
                </c:pt>
                <c:pt idx="43">
                  <c:v>185.46262075749226</c:v>
                </c:pt>
                <c:pt idx="44">
                  <c:v>188.3726544255729</c:v>
                </c:pt>
                <c:pt idx="45">
                  <c:v>191.2500272065503</c:v>
                </c:pt>
                <c:pt idx="46">
                  <c:v>194.09528274401703</c:v>
                </c:pt>
                <c:pt idx="47">
                  <c:v>196.90894518255541</c:v>
                </c:pt>
                <c:pt idx="48">
                  <c:v>199.6915203469741</c:v>
                </c:pt>
                <c:pt idx="49">
                  <c:v>202.44349682411348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781-4177-8A52-4931BA083E93}"/>
            </c:ext>
          </c:extLst>
        </c:ser>
        <c:ser>
          <c:idx val="13"/>
          <c:order val="13"/>
          <c:tx>
            <c:strRef>
              <c:f>Rho!$B$58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Rho!$C$58:$AZ$58</c:f>
              <c:numCache>
                <c:formatCode>General</c:formatCode>
                <c:ptCount val="50"/>
                <c:pt idx="0">
                  <c:v>9.5529696337487309</c:v>
                </c:pt>
                <c:pt idx="1">
                  <c:v>17.541441911416481</c:v>
                </c:pt>
                <c:pt idx="2">
                  <c:v>24.583332796931099</c:v>
                </c:pt>
                <c:pt idx="3">
                  <c:v>31.065766045525407</c:v>
                </c:pt>
                <c:pt idx="4">
                  <c:v>37.16544951841945</c:v>
                </c:pt>
                <c:pt idx="5">
                  <c:v>42.977630555261058</c:v>
                </c:pt>
                <c:pt idx="6">
                  <c:v>48.560280291930063</c:v>
                </c:pt>
                <c:pt idx="7">
                  <c:v>53.951822548211993</c:v>
                </c:pt>
                <c:pt idx="8">
                  <c:v>59.179358958870388</c:v>
                </c:pt>
                <c:pt idx="9">
                  <c:v>64.262926708077231</c:v>
                </c:pt>
                <c:pt idx="10">
                  <c:v>69.217894660375123</c:v>
                </c:pt>
                <c:pt idx="11">
                  <c:v>74.056403038436144</c:v>
                </c:pt>
                <c:pt idx="12">
                  <c:v>78.788275068244673</c:v>
                </c:pt>
                <c:pt idx="13">
                  <c:v>83.421619633911376</c:v>
                </c:pt>
                <c:pt idx="14">
                  <c:v>87.963244215565823</c:v>
                </c:pt>
                <c:pt idx="15">
                  <c:v>92.418946548154238</c:v>
                </c:pt>
                <c:pt idx="16">
                  <c:v>96.793726043781888</c:v>
                </c:pt>
                <c:pt idx="17">
                  <c:v>101.09194053868768</c:v>
                </c:pt>
                <c:pt idx="18">
                  <c:v>105.31742481270703</c:v>
                </c:pt>
                <c:pt idx="19">
                  <c:v>109.47358177120364</c:v>
                </c:pt>
                <c:pt idx="20">
                  <c:v>113.56345368306198</c:v>
                </c:pt>
                <c:pt idx="21">
                  <c:v>117.58977860767848</c:v>
                </c:pt>
                <c:pt idx="22">
                  <c:v>121.55503564613599</c:v>
                </c:pt>
                <c:pt idx="23">
                  <c:v>125.46148163752059</c:v>
                </c:pt>
                <c:pt idx="24">
                  <c:v>129.31118122089728</c:v>
                </c:pt>
                <c:pt idx="25">
                  <c:v>133.10603169102748</c:v>
                </c:pt>
                <c:pt idx="26">
                  <c:v>136.84778372405302</c:v>
                </c:pt>
                <c:pt idx="27">
                  <c:v>140.5380587942154</c:v>
                </c:pt>
                <c:pt idx="28">
                  <c:v>144.17836391511017</c:v>
                </c:pt>
                <c:pt idx="29">
                  <c:v>147.7701041993632</c:v>
                </c:pt>
                <c:pt idx="30">
                  <c:v>151.31459362548887</c:v>
                </c:pt>
                <c:pt idx="31">
                  <c:v>154.81306432067859</c:v>
                </c:pt>
                <c:pt idx="32">
                  <c:v>158.26667460676677</c:v>
                </c:pt>
                <c:pt idx="33">
                  <c:v>161.67651600890633</c:v>
                </c:pt>
                <c:pt idx="34">
                  <c:v>165.04361938914727</c:v>
                </c:pt>
                <c:pt idx="35">
                  <c:v>168.36896033765521</c:v>
                </c:pt>
                <c:pt idx="36">
                  <c:v>171.65346393089243</c:v>
                </c:pt>
                <c:pt idx="37">
                  <c:v>174.89800894733796</c:v>
                </c:pt>
                <c:pt idx="38">
                  <c:v>178.10343161621702</c:v>
                </c:pt>
                <c:pt idx="39">
                  <c:v>181.27052896245576</c:v>
                </c:pt>
                <c:pt idx="40">
                  <c:v>184.40006180108074</c:v>
                </c:pt>
                <c:pt idx="41">
                  <c:v>187.49275742607892</c:v>
                </c:pt>
                <c:pt idx="42">
                  <c:v>190.54931203196776</c:v>
                </c:pt>
                <c:pt idx="43">
                  <c:v>193.57039290071327</c:v>
                </c:pt>
                <c:pt idx="44">
                  <c:v>196.55664038196124</c:v>
                </c:pt>
                <c:pt idx="45">
                  <c:v>199.50866969063327</c:v>
                </c:pt>
                <c:pt idx="46">
                  <c:v>202.42707254265218</c:v>
                </c:pt>
                <c:pt idx="47">
                  <c:v>205.31241864678384</c:v>
                </c:pt>
                <c:pt idx="48">
                  <c:v>208.16525706823205</c:v>
                </c:pt>
                <c:pt idx="49">
                  <c:v>210.98611747762055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781-4177-8A52-4931BA083E93}"/>
            </c:ext>
          </c:extLst>
        </c:ser>
        <c:ser>
          <c:idx val="14"/>
          <c:order val="14"/>
          <c:tx>
            <c:strRef>
              <c:f>Rho!$B$59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Rho!$C$59:$AZ$59</c:f>
              <c:numCache>
                <c:formatCode>General</c:formatCode>
                <c:ptCount val="50"/>
                <c:pt idx="0">
                  <c:v>9.7726988752408737</c:v>
                </c:pt>
                <c:pt idx="1">
                  <c:v>18.313179497960096</c:v>
                </c:pt>
                <c:pt idx="2">
                  <c:v>25.863230062349118</c:v>
                </c:pt>
                <c:pt idx="3">
                  <c:v>32.783902237962401</c:v>
                </c:pt>
                <c:pt idx="4">
                  <c:v>39.266146102889898</c:v>
                </c:pt>
                <c:pt idx="5">
                  <c:v>45.418282062177518</c:v>
                </c:pt>
                <c:pt idx="6">
                  <c:v>51.307700479279859</c:v>
                </c:pt>
                <c:pt idx="7">
                  <c:v>56.979505759871245</c:v>
                </c:pt>
                <c:pt idx="8">
                  <c:v>62.465631882083152</c:v>
                </c:pt>
                <c:pt idx="9">
                  <c:v>67.789702399757374</c:v>
                </c:pt>
                <c:pt idx="10">
                  <c:v>72.969814846367996</c:v>
                </c:pt>
                <c:pt idx="11">
                  <c:v>78.02023258440326</c:v>
                </c:pt>
                <c:pt idx="12">
                  <c:v>82.952463789925531</c:v>
                </c:pt>
                <c:pt idx="13">
                  <c:v>87.775977913953739</c:v>
                </c:pt>
                <c:pt idx="14">
                  <c:v>92.498697905119954</c:v>
                </c:pt>
                <c:pt idx="15">
                  <c:v>97.12734835575661</c:v>
                </c:pt>
                <c:pt idx="16">
                  <c:v>101.66770800208192</c:v>
                </c:pt>
                <c:pt idx="17">
                  <c:v>106.12479690312566</c:v>
                </c:pt>
                <c:pt idx="18">
                  <c:v>110.50301788730789</c:v>
                </c:pt>
                <c:pt idx="19">
                  <c:v>114.80626527221051</c:v>
                </c:pt>
                <c:pt idx="20">
                  <c:v>119.0380097043747</c:v>
                </c:pt>
                <c:pt idx="21">
                  <c:v>123.2013652686915</c:v>
                </c:pt>
                <c:pt idx="22">
                  <c:v>127.29914322579741</c:v>
                </c:pt>
                <c:pt idx="23">
                  <c:v>131.33389552095295</c:v>
                </c:pt>
                <c:pt idx="24">
                  <c:v>135.30795036784463</c:v>
                </c:pt>
                <c:pt idx="25">
                  <c:v>139.22344161972947</c:v>
                </c:pt>
                <c:pt idx="26">
                  <c:v>143.08233321786048</c:v>
                </c:pt>
                <c:pt idx="27">
                  <c:v>146.88643970071161</c:v>
                </c:pt>
                <c:pt idx="28">
                  <c:v>150.63744353228108</c:v>
                </c:pt>
                <c:pt idx="29">
                  <c:v>154.33690984014336</c:v>
                </c:pt>
                <c:pt idx="30">
                  <c:v>157.98629902775781</c:v>
                </c:pt>
                <c:pt idx="31">
                  <c:v>161.58697762957468</c:v>
                </c:pt>
                <c:pt idx="32">
                  <c:v>165.14022770375652</c:v>
                </c:pt>
                <c:pt idx="33">
                  <c:v>168.64725500017664</c:v>
                </c:pt>
                <c:pt idx="34">
                  <c:v>172.10919609666658</c:v>
                </c:pt>
                <c:pt idx="35">
                  <c:v>175.5271246612528</c:v>
                </c:pt>
                <c:pt idx="36">
                  <c:v>178.90205697014932</c:v>
                </c:pt>
                <c:pt idx="37">
                  <c:v>182.23495678889213</c:v>
                </c:pt>
                <c:pt idx="38">
                  <c:v>185.52673970598386</c:v>
                </c:pt>
                <c:pt idx="39">
                  <c:v>188.77827699381879</c:v>
                </c:pt>
                <c:pt idx="40">
                  <c:v>191.99039905975752</c:v>
                </c:pt>
                <c:pt idx="41">
                  <c:v>195.16389854046565</c:v>
                </c:pt>
                <c:pt idx="42">
                  <c:v>198.29953308459403</c:v>
                </c:pt>
                <c:pt idx="43">
                  <c:v>201.39802786221884</c:v>
                </c:pt>
                <c:pt idx="44">
                  <c:v>204.46007783391974</c:v>
                </c:pt>
                <c:pt idx="45">
                  <c:v>207.48634980774071</c:v>
                </c:pt>
                <c:pt idx="46">
                  <c:v>210.47748430838982</c:v>
                </c:pt>
                <c:pt idx="47">
                  <c:v>213.43409727975049</c:v>
                </c:pt>
                <c:pt idx="48">
                  <c:v>216.35678163900391</c:v>
                </c:pt>
                <c:pt idx="49">
                  <c:v>219.24610869829903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781-4177-8A52-4931BA083E93}"/>
            </c:ext>
          </c:extLst>
        </c:ser>
        <c:ser>
          <c:idx val="15"/>
          <c:order val="15"/>
          <c:tx>
            <c:strRef>
              <c:f>Rho!$B$60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Rho!$C$60:$AZ$60</c:f>
              <c:numCache>
                <c:formatCode>General</c:formatCode>
                <c:ptCount val="50"/>
                <c:pt idx="0">
                  <c:v>9.8876419250341243</c:v>
                </c:pt>
                <c:pt idx="1">
                  <c:v>18.864855706335121</c:v>
                </c:pt>
                <c:pt idx="2">
                  <c:v>26.87893120881029</c:v>
                </c:pt>
                <c:pt idx="3">
                  <c:v>34.220610885205488</c:v>
                </c:pt>
                <c:pt idx="4">
                  <c:v>41.078808592676815</c:v>
                </c:pt>
                <c:pt idx="5">
                  <c:v>47.568877392186032</c:v>
                </c:pt>
                <c:pt idx="6">
                  <c:v>53.765121835776469</c:v>
                </c:pt>
                <c:pt idx="7">
                  <c:v>59.718192405301181</c:v>
                </c:pt>
                <c:pt idx="8">
                  <c:v>65.464309190246212</c:v>
                </c:pt>
                <c:pt idx="9">
                  <c:v>71.030409119699939</c:v>
                </c:pt>
                <c:pt idx="10">
                  <c:v>76.437180097317977</c:v>
                </c:pt>
                <c:pt idx="11">
                  <c:v>81.700939694373929</c:v>
                </c:pt>
                <c:pt idx="12">
                  <c:v>86.83484891910048</c:v>
                </c:pt>
                <c:pt idx="13">
                  <c:v>91.849725539211946</c:v>
                </c:pt>
                <c:pt idx="14">
                  <c:v>96.754606465204262</c:v>
                </c:pt>
                <c:pt idx="15">
                  <c:v>101.55714734535033</c:v>
                </c:pt>
                <c:pt idx="16">
                  <c:v>106.2639133137548</c:v>
                </c:pt>
                <c:pt idx="17">
                  <c:v>110.88059499838963</c:v>
                </c:pt>
                <c:pt idx="18">
                  <c:v>115.41217198886103</c:v>
                </c:pt>
                <c:pt idx="19">
                  <c:v>119.86303859037977</c:v>
                </c:pt>
                <c:pt idx="20">
                  <c:v>124.23710199641842</c:v>
                </c:pt>
                <c:pt idx="21">
                  <c:v>128.53785994906795</c:v>
                </c:pt>
                <c:pt idx="22">
                  <c:v>132.76846291151347</c:v>
                </c:pt>
                <c:pt idx="23">
                  <c:v>136.9317643845495</c:v>
                </c:pt>
                <c:pt idx="24">
                  <c:v>141.03036203306306</c:v>
                </c:pt>
                <c:pt idx="25">
                  <c:v>145.06663160695652</c:v>
                </c:pt>
                <c:pt idx="26">
                  <c:v>149.04275515280682</c:v>
                </c:pt>
                <c:pt idx="27">
                  <c:v>152.96074465787649</c:v>
                </c:pt>
                <c:pt idx="28">
                  <c:v>156.82246200702704</c:v>
                </c:pt>
                <c:pt idx="29">
                  <c:v>160.62963593860266</c:v>
                </c:pt>
                <c:pt idx="30">
                  <c:v>164.38387653885076</c:v>
                </c:pt>
                <c:pt idx="31">
                  <c:v>168.08668770293687</c:v>
                </c:pt>
                <c:pt idx="32">
                  <c:v>171.73947790491314</c:v>
                </c:pt>
                <c:pt idx="33">
                  <c:v>175.34356955254918</c:v>
                </c:pt>
                <c:pt idx="34">
                  <c:v>178.90020715095966</c:v>
                </c:pt>
                <c:pt idx="35">
                  <c:v>182.41056445800183</c:v>
                </c:pt>
                <c:pt idx="36">
                  <c:v>185.8757507818849</c:v>
                </c:pt>
                <c:pt idx="37">
                  <c:v>189.29681654541753</c:v>
                </c:pt>
                <c:pt idx="38">
                  <c:v>192.67475822038125</c:v>
                </c:pt>
                <c:pt idx="39">
                  <c:v>196.01052271855349</c:v>
                </c:pt>
                <c:pt idx="40">
                  <c:v>199.30501131208524</c:v>
                </c:pt>
                <c:pt idx="41">
                  <c:v>202.55908314461303</c:v>
                </c:pt>
                <c:pt idx="42">
                  <c:v>205.7735583851599</c:v>
                </c:pt>
                <c:pt idx="43">
                  <c:v>208.94922106915502</c:v>
                </c:pt>
                <c:pt idx="44">
                  <c:v>212.08682166448406</c:v>
                </c:pt>
                <c:pt idx="45">
                  <c:v>215.18707939511003</c:v>
                </c:pt>
                <c:pt idx="46">
                  <c:v>218.25068435030542</c:v>
                </c:pt>
                <c:pt idx="47">
                  <c:v>221.27829940373579</c:v>
                </c:pt>
                <c:pt idx="48">
                  <c:v>224.27056196342875</c:v>
                </c:pt>
                <c:pt idx="49">
                  <c:v>227.22808557093137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781-4177-8A52-4931BA083E93}"/>
            </c:ext>
          </c:extLst>
        </c:ser>
        <c:ser>
          <c:idx val="16"/>
          <c:order val="16"/>
          <c:tx>
            <c:strRef>
              <c:f>Rho!$B$61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Rho!$C$61:$AZ$61</c:f>
              <c:numCache>
                <c:formatCode>General</c:formatCode>
                <c:ptCount val="50"/>
                <c:pt idx="0">
                  <c:v>9.9440744875448654</c:v>
                </c:pt>
                <c:pt idx="1">
                  <c:v>19.247074004842013</c:v>
                </c:pt>
                <c:pt idx="2">
                  <c:v>27.668549635095594</c:v>
                </c:pt>
                <c:pt idx="3">
                  <c:v>35.403824791734948</c:v>
                </c:pt>
                <c:pt idx="4">
                  <c:v>42.624231884996099</c:v>
                </c:pt>
                <c:pt idx="5">
                  <c:v>49.445242484886492</c:v>
                </c:pt>
                <c:pt idx="6">
                  <c:v>55.944854737480313</c:v>
                </c:pt>
                <c:pt idx="7">
                  <c:v>62.177658666529453</c:v>
                </c:pt>
                <c:pt idx="8">
                  <c:v>68.183310269126082</c:v>
                </c:pt>
                <c:pt idx="9">
                  <c:v>73.991588331677207</c:v>
                </c:pt>
                <c:pt idx="10">
                  <c:v>79.62550012858911</c:v>
                </c:pt>
                <c:pt idx="11">
                  <c:v>85.103257618257544</c:v>
                </c:pt>
                <c:pt idx="12">
                  <c:v>90.439578817525785</c:v>
                </c:pt>
                <c:pt idx="13">
                  <c:v>95.646571959944382</c:v>
                </c:pt>
                <c:pt idx="14">
                  <c:v>100.73435314667654</c:v>
                </c:pt>
                <c:pt idx="15">
                  <c:v>105.71148860018934</c:v>
                </c:pt>
                <c:pt idx="16">
                  <c:v>110.58531833525235</c:v>
                </c:pt>
                <c:pt idx="17">
                  <c:v>115.36219769937601</c:v>
                </c:pt>
                <c:pt idx="18">
                  <c:v>120.04768078370155</c:v>
                </c:pt>
                <c:pt idx="19">
                  <c:v>124.64666188211991</c:v>
                </c:pt>
                <c:pt idx="20">
                  <c:v>129.16348613722147</c:v>
                </c:pt>
                <c:pt idx="21">
                  <c:v>133.60203719132892</c:v>
                </c:pt>
                <c:pt idx="22">
                  <c:v>137.96580742730049</c:v>
                </c:pt>
                <c:pt idx="23">
                  <c:v>142.25795485260085</c:v>
                </c:pt>
                <c:pt idx="24">
                  <c:v>146.48134961210729</c:v>
                </c:pt>
                <c:pt idx="25">
                  <c:v>150.63861235820511</c:v>
                </c:pt>
                <c:pt idx="26">
                  <c:v>154.73214616239338</c:v>
                </c:pt>
                <c:pt idx="27">
                  <c:v>158.76416325584017</c:v>
                </c:pt>
                <c:pt idx="28">
                  <c:v>162.73670759346038</c:v>
                </c:pt>
                <c:pt idx="29">
                  <c:v>166.65167401740655</c:v>
                </c:pt>
                <c:pt idx="30">
                  <c:v>170.51082463080229</c:v>
                </c:pt>
                <c:pt idx="31">
                  <c:v>174.3158028667003</c:v>
                </c:pt>
                <c:pt idx="32">
                  <c:v>178.06814564039774</c:v>
                </c:pt>
                <c:pt idx="33">
                  <c:v>181.76929389804869</c:v>
                </c:pt>
                <c:pt idx="34">
                  <c:v>185.42060181565034</c:v>
                </c:pt>
                <c:pt idx="35">
                  <c:v>189.02334485604834</c:v>
                </c:pt>
                <c:pt idx="36">
                  <c:v>192.57872685470556</c:v>
                </c:pt>
                <c:pt idx="37">
                  <c:v>196.08788627545908</c:v>
                </c:pt>
                <c:pt idx="38">
                  <c:v>199.55190175371351</c:v>
                </c:pt>
                <c:pt idx="39">
                  <c:v>202.97179702525756</c:v>
                </c:pt>
                <c:pt idx="40">
                  <c:v>206.34854532319221</c:v>
                </c:pt>
                <c:pt idx="41">
                  <c:v>209.68307331259288</c:v>
                </c:pt>
                <c:pt idx="42">
                  <c:v>212.97626462193546</c:v>
                </c:pt>
                <c:pt idx="43">
                  <c:v>216.2289630215376</c:v>
                </c:pt>
                <c:pt idx="44">
                  <c:v>219.44197529197882</c:v>
                </c:pt>
                <c:pt idx="45">
                  <c:v>222.61607381935735</c:v>
                </c:pt>
                <c:pt idx="46">
                  <c:v>225.7519989491355</c:v>
                </c:pt>
                <c:pt idx="47">
                  <c:v>228.85046112600793</c:v>
                </c:pt>
                <c:pt idx="48">
                  <c:v>231.91214284358742</c:v>
                </c:pt>
                <c:pt idx="49">
                  <c:v>234.93770042460429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781-4177-8A52-4931BA083E93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860145184"/>
        <c:axId val="860145664"/>
        <c:axId val="1053204304"/>
      </c:surface3DChart>
      <c:catAx>
        <c:axId val="86014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145664"/>
        <c:crosses val="autoZero"/>
        <c:auto val="1"/>
        <c:lblAlgn val="ctr"/>
        <c:lblOffset val="100"/>
        <c:noMultiLvlLbl val="0"/>
      </c:catAx>
      <c:valAx>
        <c:axId val="8601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145184"/>
        <c:crosses val="autoZero"/>
        <c:crossBetween val="midCat"/>
      </c:valAx>
      <c:serAx>
        <c:axId val="10532043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14566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Theta,</a:t>
            </a:r>
            <a:r>
              <a:rPr lang="en-US" baseline="0"/>
              <a:t> vol=10%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Theta!$B$3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Theta!$C$3:$AZ$3</c:f>
              <c:numCache>
                <c:formatCode>General</c:formatCode>
                <c:ptCount val="50"/>
                <c:pt idx="0">
                  <c:v>-1.7679600007399667E-55</c:v>
                </c:pt>
                <c:pt idx="1">
                  <c:v>-2.6800559022937503E-27</c:v>
                </c:pt>
                <c:pt idx="2">
                  <c:v>-6.075928913710345E-18</c:v>
                </c:pt>
                <c:pt idx="3">
                  <c:v>-2.7716544816216898E-13</c:v>
                </c:pt>
                <c:pt idx="4">
                  <c:v>-1.6869874250426192E-10</c:v>
                </c:pt>
                <c:pt idx="5">
                  <c:v>-1.1911447711131831E-8</c:v>
                </c:pt>
                <c:pt idx="6">
                  <c:v>-2.461987681727331E-7</c:v>
                </c:pt>
                <c:pt idx="7">
                  <c:v>-2.3648518907066315E-6</c:v>
                </c:pt>
                <c:pt idx="8">
                  <c:v>-1.3642302857830947E-5</c:v>
                </c:pt>
                <c:pt idx="9">
                  <c:v>-5.5115136698072929E-5</c:v>
                </c:pt>
                <c:pt idx="10">
                  <c:v>-1.7193527388923791E-4</c:v>
                </c:pt>
                <c:pt idx="11">
                  <c:v>-4.4198480185979143E-4</c:v>
                </c:pt>
                <c:pt idx="12">
                  <c:v>-9.7931265734415998E-4</c:v>
                </c:pt>
                <c:pt idx="13">
                  <c:v>-1.9312308174246568E-3</c:v>
                </c:pt>
                <c:pt idx="14">
                  <c:v>-3.4701293061948704E-3</c:v>
                </c:pt>
                <c:pt idx="15">
                  <c:v>-5.7822346145533204E-3</c:v>
                </c:pt>
                <c:pt idx="16">
                  <c:v>-9.0556367067857035E-3</c:v>
                </c:pt>
                <c:pt idx="17">
                  <c:v>-1.3469380902112041E-2</c:v>
                </c:pt>
                <c:pt idx="18">
                  <c:v>-1.9184697448230658E-2</c:v>
                </c:pt>
                <c:pt idx="19">
                  <c:v>-2.6338792395197271E-2</c:v>
                </c:pt>
                <c:pt idx="20">
                  <c:v>-3.5041156754391657E-2</c:v>
                </c:pt>
                <c:pt idx="21">
                  <c:v>-4.5372074449114778E-2</c:v>
                </c:pt>
                <c:pt idx="22">
                  <c:v>-5.738288525848919E-2</c:v>
                </c:pt>
                <c:pt idx="23">
                  <c:v>-7.1097538033991436E-2</c:v>
                </c:pt>
                <c:pt idx="24">
                  <c:v>-8.6515008990767778E-2</c:v>
                </c:pt>
                <c:pt idx="25">
                  <c:v>-0.1036122281575305</c:v>
                </c:pt>
                <c:pt idx="26">
                  <c:v>-0.12234723345939152</c:v>
                </c:pt>
                <c:pt idx="27">
                  <c:v>-0.14266234447384915</c:v>
                </c:pt>
                <c:pt idx="28">
                  <c:v>-0.16448721078225825</c:v>
                </c:pt>
                <c:pt idx="29">
                  <c:v>-0.18774164101932242</c:v>
                </c:pt>
                <c:pt idx="30">
                  <c:v>-0.21233815838360773</c:v>
                </c:pt>
                <c:pt idx="31">
                  <c:v>-0.23818425779752439</c:v>
                </c:pt>
                <c:pt idx="32">
                  <c:v>-0.26518436080411339</c:v>
                </c:pt>
                <c:pt idx="33">
                  <c:v>-0.29324147840582704</c:v>
                </c:pt>
                <c:pt idx="34">
                  <c:v>-0.32225860097326786</c:v>
                </c:pt>
                <c:pt idx="35">
                  <c:v>-0.35213983942492177</c:v>
                </c:pt>
                <c:pt idx="36">
                  <c:v>-0.38279134419152422</c:v>
                </c:pt>
                <c:pt idx="37">
                  <c:v>-0.4141220288823611</c:v>
                </c:pt>
                <c:pt idx="38">
                  <c:v>-0.44604412471206745</c:v>
                </c:pt>
                <c:pt idx="39">
                  <c:v>-0.47847359010372875</c:v>
                </c:pt>
                <c:pt idx="40">
                  <c:v>-0.51133039780232914</c:v>
                </c:pt>
                <c:pt idx="41">
                  <c:v>-0.5445387195538236</c:v>
                </c:pt>
                <c:pt idx="42">
                  <c:v>-0.57802702609383638</c:v>
                </c:pt>
                <c:pt idx="43">
                  <c:v>-0.61172811795327686</c:v>
                </c:pt>
                <c:pt idx="44">
                  <c:v>-0.64557910049149403</c:v>
                </c:pt>
                <c:pt idx="45">
                  <c:v>-0.67952131464730825</c:v>
                </c:pt>
                <c:pt idx="46">
                  <c:v>-0.71350023316993616</c:v>
                </c:pt>
                <c:pt idx="47">
                  <c:v>-0.74746533055785414</c:v>
                </c:pt>
                <c:pt idx="48">
                  <c:v>-0.78136993358728779</c:v>
                </c:pt>
                <c:pt idx="49">
                  <c:v>-0.81517105814142266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CA-4439-8EE1-39E909372A54}"/>
            </c:ext>
          </c:extLst>
        </c:ser>
        <c:ser>
          <c:idx val="1"/>
          <c:order val="1"/>
          <c:tx>
            <c:strRef>
              <c:f>Theta!$B$4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Theta!$C$4:$AZ$4</c:f>
              <c:numCache>
                <c:formatCode>General</c:formatCode>
                <c:ptCount val="50"/>
                <c:pt idx="0">
                  <c:v>-3.9470321326028994E-39</c:v>
                </c:pt>
                <c:pt idx="1">
                  <c:v>-3.925532325198077E-19</c:v>
                </c:pt>
                <c:pt idx="2">
                  <c:v>-1.6661184828399499E-12</c:v>
                </c:pt>
                <c:pt idx="3">
                  <c:v>-3.2886360945747663E-9</c:v>
                </c:pt>
                <c:pt idx="4">
                  <c:v>-3.0416537650971246E-7</c:v>
                </c:pt>
                <c:pt idx="5">
                  <c:v>-6.1157855400856871E-6</c:v>
                </c:pt>
                <c:pt idx="6">
                  <c:v>-5.153839391664152E-5</c:v>
                </c:pt>
                <c:pt idx="7">
                  <c:v>-2.5259415203088731E-4</c:v>
                </c:pt>
                <c:pt idx="8">
                  <c:v>-8.6342757606333999E-4</c:v>
                </c:pt>
                <c:pt idx="9">
                  <c:v>-2.295033637211479E-3</c:v>
                </c:pt>
                <c:pt idx="10">
                  <c:v>-5.0830638733911542E-3</c:v>
                </c:pt>
                <c:pt idx="11">
                  <c:v>-9.8221621559539691E-3</c:v>
                </c:pt>
                <c:pt idx="12">
                  <c:v>-1.7093644462763059E-2</c:v>
                </c:pt>
                <c:pt idx="13">
                  <c:v>-2.7406144140226751E-2</c:v>
                </c:pt>
                <c:pt idx="14">
                  <c:v>-4.1157533526106287E-2</c:v>
                </c:pt>
                <c:pt idx="15">
                  <c:v>-5.8617961234128255E-2</c:v>
                </c:pt>
                <c:pt idx="16">
                  <c:v>-7.992958876738189E-2</c:v>
                </c:pt>
                <c:pt idx="17">
                  <c:v>-0.10511749132413965</c:v>
                </c:pt>
                <c:pt idx="18">
                  <c:v>-0.13410675557292553</c:v>
                </c:pt>
                <c:pt idx="19">
                  <c:v>-0.1667420034809575</c:v>
                </c:pt>
                <c:pt idx="20">
                  <c:v>-0.20280680870746937</c:v>
                </c:pt>
                <c:pt idx="21">
                  <c:v>-0.24204149887622217</c:v>
                </c:pt>
                <c:pt idx="22">
                  <c:v>-0.28415859044223574</c:v>
                </c:pt>
                <c:pt idx="23">
                  <c:v>-0.32885560728835539</c:v>
                </c:pt>
                <c:pt idx="24">
                  <c:v>-0.37582534357584174</c:v>
                </c:pt>
                <c:pt idx="25">
                  <c:v>-0.42476380139726139</c:v>
                </c:pt>
                <c:pt idx="26">
                  <c:v>-0.47537611097186039</c:v>
                </c:pt>
                <c:pt idx="27">
                  <c:v>-0.52738076043075999</c:v>
                </c:pt>
                <c:pt idx="28">
                  <c:v>-0.58051244813560166</c:v>
                </c:pt>
                <c:pt idx="29">
                  <c:v>-0.63452383918317068</c:v>
                </c:pt>
                <c:pt idx="30">
                  <c:v>-0.68918646948639173</c:v>
                </c:pt>
                <c:pt idx="31">
                  <c:v>-0.74429100166264972</c:v>
                </c:pt>
                <c:pt idx="32">
                  <c:v>-0.79964700024229374</c:v>
                </c:pt>
                <c:pt idx="33">
                  <c:v>-0.85508236103880064</c:v>
                </c:pt>
                <c:pt idx="34">
                  <c:v>-0.91044250145169903</c:v>
                </c:pt>
                <c:pt idx="35">
                  <c:v>-0.96558939495691498</c:v>
                </c:pt>
                <c:pt idx="36">
                  <c:v>-1.0204005137135725</c:v>
                </c:pt>
                <c:pt idx="37">
                  <c:v>-1.0747677275788301</c:v>
                </c:pt>
                <c:pt idx="38">
                  <c:v>-1.1285961953336159</c:v>
                </c:pt>
                <c:pt idx="39">
                  <c:v>-1.1818032740635449</c:v>
                </c:pt>
                <c:pt idx="40">
                  <c:v>-1.2343174649416166</c:v>
                </c:pt>
                <c:pt idx="41">
                  <c:v>-1.2860774077135573</c:v>
                </c:pt>
                <c:pt idx="42">
                  <c:v>-1.3370309316461211</c:v>
                </c:pt>
                <c:pt idx="43">
                  <c:v>-1.3871341672746478</c:v>
                </c:pt>
                <c:pt idx="44">
                  <c:v>-1.4363507207417059</c:v>
                </c:pt>
                <c:pt idx="45">
                  <c:v>-1.4846509106618415</c:v>
                </c:pt>
                <c:pt idx="46">
                  <c:v>-1.5320110661236996</c:v>
                </c:pt>
                <c:pt idx="47">
                  <c:v>-1.5784128835272657</c:v>
                </c:pt>
                <c:pt idx="48">
                  <c:v>-1.623842839352923</c:v>
                </c:pt>
                <c:pt idx="49">
                  <c:v>-1.6682916555940459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CA-4439-8EE1-39E909372A54}"/>
            </c:ext>
          </c:extLst>
        </c:ser>
        <c:ser>
          <c:idx val="2"/>
          <c:order val="2"/>
          <c:tx>
            <c:strRef>
              <c:f>Theta!$B$5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Theta!$C$5:$AZ$5</c:f>
              <c:numCache>
                <c:formatCode>General</c:formatCode>
                <c:ptCount val="50"/>
                <c:pt idx="0">
                  <c:v>-1.7875592337370058E-26</c:v>
                </c:pt>
                <c:pt idx="1">
                  <c:v>-8.2017718769931129E-13</c:v>
                </c:pt>
                <c:pt idx="2">
                  <c:v>-2.6899658423205685E-8</c:v>
                </c:pt>
                <c:pt idx="3">
                  <c:v>-4.6675687579254725E-6</c:v>
                </c:pt>
                <c:pt idx="4">
                  <c:v>-1.0037348570311813E-4</c:v>
                </c:pt>
                <c:pt idx="5">
                  <c:v>-7.6312467459528567E-4</c:v>
                </c:pt>
                <c:pt idx="6">
                  <c:v>-3.21065267969463E-3</c:v>
                </c:pt>
                <c:pt idx="7">
                  <c:v>-9.3461529767725985E-3</c:v>
                </c:pt>
                <c:pt idx="8">
                  <c:v>-2.1304321984955053E-2</c:v>
                </c:pt>
                <c:pt idx="9">
                  <c:v>-4.0950801992583968E-2</c:v>
                </c:pt>
                <c:pt idx="10">
                  <c:v>-6.9571254433050067E-2</c:v>
                </c:pt>
                <c:pt idx="11">
                  <c:v>-0.10778086181925479</c:v>
                </c:pt>
                <c:pt idx="12">
                  <c:v>-0.15558514533021123</c:v>
                </c:pt>
                <c:pt idx="13">
                  <c:v>-0.21251232584427515</c:v>
                </c:pt>
                <c:pt idx="14">
                  <c:v>-0.2777609615807819</c:v>
                </c:pt>
                <c:pt idx="15">
                  <c:v>-0.35033261692918249</c:v>
                </c:pt>
                <c:pt idx="16">
                  <c:v>-0.42913771708550108</c:v>
                </c:pt>
                <c:pt idx="17">
                  <c:v>-0.51307317898564575</c:v>
                </c:pt>
                <c:pt idx="18">
                  <c:v>-0.6010752580839267</c:v>
                </c:pt>
                <c:pt idx="19">
                  <c:v>-0.69215264819992117</c:v>
                </c:pt>
                <c:pt idx="20">
                  <c:v>-0.78540483565470387</c:v>
                </c:pt>
                <c:pt idx="21">
                  <c:v>-0.88002999270268245</c:v>
                </c:pt>
                <c:pt idx="22">
                  <c:v>-0.97532579882823867</c:v>
                </c:pt>
                <c:pt idx="23">
                  <c:v>-1.0706857330061428</c:v>
                </c:pt>
                <c:pt idx="24">
                  <c:v>-1.1655926721080339</c:v>
                </c:pt>
                <c:pt idx="25">
                  <c:v>-1.2596110760050774</c:v>
                </c:pt>
                <c:pt idx="26">
                  <c:v>-1.35237862375716</c:v>
                </c:pt>
                <c:pt idx="27">
                  <c:v>-1.4435978627089483</c:v>
                </c:pt>
                <c:pt idx="28">
                  <c:v>-1.5330282178940959</c:v>
                </c:pt>
                <c:pt idx="29">
                  <c:v>-1.6204785607053303</c:v>
                </c:pt>
                <c:pt idx="30">
                  <c:v>-1.7058004354527672</c:v>
                </c:pt>
                <c:pt idx="31">
                  <c:v>-1.7888819764655639</c:v>
                </c:pt>
                <c:pt idx="32">
                  <c:v>-1.8696425065460553</c:v>
                </c:pt>
                <c:pt idx="33">
                  <c:v>-1.9480277823848233</c:v>
                </c:pt>
                <c:pt idx="34">
                  <c:v>-2.0240058386267483</c:v>
                </c:pt>
                <c:pt idx="35">
                  <c:v>-2.0975633758483143</c:v>
                </c:pt>
                <c:pt idx="36">
                  <c:v>-2.1687026361158499</c:v>
                </c:pt>
                <c:pt idx="37">
                  <c:v>-2.2374387112159462</c:v>
                </c:pt>
                <c:pt idx="38">
                  <c:v>-2.303797231840365</c:v>
                </c:pt>
                <c:pt idx="39">
                  <c:v>-2.3678123901366508</c:v>
                </c:pt>
                <c:pt idx="40">
                  <c:v>-2.4295252525574291</c:v>
                </c:pt>
                <c:pt idx="41">
                  <c:v>-2.4889823245084872</c:v>
                </c:pt>
                <c:pt idx="42">
                  <c:v>-2.5462343326958323</c:v>
                </c:pt>
                <c:pt idx="43">
                  <c:v>-2.6013351951835384</c:v>
                </c:pt>
                <c:pt idx="44">
                  <c:v>-2.6543411529360976</c:v>
                </c:pt>
                <c:pt idx="45">
                  <c:v>-2.7053100400092904</c:v>
                </c:pt>
                <c:pt idx="46">
                  <c:v>-2.7543006725747139</c:v>
                </c:pt>
                <c:pt idx="47">
                  <c:v>-2.8013723396325929</c:v>
                </c:pt>
                <c:pt idx="48">
                  <c:v>-2.8465843806106941</c:v>
                </c:pt>
                <c:pt idx="49">
                  <c:v>-2.8899958370936676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CA-4439-8EE1-39E909372A54}"/>
            </c:ext>
          </c:extLst>
        </c:ser>
        <c:ser>
          <c:idx val="3"/>
          <c:order val="3"/>
          <c:tx>
            <c:strRef>
              <c:f>Theta!$B$6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Theta!$C$6:$AZ$6</c:f>
              <c:numCache>
                <c:formatCode>General</c:formatCode>
                <c:ptCount val="50"/>
                <c:pt idx="0">
                  <c:v>-7.7775413165978579E-17</c:v>
                </c:pt>
                <c:pt idx="1">
                  <c:v>-5.3185149357530166E-8</c:v>
                </c:pt>
                <c:pt idx="2">
                  <c:v>-4.2930244650064154E-5</c:v>
                </c:pt>
                <c:pt idx="3">
                  <c:v>-1.1686862125943633E-3</c:v>
                </c:pt>
                <c:pt idx="4">
                  <c:v>-8.271768726880421E-3</c:v>
                </c:pt>
                <c:pt idx="5">
                  <c:v>-2.9980373611627319E-2</c:v>
                </c:pt>
                <c:pt idx="6">
                  <c:v>-7.4307655940315645E-2</c:v>
                </c:pt>
                <c:pt idx="7">
                  <c:v>-0.14545600487234484</c:v>
                </c:pt>
                <c:pt idx="8">
                  <c:v>-0.24351807416175186</c:v>
                </c:pt>
                <c:pt idx="9">
                  <c:v>-0.36568287107559205</c:v>
                </c:pt>
                <c:pt idx="10">
                  <c:v>-0.50763504990064656</c:v>
                </c:pt>
                <c:pt idx="11">
                  <c:v>-0.66461231754191852</c:v>
                </c:pt>
                <c:pt idx="12">
                  <c:v>-0.83205102280243493</c:v>
                </c:pt>
                <c:pt idx="13">
                  <c:v>-1.0059126593775169</c:v>
                </c:pt>
                <c:pt idx="14">
                  <c:v>-1.1828043650430415</c:v>
                </c:pt>
                <c:pt idx="15">
                  <c:v>-1.3599818437665376</c:v>
                </c:pt>
                <c:pt idx="16">
                  <c:v>-1.5352932365018073</c:v>
                </c:pt>
                <c:pt idx="17">
                  <c:v>-1.7070990531211745</c:v>
                </c:pt>
                <c:pt idx="18">
                  <c:v>-1.8741875961569956</c:v>
                </c:pt>
                <c:pt idx="19">
                  <c:v>-2.0356956609583294</c:v>
                </c:pt>
                <c:pt idx="20">
                  <c:v>-2.1910387151889426</c:v>
                </c:pt>
                <c:pt idx="21">
                  <c:v>-2.3398517130048511</c:v>
                </c:pt>
                <c:pt idx="22">
                  <c:v>-2.4819401535136265</c:v>
                </c:pt>
                <c:pt idx="23">
                  <c:v>-2.6172403008387519</c:v>
                </c:pt>
                <c:pt idx="24">
                  <c:v>-2.7457872546798092</c:v>
                </c:pt>
                <c:pt idx="25">
                  <c:v>-2.8676895692524913</c:v>
                </c:pt>
                <c:pt idx="26">
                  <c:v>-2.9831092373519175</c:v>
                </c:pt>
                <c:pt idx="27">
                  <c:v>-3.0922460156770408</c:v>
                </c:pt>
                <c:pt idx="28">
                  <c:v>-3.1953252316446847</c:v>
                </c:pt>
                <c:pt idx="29">
                  <c:v>-3.2925883636748998</c:v>
                </c:pt>
                <c:pt idx="30">
                  <c:v>-3.384285819557991</c:v>
                </c:pt>
                <c:pt idx="31">
                  <c:v>-3.4706714495799535</c:v>
                </c:pt>
                <c:pt idx="32">
                  <c:v>-3.5519984237500766</c:v>
                </c:pt>
                <c:pt idx="33">
                  <c:v>-3.6285161780018429</c:v>
                </c:pt>
                <c:pt idx="34">
                  <c:v>-3.7004681951901381</c:v>
                </c:pt>
                <c:pt idx="35">
                  <c:v>-3.7680904355599143</c:v>
                </c:pt>
                <c:pt idx="36">
                  <c:v>-3.8316102703277628</c:v>
                </c:pt>
                <c:pt idx="37">
                  <c:v>-3.8912458029943404</c:v>
                </c:pt>
                <c:pt idx="38">
                  <c:v>-3.94720548757273</c:v>
                </c:pt>
                <c:pt idx="39">
                  <c:v>-3.9996879723697849</c:v>
                </c:pt>
                <c:pt idx="40">
                  <c:v>-4.048882113341941</c:v>
                </c:pt>
                <c:pt idx="41">
                  <c:v>-4.0949671132044116</c:v>
                </c:pt>
                <c:pt idx="42">
                  <c:v>-4.1381127520740142</c:v>
                </c:pt>
                <c:pt idx="43">
                  <c:v>-4.1784796830046913</c:v>
                </c:pt>
                <c:pt idx="44">
                  <c:v>-4.2162197717536136</c:v>
                </c:pt>
                <c:pt idx="45">
                  <c:v>-4.2514764648297838</c:v>
                </c:pt>
                <c:pt idx="46">
                  <c:v>-4.2843851735906178</c:v>
                </c:pt>
                <c:pt idx="47">
                  <c:v>-4.3150736650746317</c:v>
                </c:pt>
                <c:pt idx="48">
                  <c:v>-4.3436624525553489</c:v>
                </c:pt>
                <c:pt idx="49">
                  <c:v>-4.3702651806035639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CA-4439-8EE1-39E909372A54}"/>
            </c:ext>
          </c:extLst>
        </c:ser>
        <c:ser>
          <c:idx val="4"/>
          <c:order val="4"/>
          <c:tx>
            <c:strRef>
              <c:f>Theta!$B$7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Theta!$C$7:$AZ$7</c:f>
              <c:numCache>
                <c:formatCode>General</c:formatCode>
                <c:ptCount val="50"/>
                <c:pt idx="0">
                  <c:v>-1.0859423889672623E-9</c:v>
                </c:pt>
                <c:pt idx="1">
                  <c:v>-1.9560713794414961E-4</c:v>
                </c:pt>
                <c:pt idx="2">
                  <c:v>-1.0122334176383608E-2</c:v>
                </c:pt>
                <c:pt idx="3">
                  <c:v>-6.9776368374696862E-2</c:v>
                </c:pt>
                <c:pt idx="4">
                  <c:v>-0.21663466215637461</c:v>
                </c:pt>
                <c:pt idx="5">
                  <c:v>-0.45331205432784033</c:v>
                </c:pt>
                <c:pt idx="6">
                  <c:v>-0.75892946558644458</c:v>
                </c:pt>
                <c:pt idx="7">
                  <c:v>-1.1069217717270452</c:v>
                </c:pt>
                <c:pt idx="8">
                  <c:v>-1.4741436282882312</c:v>
                </c:pt>
                <c:pt idx="9">
                  <c:v>-1.8434025119674142</c:v>
                </c:pt>
                <c:pt idx="10">
                  <c:v>-2.2031016482531589</c:v>
                </c:pt>
                <c:pt idx="11">
                  <c:v>-2.5460309677400117</c:v>
                </c:pt>
                <c:pt idx="12">
                  <c:v>-2.868135290568711</c:v>
                </c:pt>
                <c:pt idx="13">
                  <c:v>-3.1675139509270402</c:v>
                </c:pt>
                <c:pt idx="14">
                  <c:v>-3.4436811909367626</c:v>
                </c:pt>
                <c:pt idx="15">
                  <c:v>-3.6970454742485961</c:v>
                </c:pt>
                <c:pt idx="16">
                  <c:v>-3.9285536689687244</c:v>
                </c:pt>
                <c:pt idx="17">
                  <c:v>-4.1394530402433807</c:v>
                </c:pt>
                <c:pt idx="18">
                  <c:v>-4.3311350278732572</c:v>
                </c:pt>
                <c:pt idx="19">
                  <c:v>-4.5050348123649773</c:v>
                </c:pt>
                <c:pt idx="20">
                  <c:v>-4.6625684801708571</c:v>
                </c:pt>
                <c:pt idx="21">
                  <c:v>-4.8050952801397688</c:v>
                </c:pt>
                <c:pt idx="22">
                  <c:v>-4.9338964577550923</c:v>
                </c:pt>
                <c:pt idx="23">
                  <c:v>-5.0501649105829847</c:v>
                </c:pt>
                <c:pt idx="24">
                  <c:v>-5.1550017915442394</c:v>
                </c:pt>
                <c:pt idx="25">
                  <c:v>-5.2494174657506223</c:v>
                </c:pt>
                <c:pt idx="26">
                  <c:v>-5.3343350927464837</c:v>
                </c:pt>
                <c:pt idx="27">
                  <c:v>-5.4105956913161135</c:v>
                </c:pt>
                <c:pt idx="28">
                  <c:v>-5.4789639389672011</c:v>
                </c:pt>
                <c:pt idx="29">
                  <c:v>-5.540134224195743</c:v>
                </c:pt>
                <c:pt idx="30">
                  <c:v>-5.5947366482780323</c:v>
                </c:pt>
                <c:pt idx="31">
                  <c:v>-5.6433427927821596</c:v>
                </c:pt>
                <c:pt idx="32">
                  <c:v>-5.6864711483201225</c:v>
                </c:pt>
                <c:pt idx="33">
                  <c:v>-5.7245921522094214</c:v>
                </c:pt>
                <c:pt idx="34">
                  <c:v>-5.7581328164683878</c:v>
                </c:pt>
                <c:pt idx="35">
                  <c:v>-5.7874809489106038</c:v>
                </c:pt>
                <c:pt idx="36">
                  <c:v>-5.8129889831025698</c:v>
                </c:pt>
                <c:pt idx="37">
                  <c:v>-5.8349774403797463</c:v>
                </c:pt>
                <c:pt idx="38">
                  <c:v>-5.8537380508697474</c:v>
                </c:pt>
                <c:pt idx="39">
                  <c:v>-5.869536561833999</c:v>
                </c:pt>
                <c:pt idx="40">
                  <c:v>-5.8826152614833074</c:v>
                </c:pt>
                <c:pt idx="41">
                  <c:v>-5.8931952453381218</c:v>
                </c:pt>
                <c:pt idx="42">
                  <c:v>-5.9014784505858646</c:v>
                </c:pt>
                <c:pt idx="43">
                  <c:v>-5.9076494819980283</c:v>
                </c:pt>
                <c:pt idx="44">
                  <c:v>-5.9118772509798179</c:v>
                </c:pt>
                <c:pt idx="45">
                  <c:v>-5.9143164473441345</c:v>
                </c:pt>
                <c:pt idx="46">
                  <c:v>-5.9151088614968135</c:v>
                </c:pt>
                <c:pt idx="47">
                  <c:v>-5.914384572929662</c:v>
                </c:pt>
                <c:pt idx="48">
                  <c:v>-5.912263019262034</c:v>
                </c:pt>
                <c:pt idx="49">
                  <c:v>-5.9088539585576392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CA-4439-8EE1-39E909372A54}"/>
            </c:ext>
          </c:extLst>
        </c:ser>
        <c:ser>
          <c:idx val="5"/>
          <c:order val="5"/>
          <c:tx>
            <c:strRef>
              <c:f>Theta!$B$8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Theta!$C$8:$AZ$8</c:f>
              <c:numCache>
                <c:formatCode>General</c:formatCode>
                <c:ptCount val="50"/>
                <c:pt idx="0">
                  <c:v>-1.2584010132960953E-4</c:v>
                </c:pt>
                <c:pt idx="1">
                  <c:v>-6.5613662064275033E-2</c:v>
                </c:pt>
                <c:pt idx="2">
                  <c:v>-0.48397449782227436</c:v>
                </c:pt>
                <c:pt idx="3">
                  <c:v>-1.2596778182500061</c:v>
                </c:pt>
                <c:pt idx="4">
                  <c:v>-2.1802946085507839</c:v>
                </c:pt>
                <c:pt idx="5">
                  <c:v>-3.0905186611763074</c:v>
                </c:pt>
                <c:pt idx="6">
                  <c:v>-3.9176852952152079</c:v>
                </c:pt>
                <c:pt idx="7">
                  <c:v>-4.6382561896522034</c:v>
                </c:pt>
                <c:pt idx="8">
                  <c:v>-5.2520643266136915</c:v>
                </c:pt>
                <c:pt idx="9">
                  <c:v>-5.7684882279142808</c:v>
                </c:pt>
                <c:pt idx="10">
                  <c:v>-6.1998517333227667</c:v>
                </c:pt>
                <c:pt idx="11">
                  <c:v>-6.5585056801483317</c:v>
                </c:pt>
                <c:pt idx="12">
                  <c:v>-6.8556702222349379</c:v>
                </c:pt>
                <c:pt idx="13">
                  <c:v>-7.1010858956267517</c:v>
                </c:pt>
                <c:pt idx="14">
                  <c:v>-7.3030175229481591</c:v>
                </c:pt>
                <c:pt idx="15">
                  <c:v>-7.4683969461650914</c:v>
                </c:pt>
                <c:pt idx="16">
                  <c:v>-7.603006630395595</c:v>
                </c:pt>
                <c:pt idx="17">
                  <c:v>-7.711661407842862</c:v>
                </c:pt>
                <c:pt idx="18">
                  <c:v>-7.7983716240838659</c:v>
                </c:pt>
                <c:pt idx="19">
                  <c:v>-7.8664829016364894</c:v>
                </c:pt>
                <c:pt idx="20">
                  <c:v>-7.9187929622777231</c:v>
                </c:pt>
                <c:pt idx="21">
                  <c:v>-7.9576479862323426</c:v>
                </c:pt>
                <c:pt idx="22">
                  <c:v>-7.985021547368695</c:v>
                </c:pt>
                <c:pt idx="23">
                  <c:v>-8.0025790780185062</c:v>
                </c:pt>
                <c:pt idx="24">
                  <c:v>-8.0117304813759862</c:v>
                </c:pt>
                <c:pt idx="25">
                  <c:v>-8.0136731079857046</c:v>
                </c:pt>
                <c:pt idx="26">
                  <c:v>-8.0094269264339051</c:v>
                </c:pt>
                <c:pt idx="27">
                  <c:v>-7.9998633779936617</c:v>
                </c:pt>
                <c:pt idx="28">
                  <c:v>-7.9857291183343593</c:v>
                </c:pt>
                <c:pt idx="29">
                  <c:v>-7.9676656139810893</c:v>
                </c:pt>
                <c:pt idx="30">
                  <c:v>-7.9462253706265953</c:v>
                </c:pt>
                <c:pt idx="31">
                  <c:v>-7.9218854173904925</c:v>
                </c:pt>
                <c:pt idx="32">
                  <c:v>-7.8950585488247889</c:v>
                </c:pt>
                <c:pt idx="33">
                  <c:v>-7.8661027289077072</c:v>
                </c:pt>
                <c:pt idx="34">
                  <c:v>-7.8353289834678224</c:v>
                </c:pt>
                <c:pt idx="35">
                  <c:v>-7.8030080453835726</c:v>
                </c:pt>
                <c:pt idx="36">
                  <c:v>-7.7693759672589513</c:v>
                </c:pt>
                <c:pt idx="37">
                  <c:v>-7.734638876500922</c:v>
                </c:pt>
                <c:pt idx="38">
                  <c:v>-7.6989770157745232</c:v>
                </c:pt>
                <c:pt idx="39">
                  <c:v>-7.6625481860761155</c:v>
                </c:pt>
                <c:pt idx="40">
                  <c:v>-7.62549068887337</c:v>
                </c:pt>
                <c:pt idx="41">
                  <c:v>-7.5879258469112205</c:v>
                </c:pt>
                <c:pt idx="42">
                  <c:v>-7.5499601695856446</c:v>
                </c:pt>
                <c:pt idx="43">
                  <c:v>-7.5116872176170775</c:v>
                </c:pt>
                <c:pt idx="44">
                  <c:v>-7.4731892126175463</c:v>
                </c:pt>
                <c:pt idx="45">
                  <c:v>-7.4345384296469632</c:v>
                </c:pt>
                <c:pt idx="46">
                  <c:v>-7.3957984046816216</c:v>
                </c:pt>
                <c:pt idx="47">
                  <c:v>-7.3570249838215656</c:v>
                </c:pt>
                <c:pt idx="48">
                  <c:v>-7.3182672368432486</c:v>
                </c:pt>
                <c:pt idx="49">
                  <c:v>-7.2795682541987237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CA-4439-8EE1-39E909372A54}"/>
            </c:ext>
          </c:extLst>
        </c:ser>
        <c:ser>
          <c:idx val="6"/>
          <c:order val="6"/>
          <c:tx>
            <c:strRef>
              <c:f>Theta!$B$9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Theta!$C$9:$AZ$9</c:f>
              <c:numCache>
                <c:formatCode>General</c:formatCode>
                <c:ptCount val="50"/>
                <c:pt idx="0">
                  <c:v>-0.25853584758188691</c:v>
                </c:pt>
                <c:pt idx="1">
                  <c:v>-2.9339987774989447</c:v>
                </c:pt>
                <c:pt idx="2">
                  <c:v>-6.0437585294850038</c:v>
                </c:pt>
                <c:pt idx="3">
                  <c:v>-8.3140421448886812</c:v>
                </c:pt>
                <c:pt idx="4">
                  <c:v>-9.8163007159602653</c:v>
                </c:pt>
                <c:pt idx="5">
                  <c:v>-10.783138641037302</c:v>
                </c:pt>
                <c:pt idx="6">
                  <c:v>-11.394081066810374</c:v>
                </c:pt>
                <c:pt idx="7">
                  <c:v>-11.768540252535685</c:v>
                </c:pt>
                <c:pt idx="8">
                  <c:v>-11.984022951725793</c:v>
                </c:pt>
                <c:pt idx="9">
                  <c:v>-12.091185348338001</c:v>
                </c:pt>
                <c:pt idx="10">
                  <c:v>-12.123667186218327</c:v>
                </c:pt>
                <c:pt idx="11">
                  <c:v>-12.104210311587385</c:v>
                </c:pt>
                <c:pt idx="12">
                  <c:v>-12.048455773597711</c:v>
                </c:pt>
                <c:pt idx="13">
                  <c:v>-11.96733005819585</c:v>
                </c:pt>
                <c:pt idx="14">
                  <c:v>-11.868571371842389</c:v>
                </c:pt>
                <c:pt idx="15">
                  <c:v>-11.757724482826351</c:v>
                </c:pt>
                <c:pt idx="16">
                  <c:v>-11.638801285650006</c:v>
                </c:pt>
                <c:pt idx="17">
                  <c:v>-11.51472715733839</c:v>
                </c:pt>
                <c:pt idx="18">
                  <c:v>-11.387647513905588</c:v>
                </c:pt>
                <c:pt idx="19">
                  <c:v>-11.259141525485473</c:v>
                </c:pt>
                <c:pt idx="20">
                  <c:v>-11.130373160404417</c:v>
                </c:pt>
                <c:pt idx="21">
                  <c:v>-11.002199277100317</c:v>
                </c:pt>
                <c:pt idx="22">
                  <c:v>-10.875247861921617</c:v>
                </c:pt>
                <c:pt idx="23">
                  <c:v>-10.74997524572143</c:v>
                </c:pt>
                <c:pt idx="24">
                  <c:v>-10.626708340605214</c:v>
                </c:pt>
                <c:pt idx="25">
                  <c:v>-10.505676083548062</c:v>
                </c:pt>
                <c:pt idx="26">
                  <c:v>-10.38703302399748</c:v>
                </c:pt>
                <c:pt idx="27">
                  <c:v>-10.270877139494118</c:v>
                </c:pt>
                <c:pt idx="28">
                  <c:v>-10.157263373747995</c:v>
                </c:pt>
                <c:pt idx="29">
                  <c:v>-10.04621397940344</c:v>
                </c:pt>
                <c:pt idx="30">
                  <c:v>-9.9377264564217</c:v>
                </c:pt>
                <c:pt idx="31">
                  <c:v>-9.8317796690610741</c:v>
                </c:pt>
                <c:pt idx="32">
                  <c:v>-9.7283385745811284</c:v>
                </c:pt>
                <c:pt idx="33">
                  <c:v>-9.6273578878499677</c:v>
                </c:pt>
                <c:pt idx="34">
                  <c:v>-9.5287849261658426</c:v>
                </c:pt>
                <c:pt idx="35">
                  <c:v>-9.4325618195968506</c:v>
                </c:pt>
                <c:pt idx="36">
                  <c:v>-9.3386272282271747</c:v>
                </c:pt>
                <c:pt idx="37">
                  <c:v>-9.2469176747897421</c:v>
                </c:pt>
                <c:pt idx="38">
                  <c:v>-9.1573685763450321</c:v>
                </c:pt>
                <c:pt idx="39">
                  <c:v>-9.0699150398324235</c:v>
                </c:pt>
                <c:pt idx="40">
                  <c:v>-8.9844924719478811</c:v>
                </c:pt>
                <c:pt idx="41">
                  <c:v>-8.9010370427747212</c:v>
                </c:pt>
                <c:pt idx="42">
                  <c:v>-8.8194860340913745</c:v>
                </c:pt>
                <c:pt idx="43">
                  <c:v>-8.7397780966923371</c:v>
                </c:pt>
                <c:pt idx="44">
                  <c:v>-8.6618534359323007</c:v>
                </c:pt>
                <c:pt idx="45">
                  <c:v>-8.5856539406976378</c:v>
                </c:pt>
                <c:pt idx="46">
                  <c:v>-8.5111232678673598</c:v>
                </c:pt>
                <c:pt idx="47">
                  <c:v>-8.4382068918518165</c:v>
                </c:pt>
                <c:pt idx="48">
                  <c:v>-8.3668521268435949</c:v>
                </c:pt>
                <c:pt idx="49">
                  <c:v>-8.2970081278667696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CA-4439-8EE1-39E909372A54}"/>
            </c:ext>
          </c:extLst>
        </c:ser>
        <c:ser>
          <c:idx val="7"/>
          <c:order val="7"/>
          <c:tx>
            <c:strRef>
              <c:f>Theta!$B$10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Theta!$C$10:$AZ$10</c:f>
              <c:numCache>
                <c:formatCode>General</c:formatCode>
                <c:ptCount val="50"/>
                <c:pt idx="0">
                  <c:v>-17.400677576709494</c:v>
                </c:pt>
                <c:pt idx="1">
                  <c:v>-23.782165021624941</c:v>
                </c:pt>
                <c:pt idx="2">
                  <c:v>-24.200033179391259</c:v>
                </c:pt>
                <c:pt idx="3">
                  <c:v>-23.40190422634943</c:v>
                </c:pt>
                <c:pt idx="4">
                  <c:v>-22.366014721616416</c:v>
                </c:pt>
                <c:pt idx="5">
                  <c:v>-21.341081398426915</c:v>
                </c:pt>
                <c:pt idx="6">
                  <c:v>-20.392896950160061</c:v>
                </c:pt>
                <c:pt idx="7">
                  <c:v>-19.533681781116439</c:v>
                </c:pt>
                <c:pt idx="8">
                  <c:v>-18.759153100920699</c:v>
                </c:pt>
                <c:pt idx="9">
                  <c:v>-18.060439662558316</c:v>
                </c:pt>
                <c:pt idx="10">
                  <c:v>-17.428109370152374</c:v>
                </c:pt>
                <c:pt idx="11">
                  <c:v>-16.853490324547426</c:v>
                </c:pt>
                <c:pt idx="12">
                  <c:v>-16.329017678267913</c:v>
                </c:pt>
                <c:pt idx="13">
                  <c:v>-15.848230333707182</c:v>
                </c:pt>
                <c:pt idx="14">
                  <c:v>-15.405652515028409</c:v>
                </c:pt>
                <c:pt idx="15">
                  <c:v>-14.996649778781048</c:v>
                </c:pt>
                <c:pt idx="16">
                  <c:v>-14.61729232931226</c:v>
                </c:pt>
                <c:pt idx="17">
                  <c:v>-14.26423600079346</c:v>
                </c:pt>
                <c:pt idx="18">
                  <c:v>-13.934622454724144</c:v>
                </c:pt>
                <c:pt idx="19">
                  <c:v>-13.625996928524939</c:v>
                </c:pt>
                <c:pt idx="20">
                  <c:v>-13.336240946640036</c:v>
                </c:pt>
                <c:pt idx="21">
                  <c:v>-13.063517384808204</c:v>
                </c:pt>
                <c:pt idx="22">
                  <c:v>-12.806225576950984</c:v>
                </c:pt>
                <c:pt idx="23">
                  <c:v>-12.56296453033745</c:v>
                </c:pt>
                <c:pt idx="24">
                  <c:v>-12.332502673484358</c:v>
                </c:pt>
                <c:pt idx="25">
                  <c:v>-12.113752870973164</c:v>
                </c:pt>
                <c:pt idx="26">
                  <c:v>-11.905751694616933</c:v>
                </c:pt>
                <c:pt idx="27">
                  <c:v>-11.707642145857228</c:v>
                </c:pt>
                <c:pt idx="28">
                  <c:v>-11.518659187631679</c:v>
                </c:pt>
                <c:pt idx="29">
                  <c:v>-11.338117573101096</c:v>
                </c:pt>
                <c:pt idx="30">
                  <c:v>-11.165401560525197</c:v>
                </c:pt>
                <c:pt idx="31">
                  <c:v>-10.999956184007594</c:v>
                </c:pt>
                <c:pt idx="32">
                  <c:v>-10.841279813436149</c:v>
                </c:pt>
                <c:pt idx="33">
                  <c:v>-10.688917787386179</c:v>
                </c:pt>
                <c:pt idx="34">
                  <c:v>-10.542456942893477</c:v>
                </c:pt>
                <c:pt idx="35">
                  <c:v>-10.401520898067806</c:v>
                </c:pt>
                <c:pt idx="36">
                  <c:v>-10.265765969233529</c:v>
                </c:pt>
                <c:pt idx="37">
                  <c:v>-10.134877624994976</c:v>
                </c:pt>
                <c:pt idx="38">
                  <c:v>-10.008567396374131</c:v>
                </c:pt>
                <c:pt idx="39">
                  <c:v>-9.8865701757717641</c:v>
                </c:pt>
                <c:pt idx="40">
                  <c:v>-9.7686418485969124</c:v>
                </c:pt>
                <c:pt idx="41">
                  <c:v>-9.6545572104938753</c:v>
                </c:pt>
                <c:pt idx="42">
                  <c:v>-9.5441081305642044</c:v>
                </c:pt>
                <c:pt idx="43">
                  <c:v>-9.4371019271449441</c:v>
                </c:pt>
                <c:pt idx="44">
                  <c:v>-9.3333599278110881</c:v>
                </c:pt>
                <c:pt idx="45">
                  <c:v>-9.2327161895162924</c:v>
                </c:pt>
                <c:pt idx="46">
                  <c:v>-9.1350163583296329</c:v>
                </c:pt>
                <c:pt idx="47">
                  <c:v>-9.0401166511934967</c:v>
                </c:pt>
                <c:pt idx="48">
                  <c:v>-8.9478829446211403</c:v>
                </c:pt>
                <c:pt idx="49">
                  <c:v>-8.8581899573543303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CCA-4439-8EE1-39E909372A54}"/>
            </c:ext>
          </c:extLst>
        </c:ser>
        <c:ser>
          <c:idx val="8"/>
          <c:order val="8"/>
          <c:tx>
            <c:strRef>
              <c:f>Theta!$B$11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Theta!$C$11:$AZ$11</c:f>
              <c:numCache>
                <c:formatCode>General</c:formatCode>
                <c:ptCount val="50"/>
                <c:pt idx="0">
                  <c:v>-63.51319136409213</c:v>
                </c:pt>
                <c:pt idx="1">
                  <c:v>-45.010761793919819</c:v>
                </c:pt>
                <c:pt idx="2">
                  <c:v>-36.804970144920844</c:v>
                </c:pt>
                <c:pt idx="3">
                  <c:v>-31.908116377905465</c:v>
                </c:pt>
                <c:pt idx="4">
                  <c:v>-28.562784012405597</c:v>
                </c:pt>
                <c:pt idx="5">
                  <c:v>-26.090739096589839</c:v>
                </c:pt>
                <c:pt idx="6">
                  <c:v>-24.167427888787216</c:v>
                </c:pt>
                <c:pt idx="7">
                  <c:v>-22.615447138250499</c:v>
                </c:pt>
                <c:pt idx="8">
                  <c:v>-21.328556273118906</c:v>
                </c:pt>
                <c:pt idx="9">
                  <c:v>-20.238731873674471</c:v>
                </c:pt>
                <c:pt idx="10">
                  <c:v>-19.300131789062185</c:v>
                </c:pt>
                <c:pt idx="11">
                  <c:v>-18.480584369269959</c:v>
                </c:pt>
                <c:pt idx="12">
                  <c:v>-17.756756480575103</c:v>
                </c:pt>
                <c:pt idx="13">
                  <c:v>-17.111257525013254</c:v>
                </c:pt>
                <c:pt idx="14">
                  <c:v>-16.530824793041887</c:v>
                </c:pt>
                <c:pt idx="15">
                  <c:v>-16.005143218810442</c:v>
                </c:pt>
                <c:pt idx="16">
                  <c:v>-15.526053041162957</c:v>
                </c:pt>
                <c:pt idx="17">
                  <c:v>-15.087003167974695</c:v>
                </c:pt>
                <c:pt idx="18">
                  <c:v>-14.682664988776283</c:v>
                </c:pt>
                <c:pt idx="19">
                  <c:v>-14.308653788712833</c:v>
                </c:pt>
                <c:pt idx="20">
                  <c:v>-13.961324035001446</c:v>
                </c:pt>
                <c:pt idx="21">
                  <c:v>-13.637616446598853</c:v>
                </c:pt>
                <c:pt idx="22">
                  <c:v>-13.334942044838717</c:v>
                </c:pt>
                <c:pt idx="23">
                  <c:v>-13.051093059908913</c:v>
                </c:pt>
                <c:pt idx="24">
                  <c:v>-12.784173637810701</c:v>
                </c:pt>
                <c:pt idx="25">
                  <c:v>-12.532545348298969</c:v>
                </c:pt>
                <c:pt idx="26">
                  <c:v>-12.294783896559268</c:v>
                </c:pt>
                <c:pt idx="27">
                  <c:v>-12.069644413917434</c:v>
                </c:pt>
                <c:pt idx="28">
                  <c:v>-11.856033387768449</c:v>
                </c:pt>
                <c:pt idx="29">
                  <c:v>-11.652985780049564</c:v>
                </c:pt>
                <c:pt idx="30">
                  <c:v>-11.459646237470377</c:v>
                </c:pt>
                <c:pt idx="31">
                  <c:v>-11.275253555833283</c:v>
                </c:pt>
                <c:pt idx="32">
                  <c:v>-11.099127752630197</c:v>
                </c:pt>
                <c:pt idx="33">
                  <c:v>-10.930659245626181</c:v>
                </c:pt>
                <c:pt idx="34">
                  <c:v>-10.769299743552773</c:v>
                </c:pt>
                <c:pt idx="35">
                  <c:v>-10.614554537666312</c:v>
                </c:pt>
                <c:pt idx="36">
                  <c:v>-10.465975946444811</c:v>
                </c:pt>
                <c:pt idx="37">
                  <c:v>-10.32315771491187</c:v>
                </c:pt>
                <c:pt idx="38">
                  <c:v>-10.185730208495027</c:v>
                </c:pt>
                <c:pt idx="39">
                  <c:v>-10.053356271529312</c:v>
                </c:pt>
                <c:pt idx="40">
                  <c:v>-9.9257276444198794</c:v>
                </c:pt>
                <c:pt idx="41">
                  <c:v>-9.8025618525143674</c:v>
                </c:pt>
                <c:pt idx="42">
                  <c:v>-9.6835994949875062</c:v>
                </c:pt>
                <c:pt idx="43">
                  <c:v>-9.5686018743291292</c:v>
                </c:pt>
                <c:pt idx="44">
                  <c:v>-9.4573489169816778</c:v>
                </c:pt>
                <c:pt idx="45">
                  <c:v>-9.3496373437785145</c:v>
                </c:pt>
                <c:pt idx="46">
                  <c:v>-9.2452790554664208</c:v>
                </c:pt>
                <c:pt idx="47">
                  <c:v>-9.1440997040469405</c:v>
                </c:pt>
                <c:pt idx="48">
                  <c:v>-9.0459374251724967</c:v>
                </c:pt>
                <c:pt idx="49">
                  <c:v>-8.9506417105652982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CA-4439-8EE1-39E909372A54}"/>
            </c:ext>
          </c:extLst>
        </c:ser>
        <c:ser>
          <c:idx val="9"/>
          <c:order val="9"/>
          <c:tx>
            <c:strRef>
              <c:f>Theta!$B$12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Theta!$C$12:$AZ$12</c:f>
              <c:numCache>
                <c:formatCode>General</c:formatCode>
                <c:ptCount val="50"/>
                <c:pt idx="0">
                  <c:v>-19.6412711203002</c:v>
                </c:pt>
                <c:pt idx="1">
                  <c:v>-24.817162870663232</c:v>
                </c:pt>
                <c:pt idx="2">
                  <c:v>-24.63895605177273</c:v>
                </c:pt>
                <c:pt idx="3">
                  <c:v>-23.540649823996102</c:v>
                </c:pt>
                <c:pt idx="4">
                  <c:v>-22.338243095490935</c:v>
                </c:pt>
                <c:pt idx="5">
                  <c:v>-21.214029797964383</c:v>
                </c:pt>
                <c:pt idx="6">
                  <c:v>-20.203616961666036</c:v>
                </c:pt>
                <c:pt idx="7">
                  <c:v>-19.304067428522458</c:v>
                </c:pt>
                <c:pt idx="8">
                  <c:v>-18.502854564584236</c:v>
                </c:pt>
                <c:pt idx="9">
                  <c:v>-17.786330965441131</c:v>
                </c:pt>
                <c:pt idx="10">
                  <c:v>-17.142153601151332</c:v>
                </c:pt>
                <c:pt idx="11">
                  <c:v>-16.559801714825994</c:v>
                </c:pt>
                <c:pt idx="12">
                  <c:v>-16.030495463458493</c:v>
                </c:pt>
                <c:pt idx="13">
                  <c:v>-15.546952223409878</c:v>
                </c:pt>
                <c:pt idx="14">
                  <c:v>-15.103127208786471</c:v>
                </c:pt>
                <c:pt idx="15">
                  <c:v>-14.693983708325431</c:v>
                </c:pt>
                <c:pt idx="16">
                  <c:v>-14.315302507543423</c:v>
                </c:pt>
                <c:pt idx="17">
                  <c:v>-13.963528052199383</c:v>
                </c:pt>
                <c:pt idx="18">
                  <c:v>-13.63564559438861</c:v>
                </c:pt>
                <c:pt idx="19">
                  <c:v>-13.329083347148842</c:v>
                </c:pt>
                <c:pt idx="20">
                  <c:v>-13.04163444209285</c:v>
                </c:pt>
                <c:pt idx="21">
                  <c:v>-12.771394449936844</c:v>
                </c:pt>
                <c:pt idx="22">
                  <c:v>-12.516711113201044</c:v>
                </c:pt>
                <c:pt idx="23">
                  <c:v>-12.276143679245296</c:v>
                </c:pt>
                <c:pt idx="24">
                  <c:v>-12.048429808380945</c:v>
                </c:pt>
                <c:pt idx="25">
                  <c:v>-11.832458487532847</c:v>
                </c:pt>
                <c:pt idx="26">
                  <c:v>-11.627247730531039</c:v>
                </c:pt>
                <c:pt idx="27">
                  <c:v>-11.431926114900559</c:v>
                </c:pt>
                <c:pt idx="28">
                  <c:v>-11.245717411118827</c:v>
                </c:pt>
                <c:pt idx="29">
                  <c:v>-11.067927718715532</c:v>
                </c:pt>
                <c:pt idx="30">
                  <c:v>-10.89793464578637</c:v>
                </c:pt>
                <c:pt idx="31">
                  <c:v>-10.735178163177988</c:v>
                </c:pt>
                <c:pt idx="32">
                  <c:v>-10.579152838333236</c:v>
                </c:pt>
                <c:pt idx="33">
                  <c:v>-10.42940121149806</c:v>
                </c:pt>
                <c:pt idx="34">
                  <c:v>-10.285508122403831</c:v>
                </c:pt>
                <c:pt idx="35">
                  <c:v>-10.147095831461886</c:v>
                </c:pt>
                <c:pt idx="36">
                  <c:v>-10.013819808073011</c:v>
                </c:pt>
                <c:pt idx="37">
                  <c:v>-9.8853650814868477</c:v>
                </c:pt>
                <c:pt idx="38">
                  <c:v>-9.7614430679876563</c:v>
                </c:pt>
                <c:pt idx="39">
                  <c:v>-9.6417888029888186</c:v>
                </c:pt>
                <c:pt idx="40">
                  <c:v>-9.5261585186271329</c:v>
                </c:pt>
                <c:pt idx="41">
                  <c:v>-9.4143275172324774</c:v>
                </c:pt>
                <c:pt idx="42">
                  <c:v>-9.3060882990564089</c:v>
                </c:pt>
                <c:pt idx="43">
                  <c:v>-9.2012489092249634</c:v>
                </c:pt>
                <c:pt idx="44">
                  <c:v>-9.0996314743132114</c:v>
                </c:pt>
                <c:pt idx="45">
                  <c:v>-9.0010709034402012</c:v>
                </c:pt>
                <c:pt idx="46">
                  <c:v>-8.9054137325271636</c:v>
                </c:pt>
                <c:pt idx="47">
                  <c:v>-8.8125170934876973</c:v>
                </c:pt>
                <c:pt idx="48">
                  <c:v>-8.722247792737992</c:v>
                </c:pt>
                <c:pt idx="49">
                  <c:v>-8.6344814856172913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CCA-4439-8EE1-39E909372A54}"/>
            </c:ext>
          </c:extLst>
        </c:ser>
        <c:ser>
          <c:idx val="10"/>
          <c:order val="10"/>
          <c:tx>
            <c:strRef>
              <c:f>Theta!$B$13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Theta!$C$13:$AZ$13</c:f>
              <c:numCache>
                <c:formatCode>General</c:formatCode>
                <c:ptCount val="50"/>
                <c:pt idx="0">
                  <c:v>-1.6376941448797746</c:v>
                </c:pt>
                <c:pt idx="1">
                  <c:v>-5.3617040425254707</c:v>
                </c:pt>
                <c:pt idx="2">
                  <c:v>-8.5729064607768102</c:v>
                </c:pt>
                <c:pt idx="3">
                  <c:v>-10.551676494815647</c:v>
                </c:pt>
                <c:pt idx="4">
                  <c:v>-11.695177384978861</c:v>
                </c:pt>
                <c:pt idx="5">
                  <c:v>-12.332139508548684</c:v>
                </c:pt>
                <c:pt idx="6">
                  <c:v>-12.662469510654653</c:v>
                </c:pt>
                <c:pt idx="7">
                  <c:v>-12.80390611987885</c:v>
                </c:pt>
                <c:pt idx="8">
                  <c:v>-12.826903933054137</c:v>
                </c:pt>
                <c:pt idx="9">
                  <c:v>-12.774715234040505</c:v>
                </c:pt>
                <c:pt idx="10">
                  <c:v>-12.674579119135862</c:v>
                </c:pt>
                <c:pt idx="11">
                  <c:v>-12.544042856424042</c:v>
                </c:pt>
                <c:pt idx="12">
                  <c:v>-12.394626922888872</c:v>
                </c:pt>
                <c:pt idx="13">
                  <c:v>-12.234010474361428</c:v>
                </c:pt>
                <c:pt idx="14">
                  <c:v>-12.06737021883073</c:v>
                </c:pt>
                <c:pt idx="15">
                  <c:v>-11.898221287007974</c:v>
                </c:pt>
                <c:pt idx="16">
                  <c:v>-11.728957325140158</c:v>
                </c:pt>
                <c:pt idx="17">
                  <c:v>-11.561204437137437</c:v>
                </c:pt>
                <c:pt idx="18">
                  <c:v>-11.396057321030407</c:v>
                </c:pt>
                <c:pt idx="19">
                  <c:v>-11.234239328539291</c:v>
                </c:pt>
                <c:pt idx="20">
                  <c:v>-11.076212488163476</c:v>
                </c:pt>
                <c:pt idx="21">
                  <c:v>-10.922254070206449</c:v>
                </c:pt>
                <c:pt idx="22">
                  <c:v>-10.772510442877861</c:v>
                </c:pt>
                <c:pt idx="23">
                  <c:v>-10.627035306323666</c:v>
                </c:pt>
                <c:pt idx="24">
                  <c:v>-10.485817048700348</c:v>
                </c:pt>
                <c:pt idx="25">
                  <c:v>-10.348798444695246</c:v>
                </c:pt>
                <c:pt idx="26">
                  <c:v>-10.215890910602321</c:v>
                </c:pt>
                <c:pt idx="27">
                  <c:v>-10.086984856052883</c:v>
                </c:pt>
                <c:pt idx="28">
                  <c:v>-9.9619572151439346</c:v>
                </c:pt>
                <c:pt idx="29">
                  <c:v>-9.8406769256134243</c:v>
                </c:pt>
                <c:pt idx="30">
                  <c:v>-9.7230089065995582</c:v>
                </c:pt>
                <c:pt idx="31">
                  <c:v>-9.6088169324985433</c:v>
                </c:pt>
                <c:pt idx="32">
                  <c:v>-9.4979656920551498</c:v>
                </c:pt>
                <c:pt idx="33">
                  <c:v>-9.39032224438286</c:v>
                </c:pt>
                <c:pt idx="34">
                  <c:v>-9.28575702783154</c:v>
                </c:pt>
                <c:pt idx="35">
                  <c:v>-9.1841445371408259</c:v>
                </c:pt>
                <c:pt idx="36">
                  <c:v>-9.0853637547378572</c:v>
                </c:pt>
                <c:pt idx="37">
                  <c:v>-8.989298400286021</c:v>
                </c:pt>
                <c:pt idx="38">
                  <c:v>-8.8958370465028587</c:v>
                </c:pt>
                <c:pt idx="39">
                  <c:v>-8.8048731373026143</c:v>
                </c:pt>
                <c:pt idx="40">
                  <c:v>-8.7163049353816415</c:v>
                </c:pt>
                <c:pt idx="41">
                  <c:v>-8.6300354196591513</c:v>
                </c:pt>
                <c:pt idx="42">
                  <c:v>-8.545972147935661</c:v>
                </c:pt>
                <c:pt idx="43">
                  <c:v>-8.4640270963154052</c:v>
                </c:pt>
                <c:pt idx="44">
                  <c:v>-8.3841164840479578</c:v>
                </c:pt>
                <c:pt idx="45">
                  <c:v>-8.3061605902487372</c:v>
                </c:pt>
                <c:pt idx="46">
                  <c:v>-8.2300835672885793</c:v>
                </c:pt>
                <c:pt idx="47">
                  <c:v>-8.1558132543712301</c:v>
                </c:pt>
                <c:pt idx="48">
                  <c:v>-8.083280993849792</c:v>
                </c:pt>
                <c:pt idx="49">
                  <c:v>-8.0124214520964081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CA-4439-8EE1-39E909372A54}"/>
            </c:ext>
          </c:extLst>
        </c:ser>
        <c:ser>
          <c:idx val="11"/>
          <c:order val="11"/>
          <c:tx>
            <c:strRef>
              <c:f>Theta!$B$14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Theta!$C$14:$AZ$14</c:f>
              <c:numCache>
                <c:formatCode>General</c:formatCode>
                <c:ptCount val="50"/>
                <c:pt idx="0">
                  <c:v>-1.0023642711543899</c:v>
                </c:pt>
                <c:pt idx="1">
                  <c:v>-1.3113954132707411</c:v>
                </c:pt>
                <c:pt idx="2">
                  <c:v>-2.2971249831279716</c:v>
                </c:pt>
                <c:pt idx="3">
                  <c:v>-3.5312157150927885</c:v>
                </c:pt>
                <c:pt idx="4">
                  <c:v>-4.6821913807581561</c:v>
                </c:pt>
                <c:pt idx="5">
                  <c:v>-5.6452268190100821</c:v>
                </c:pt>
                <c:pt idx="6">
                  <c:v>-6.4152295378752946</c:v>
                </c:pt>
                <c:pt idx="7">
                  <c:v>-7.0180616017419837</c:v>
                </c:pt>
                <c:pt idx="8">
                  <c:v>-7.4846824291533025</c:v>
                </c:pt>
                <c:pt idx="9">
                  <c:v>-7.8429301341319979</c:v>
                </c:pt>
                <c:pt idx="10">
                  <c:v>-8.1156662766014627</c:v>
                </c:pt>
                <c:pt idx="11">
                  <c:v>-8.321010616376638</c:v>
                </c:pt>
                <c:pt idx="12">
                  <c:v>-8.4731304183025049</c:v>
                </c:pt>
                <c:pt idx="13">
                  <c:v>-8.5830634127982552</c:v>
                </c:pt>
                <c:pt idx="14">
                  <c:v>-8.6594213523179295</c:v>
                </c:pt>
                <c:pt idx="15">
                  <c:v>-8.7089496218556288</c:v>
                </c:pt>
                <c:pt idx="16">
                  <c:v>-8.7369589279469846</c:v>
                </c:pt>
                <c:pt idx="17">
                  <c:v>-8.7476541141241473</c:v>
                </c:pt>
                <c:pt idx="18">
                  <c:v>-8.7443836700980402</c:v>
                </c:pt>
                <c:pt idx="19">
                  <c:v>-8.7298292381043563</c:v>
                </c:pt>
                <c:pt idx="20">
                  <c:v>-8.7061500538935785</c:v>
                </c:pt>
                <c:pt idx="21">
                  <c:v>-8.6750935852414912</c:v>
                </c:pt>
                <c:pt idx="22">
                  <c:v>-8.6380807631780456</c:v>
                </c:pt>
                <c:pt idx="23">
                  <c:v>-8.5962720392990004</c:v>
                </c:pt>
                <c:pt idx="24">
                  <c:v>-8.5506188991221084</c:v>
                </c:pt>
                <c:pt idx="25">
                  <c:v>-8.5019042803398399</c:v>
                </c:pt>
                <c:pt idx="26">
                  <c:v>-8.4507744761463464</c:v>
                </c:pt>
                <c:pt idx="27">
                  <c:v>-8.3977644639530311</c:v>
                </c:pt>
                <c:pt idx="28">
                  <c:v>-8.343318126884693</c:v>
                </c:pt>
                <c:pt idx="29">
                  <c:v>-8.2878044843300405</c:v>
                </c:pt>
                <c:pt idx="30">
                  <c:v>-8.2315307857805884</c:v>
                </c:pt>
                <c:pt idx="31">
                  <c:v>-8.1747531255422601</c:v>
                </c:pt>
                <c:pt idx="32">
                  <c:v>-8.1176850874776534</c:v>
                </c:pt>
                <c:pt idx="33">
                  <c:v>-8.060504816257998</c:v>
                </c:pt>
                <c:pt idx="34">
                  <c:v>-8.0033608255682562</c:v>
                </c:pt>
                <c:pt idx="35">
                  <c:v>-7.9463767876430875</c:v>
                </c:pt>
                <c:pt idx="36">
                  <c:v>-7.8896554974974764</c:v>
                </c:pt>
                <c:pt idx="37">
                  <c:v>-7.8332821656111573</c:v>
                </c:pt>
                <c:pt idx="38">
                  <c:v>-7.7773271619168778</c:v>
                </c:pt>
                <c:pt idx="39">
                  <c:v>-7.7218483096971697</c:v>
                </c:pt>
                <c:pt idx="40">
                  <c:v>-7.6668928088823805</c:v>
                </c:pt>
                <c:pt idx="41">
                  <c:v>-7.6124988531058584</c:v>
                </c:pt>
                <c:pt idx="42">
                  <c:v>-7.558696992828823</c:v>
                </c:pt>
                <c:pt idx="43">
                  <c:v>-7.5055112872230145</c:v>
                </c:pt>
                <c:pt idx="44">
                  <c:v>-7.4529602797753887</c:v>
                </c:pt>
                <c:pt idx="45">
                  <c:v>-7.4010578263550792</c:v>
                </c:pt>
                <c:pt idx="46">
                  <c:v>-7.3498137994477766</c:v>
                </c:pt>
                <c:pt idx="47">
                  <c:v>-7.2992346881739483</c:v>
                </c:pt>
                <c:pt idx="48">
                  <c:v>-7.2493241103749746</c:v>
                </c:pt>
                <c:pt idx="49">
                  <c:v>-7.2000832503259753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CCA-4439-8EE1-39E909372A54}"/>
            </c:ext>
          </c:extLst>
        </c:ser>
        <c:ser>
          <c:idx val="12"/>
          <c:order val="12"/>
          <c:tx>
            <c:strRef>
              <c:f>Theta!$B$15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Theta!$C$15:$AZ$15</c:f>
              <c:numCache>
                <c:formatCode>General</c:formatCode>
                <c:ptCount val="50"/>
                <c:pt idx="0">
                  <c:v>-0.99900397611210756</c:v>
                </c:pt>
                <c:pt idx="1">
                  <c:v>-1.0079740663763797</c:v>
                </c:pt>
                <c:pt idx="2">
                  <c:v>-1.1266838123665093</c:v>
                </c:pt>
                <c:pt idx="3">
                  <c:v>-1.4437532270982985</c:v>
                </c:pt>
                <c:pt idx="4">
                  <c:v>-1.9125272465668401</c:v>
                </c:pt>
                <c:pt idx="5">
                  <c:v>-2.448703057439813</c:v>
                </c:pt>
                <c:pt idx="6">
                  <c:v>-2.989706625622659</c:v>
                </c:pt>
                <c:pt idx="7">
                  <c:v>-3.5002849366235611</c:v>
                </c:pt>
                <c:pt idx="8">
                  <c:v>-3.9642080433124098</c:v>
                </c:pt>
                <c:pt idx="9">
                  <c:v>-4.3763326739248836</c:v>
                </c:pt>
                <c:pt idx="10">
                  <c:v>-4.737369177743326</c:v>
                </c:pt>
                <c:pt idx="11">
                  <c:v>-5.0508250665674161</c:v>
                </c:pt>
                <c:pt idx="12">
                  <c:v>-5.3213243003950819</c:v>
                </c:pt>
                <c:pt idx="13">
                  <c:v>-5.5537251685299021</c:v>
                </c:pt>
                <c:pt idx="14">
                  <c:v>-5.7526836813231785</c:v>
                </c:pt>
                <c:pt idx="15">
                  <c:v>-5.9224592259705116</c:v>
                </c:pt>
                <c:pt idx="16">
                  <c:v>-6.0668486006023725</c:v>
                </c:pt>
                <c:pt idx="17">
                  <c:v>-6.1891855368517303</c:v>
                </c:pt>
                <c:pt idx="18">
                  <c:v>-6.2923713955932872</c:v>
                </c:pt>
                <c:pt idx="19">
                  <c:v>-6.3789186044227284</c:v>
                </c:pt>
                <c:pt idx="20">
                  <c:v>-6.4509971932314345</c:v>
                </c:pt>
                <c:pt idx="21">
                  <c:v>-6.5104796186049567</c:v>
                </c:pt>
                <c:pt idx="22">
                  <c:v>-6.5589817005853766</c:v>
                </c:pt>
                <c:pt idx="23">
                  <c:v>-6.5978989025242747</c:v>
                </c:pt>
                <c:pt idx="24">
                  <c:v>-6.6284379112376124</c:v>
                </c:pt>
                <c:pt idx="25">
                  <c:v>-6.651643825591778</c:v>
                </c:pt>
                <c:pt idx="26">
                  <c:v>-6.6684234081832283</c:v>
                </c:pt>
                <c:pt idx="27">
                  <c:v>-6.6795648929102232</c:v>
                </c:pt>
                <c:pt idx="28">
                  <c:v>-6.6857548245656613</c:v>
                </c:pt>
                <c:pt idx="29">
                  <c:v>-6.68759236472295</c:v>
                </c:pt>
                <c:pt idx="30">
                  <c:v>-6.6856014471930321</c:v>
                </c:pt>
                <c:pt idx="31">
                  <c:v>-6.6802411145961011</c:v>
                </c:pt>
                <c:pt idx="32">
                  <c:v>-6.6719143192237373</c:v>
                </c:pt>
                <c:pt idx="33">
                  <c:v>-6.6609754281087552</c:v>
                </c:pt>
                <c:pt idx="34">
                  <c:v>-6.6477366345434783</c:v>
                </c:pt>
                <c:pt idx="35">
                  <c:v>-6.6324734460150614</c:v>
                </c:pt>
                <c:pt idx="36">
                  <c:v>-6.6154293911795623</c:v>
                </c:pt>
                <c:pt idx="37">
                  <c:v>-6.5968200654839197</c:v>
                </c:pt>
                <c:pt idx="38">
                  <c:v>-6.5768366157647895</c:v>
                </c:pt>
                <c:pt idx="39">
                  <c:v>-6.5556487480426995</c:v>
                </c:pt>
                <c:pt idx="40">
                  <c:v>-6.5334073292864181</c:v>
                </c:pt>
                <c:pt idx="41">
                  <c:v>-6.5102466427095633</c:v>
                </c:pt>
                <c:pt idx="42">
                  <c:v>-6.4862863468071721</c:v>
                </c:pt>
                <c:pt idx="43">
                  <c:v>-6.4616331805305629</c:v>
                </c:pt>
                <c:pt idx="44">
                  <c:v>-6.4363824504722524</c:v>
                </c:pt>
                <c:pt idx="45">
                  <c:v>-6.4106193304706798</c:v>
                </c:pt>
                <c:pt idx="46">
                  <c:v>-6.3844199994664361</c:v>
                </c:pt>
                <c:pt idx="47">
                  <c:v>-6.3578526395977972</c:v>
                </c:pt>
                <c:pt idx="48">
                  <c:v>-6.3309783132900419</c:v>
                </c:pt>
                <c:pt idx="49">
                  <c:v>-6.3038517353682249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CCA-4439-8EE1-39E909372A54}"/>
            </c:ext>
          </c:extLst>
        </c:ser>
        <c:ser>
          <c:idx val="13"/>
          <c:order val="13"/>
          <c:tx>
            <c:strRef>
              <c:f>Theta!$B$16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Theta!$C$16:$AZ$16</c:f>
              <c:numCache>
                <c:formatCode>General</c:formatCode>
                <c:ptCount val="50"/>
                <c:pt idx="0">
                  <c:v>-0.99900050070060253</c:v>
                </c:pt>
                <c:pt idx="1">
                  <c:v>-0.99815794453255258</c:v>
                </c:pt>
                <c:pt idx="2">
                  <c:v>-1.0050611714104691</c:v>
                </c:pt>
                <c:pt idx="3">
                  <c:v>-1.0514565306320405</c:v>
                </c:pt>
                <c:pt idx="4">
                  <c:v>-1.1668961476038686</c:v>
                </c:pt>
                <c:pt idx="5">
                  <c:v>-1.3531428277893387</c:v>
                </c:pt>
                <c:pt idx="6">
                  <c:v>-1.5933769820568591</c:v>
                </c:pt>
                <c:pt idx="7">
                  <c:v>-1.8663965175540675</c:v>
                </c:pt>
                <c:pt idx="8">
                  <c:v>-2.1538244121847803</c:v>
                </c:pt>
                <c:pt idx="9">
                  <c:v>-2.442078087337606</c:v>
                </c:pt>
                <c:pt idx="10">
                  <c:v>-2.7220511312416993</c:v>
                </c:pt>
                <c:pt idx="11">
                  <c:v>-2.9881305156566333</c:v>
                </c:pt>
                <c:pt idx="12">
                  <c:v>-3.2372054804031092</c:v>
                </c:pt>
                <c:pt idx="13">
                  <c:v>-3.4678666786059122</c:v>
                </c:pt>
                <c:pt idx="14">
                  <c:v>-3.6798162834623072</c:v>
                </c:pt>
                <c:pt idx="15">
                  <c:v>-3.8734541009389818</c:v>
                </c:pt>
                <c:pt idx="16">
                  <c:v>-4.0495957120620814</c:v>
                </c:pt>
                <c:pt idx="17">
                  <c:v>-4.2092846622992823</c:v>
                </c:pt>
                <c:pt idx="18">
                  <c:v>-4.3536697516277414</c:v>
                </c:pt>
                <c:pt idx="19">
                  <c:v>-4.4839266038430958</c:v>
                </c:pt>
                <c:pt idx="20">
                  <c:v>-4.6012089862150063</c:v>
                </c:pt>
                <c:pt idx="21">
                  <c:v>-4.7066199136300533</c:v>
                </c:pt>
                <c:pt idx="22">
                  <c:v>-4.8011957709315762</c:v>
                </c:pt>
                <c:pt idx="23">
                  <c:v>-4.8858988901224985</c:v>
                </c:pt>
                <c:pt idx="24">
                  <c:v>-4.9616155205922086</c:v>
                </c:pt>
                <c:pt idx="25">
                  <c:v>-5.0291571481663233</c:v>
                </c:pt>
                <c:pt idx="26">
                  <c:v>-5.0892638062744417</c:v>
                </c:pt>
                <c:pt idx="27">
                  <c:v>-5.1426084860389487</c:v>
                </c:pt>
                <c:pt idx="28">
                  <c:v>-5.1898020640277061</c:v>
                </c:pt>
                <c:pt idx="29">
                  <c:v>-5.231398375886033</c:v>
                </c:pt>
                <c:pt idx="30">
                  <c:v>-5.2678992042683106</c:v>
                </c:pt>
                <c:pt idx="31">
                  <c:v>-5.2997590428618402</c:v>
                </c:pt>
                <c:pt idx="32">
                  <c:v>-5.3273895600045433</c:v>
                </c:pt>
                <c:pt idx="33">
                  <c:v>-5.3511637257129783</c:v>
                </c:pt>
                <c:pt idx="34">
                  <c:v>-5.3714195918204126</c:v>
                </c:pt>
                <c:pt idx="35">
                  <c:v>-5.3884637311026227</c:v>
                </c:pt>
                <c:pt idx="36">
                  <c:v>-5.4025743509529915</c:v>
                </c:pt>
                <c:pt idx="37">
                  <c:v>-5.4140041025419086</c:v>
                </c:pt>
                <c:pt idx="38">
                  <c:v>-5.4229826089407043</c:v>
                </c:pt>
                <c:pt idx="39">
                  <c:v>-5.42971873641355</c:v>
                </c:pt>
                <c:pt idx="40">
                  <c:v>-5.4344026326614179</c:v>
                </c:pt>
                <c:pt idx="41">
                  <c:v>-5.4372075546973209</c:v>
                </c:pt>
                <c:pt idx="42">
                  <c:v>-5.4382915075460678</c:v>
                </c:pt>
                <c:pt idx="43">
                  <c:v>-5.4377987132956642</c:v>
                </c:pt>
                <c:pt idx="44">
                  <c:v>-5.4358609283103236</c:v>
                </c:pt>
                <c:pt idx="45">
                  <c:v>-5.4325986247290512</c:v>
                </c:pt>
                <c:pt idx="46">
                  <c:v>-5.4281220507671835</c:v>
                </c:pt>
                <c:pt idx="47">
                  <c:v>-5.4225321828390856</c:v>
                </c:pt>
                <c:pt idx="48">
                  <c:v>-5.4159215811406751</c:v>
                </c:pt>
                <c:pt idx="49">
                  <c:v>-5.4083751590745601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CCA-4439-8EE1-39E909372A54}"/>
            </c:ext>
          </c:extLst>
        </c:ser>
        <c:ser>
          <c:idx val="14"/>
          <c:order val="14"/>
          <c:tx>
            <c:strRef>
              <c:f>Theta!$B$17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Theta!$C$17:$AZ$17</c:f>
              <c:numCache>
                <c:formatCode>General</c:formatCode>
                <c:ptCount val="50"/>
                <c:pt idx="0">
                  <c:v>-0.99900049983343742</c:v>
                </c:pt>
                <c:pt idx="1">
                  <c:v>-0.9980033081741595</c:v>
                </c:pt>
                <c:pt idx="2">
                  <c:v>-0.99733523605550856</c:v>
                </c:pt>
                <c:pt idx="3">
                  <c:v>-1.0010411415495206</c:v>
                </c:pt>
                <c:pt idx="4">
                  <c:v>-1.0201295889446176</c:v>
                </c:pt>
                <c:pt idx="5">
                  <c:v>-1.0661034642018876</c:v>
                </c:pt>
                <c:pt idx="6">
                  <c:v>-1.1442042727953385</c:v>
                </c:pt>
                <c:pt idx="7">
                  <c:v>-1.2530379708006905</c:v>
                </c:pt>
                <c:pt idx="8">
                  <c:v>-1.3872430947387828</c:v>
                </c:pt>
                <c:pt idx="9">
                  <c:v>-1.5400544994402543</c:v>
                </c:pt>
                <c:pt idx="10">
                  <c:v>-1.7048833637344392</c:v>
                </c:pt>
                <c:pt idx="11">
                  <c:v>-1.8760533614468802</c:v>
                </c:pt>
                <c:pt idx="12">
                  <c:v>-2.0490205678922289</c:v>
                </c:pt>
                <c:pt idx="13">
                  <c:v>-2.2203320016553323</c:v>
                </c:pt>
                <c:pt idx="14">
                  <c:v>-2.3874762945307935</c:v>
                </c:pt>
                <c:pt idx="15">
                  <c:v>-2.5487069250763472</c:v>
                </c:pt>
                <c:pt idx="16">
                  <c:v>-2.7028751957340797</c:v>
                </c:pt>
                <c:pt idx="17">
                  <c:v>-2.8492871019662789</c:v>
                </c:pt>
                <c:pt idx="18">
                  <c:v>-2.9875869978913476</c:v>
                </c:pt>
                <c:pt idx="19">
                  <c:v>-3.1176660418276967</c:v>
                </c:pt>
                <c:pt idx="20">
                  <c:v>-3.2395916659891379</c:v>
                </c:pt>
                <c:pt idx="21">
                  <c:v>-3.3535540673622113</c:v>
                </c:pt>
                <c:pt idx="22">
                  <c:v>-3.4598260954847717</c:v>
                </c:pt>
                <c:pt idx="23">
                  <c:v>-3.558733494989625</c:v>
                </c:pt>
                <c:pt idx="24">
                  <c:v>-3.6506330538624763</c:v>
                </c:pt>
                <c:pt idx="25">
                  <c:v>-3.7358967348340166</c:v>
                </c:pt>
                <c:pt idx="26">
                  <c:v>-3.8149003045560113</c:v>
                </c:pt>
                <c:pt idx="27">
                  <c:v>-3.8880153250022662</c:v>
                </c:pt>
                <c:pt idx="28">
                  <c:v>-3.9556036450985794</c:v>
                </c:pt>
                <c:pt idx="29">
                  <c:v>-4.0180137414840615</c:v>
                </c:pt>
                <c:pt idx="30">
                  <c:v>-4.0755784183909078</c:v>
                </c:pt>
                <c:pt idx="31">
                  <c:v>-4.1286134989222125</c:v>
                </c:pt>
                <c:pt idx="32">
                  <c:v>-4.177417232481746</c:v>
                </c:pt>
                <c:pt idx="33">
                  <c:v>-4.2222702128547924</c:v>
                </c:pt>
                <c:pt idx="34">
                  <c:v>-4.2634356539512908</c:v>
                </c:pt>
                <c:pt idx="35">
                  <c:v>-4.3011599097121467</c:v>
                </c:pt>
                <c:pt idx="36">
                  <c:v>-4.3356731543482692</c:v>
                </c:pt>
                <c:pt idx="37">
                  <c:v>-4.3671901613517985</c:v>
                </c:pt>
                <c:pt idx="38">
                  <c:v>-4.3959111364178041</c:v>
                </c:pt>
                <c:pt idx="39">
                  <c:v>-4.4220225719189639</c:v>
                </c:pt>
                <c:pt idx="40">
                  <c:v>-4.4456980999217706</c:v>
                </c:pt>
                <c:pt idx="41">
                  <c:v>-4.4670993277004545</c:v>
                </c:pt>
                <c:pt idx="42">
                  <c:v>-4.4863766448815436</c:v>
                </c:pt>
                <c:pt idx="43">
                  <c:v>-4.503669995180017</c:v>
                </c:pt>
                <c:pt idx="44">
                  <c:v>-4.519109608501215</c:v>
                </c:pt>
                <c:pt idx="45">
                  <c:v>-4.5328166912325587</c:v>
                </c:pt>
                <c:pt idx="46">
                  <c:v>-4.5449040740257711</c:v>
                </c:pt>
                <c:pt idx="47">
                  <c:v>-4.5554768174174907</c:v>
                </c:pt>
                <c:pt idx="48">
                  <c:v>-4.5646327763621404</c:v>
                </c:pt>
                <c:pt idx="49">
                  <c:v>-4.5724631252380039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CCA-4439-8EE1-39E909372A54}"/>
            </c:ext>
          </c:extLst>
        </c:ser>
        <c:ser>
          <c:idx val="15"/>
          <c:order val="15"/>
          <c:tx>
            <c:strRef>
              <c:f>Theta!$B$18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Theta!$C$18:$AZ$18</c:f>
              <c:numCache>
                <c:formatCode>General</c:formatCode>
                <c:ptCount val="50"/>
                <c:pt idx="0">
                  <c:v>-0.99900049983337502</c:v>
                </c:pt>
                <c:pt idx="1">
                  <c:v>-0.9980020050384425</c:v>
                </c:pt>
                <c:pt idx="2">
                  <c:v>-0.99701393367086233</c:v>
                </c:pt>
                <c:pt idx="3">
                  <c:v>-0.99635584734767224</c:v>
                </c:pt>
                <c:pt idx="4">
                  <c:v>-0.99796395889380229</c:v>
                </c:pt>
                <c:pt idx="5">
                  <c:v>-1.006084949362662</c:v>
                </c:pt>
                <c:pt idx="6">
                  <c:v>-1.0256098766324282</c:v>
                </c:pt>
                <c:pt idx="7">
                  <c:v>-1.0600336350888644</c:v>
                </c:pt>
                <c:pt idx="8">
                  <c:v>-1.1106685203277022</c:v>
                </c:pt>
                <c:pt idx="9">
                  <c:v>-1.1769128991993907</c:v>
                </c:pt>
                <c:pt idx="10">
                  <c:v>-1.2569097252088148</c:v>
                </c:pt>
                <c:pt idx="11">
                  <c:v>-1.3481789971203719</c:v>
                </c:pt>
                <c:pt idx="12">
                  <c:v>-1.4480789126292857</c:v>
                </c:pt>
                <c:pt idx="13">
                  <c:v>-1.5540902062683737</c:v>
                </c:pt>
                <c:pt idx="14">
                  <c:v>-1.663965024484914</c:v>
                </c:pt>
                <c:pt idx="15">
                  <c:v>-1.7757860386513444</c:v>
                </c:pt>
                <c:pt idx="16">
                  <c:v>-1.8879719456354533</c:v>
                </c:pt>
                <c:pt idx="17">
                  <c:v>-1.9992541880180223</c:v>
                </c:pt>
                <c:pt idx="18">
                  <c:v>-2.1086405499974492</c:v>
                </c:pt>
                <c:pt idx="19">
                  <c:v>-2.2153748413503598</c:v>
                </c:pt>
                <c:pt idx="20">
                  <c:v>-2.3188977011153171</c:v>
                </c:pt>
                <c:pt idx="21">
                  <c:v>-2.4188109857426312</c:v>
                </c:pt>
                <c:pt idx="22">
                  <c:v>-2.5148467050037135</c:v>
                </c:pt>
                <c:pt idx="23">
                  <c:v>-2.6068406372995039</c:v>
                </c:pt>
                <c:pt idx="24">
                  <c:v>-2.6947103298299138</c:v>
                </c:pt>
                <c:pt idx="25">
                  <c:v>-2.7784369998021821</c:v>
                </c:pt>
                <c:pt idx="26">
                  <c:v>-2.8580507963788073</c:v>
                </c:pt>
                <c:pt idx="27">
                  <c:v>-2.9336188968397896</c:v>
                </c:pt>
                <c:pt idx="28">
                  <c:v>-3.0052359578602124</c:v>
                </c:pt>
                <c:pt idx="29">
                  <c:v>-3.0730165031461052</c:v>
                </c:pt>
                <c:pt idx="30">
                  <c:v>-3.137088890694105</c:v>
                </c:pt>
                <c:pt idx="31">
                  <c:v>-3.1975905609837612</c:v>
                </c:pt>
                <c:pt idx="32">
                  <c:v>-3.2546643190040472</c:v>
                </c:pt>
                <c:pt idx="33">
                  <c:v>-3.308455447446736</c:v>
                </c:pt>
                <c:pt idx="34">
                  <c:v>-3.3591094858775916</c:v>
                </c:pt>
                <c:pt idx="35">
                  <c:v>-3.4067705418650793</c:v>
                </c:pt>
                <c:pt idx="36">
                  <c:v>-3.4515800257114591</c:v>
                </c:pt>
                <c:pt idx="37">
                  <c:v>-3.4936757214154279</c:v>
                </c:pt>
                <c:pt idx="38">
                  <c:v>-3.5331911235653592</c:v>
                </c:pt>
                <c:pt idx="39">
                  <c:v>-3.5702549836967896</c:v>
                </c:pt>
                <c:pt idx="40">
                  <c:v>-3.6049910208305098</c:v>
                </c:pt>
                <c:pt idx="41">
                  <c:v>-3.6375177599293163</c:v>
                </c:pt>
                <c:pt idx="42">
                  <c:v>-3.6679484692795472</c:v>
                </c:pt>
                <c:pt idx="43">
                  <c:v>-3.6963911736530752</c:v>
                </c:pt>
                <c:pt idx="44">
                  <c:v>-3.7229487248092767</c:v>
                </c:pt>
                <c:pt idx="45">
                  <c:v>-3.7477189146772445</c:v>
                </c:pt>
                <c:pt idx="46">
                  <c:v>-3.7707946195951596</c:v>
                </c:pt>
                <c:pt idx="47">
                  <c:v>-3.7922639664218507</c:v>
                </c:pt>
                <c:pt idx="48">
                  <c:v>-3.8122105132916313</c:v>
                </c:pt>
                <c:pt idx="49">
                  <c:v>-3.8307134393519777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CCA-4439-8EE1-39E909372A54}"/>
            </c:ext>
          </c:extLst>
        </c:ser>
        <c:ser>
          <c:idx val="16"/>
          <c:order val="16"/>
          <c:tx>
            <c:strRef>
              <c:f>Theta!$B$19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Theta!$C$19:$AZ$19</c:f>
              <c:numCache>
                <c:formatCode>General</c:formatCode>
                <c:ptCount val="50"/>
                <c:pt idx="0">
                  <c:v>-0.99900049983337502</c:v>
                </c:pt>
                <c:pt idx="1">
                  <c:v>-0.9980019986865114</c:v>
                </c:pt>
                <c:pt idx="2">
                  <c:v>-0.99700469110195167</c:v>
                </c:pt>
                <c:pt idx="3">
                  <c:v>-0.99602690552032525</c:v>
                </c:pt>
                <c:pt idx="4">
                  <c:v>-0.99529879952549116</c:v>
                </c:pt>
                <c:pt idx="5">
                  <c:v>-0.99573985468332438</c:v>
                </c:pt>
                <c:pt idx="6">
                  <c:v>-0.99915000880716698</c:v>
                </c:pt>
                <c:pt idx="7">
                  <c:v>-1.0077512512995768</c:v>
                </c:pt>
                <c:pt idx="8">
                  <c:v>-1.0235183941406756</c:v>
                </c:pt>
                <c:pt idx="9">
                  <c:v>-1.0477472511347741</c:v>
                </c:pt>
                <c:pt idx="10">
                  <c:v>-1.0809451240621697</c:v>
                </c:pt>
                <c:pt idx="11">
                  <c:v>-1.1229331337944792</c:v>
                </c:pt>
                <c:pt idx="12">
                  <c:v>-1.1730335271972216</c:v>
                </c:pt>
                <c:pt idx="13">
                  <c:v>-1.2302607548047977</c:v>
                </c:pt>
                <c:pt idx="14">
                  <c:v>-1.2934794471691635</c:v>
                </c:pt>
                <c:pt idx="15">
                  <c:v>-1.3615198227883007</c:v>
                </c:pt>
                <c:pt idx="16">
                  <c:v>-1.4332541518603337</c:v>
                </c:pt>
                <c:pt idx="17">
                  <c:v>-1.5076424310136949</c:v>
                </c:pt>
                <c:pt idx="18">
                  <c:v>-1.5837557656726626</c:v>
                </c:pt>
                <c:pt idx="19">
                  <c:v>-1.6607846490950859</c:v>
                </c:pt>
                <c:pt idx="20">
                  <c:v>-1.7380376290265358</c:v>
                </c:pt>
                <c:pt idx="21">
                  <c:v>-1.8149342958967922</c:v>
                </c:pt>
                <c:pt idx="22">
                  <c:v>-1.8909952794512093</c:v>
                </c:pt>
                <c:pt idx="23">
                  <c:v>-1.9658310126484624</c:v>
                </c:pt>
                <c:pt idx="24">
                  <c:v>-2.0391303630740474</c:v>
                </c:pt>
                <c:pt idx="25">
                  <c:v>-2.1106497810866154</c:v>
                </c:pt>
                <c:pt idx="26">
                  <c:v>-2.180203314339066</c:v>
                </c:pt>
                <c:pt idx="27">
                  <c:v>-2.2476536453543154</c:v>
                </c:pt>
                <c:pt idx="28">
                  <c:v>-2.3129041889187807</c:v>
                </c:pt>
                <c:pt idx="29">
                  <c:v>-2.3758922150555395</c:v>
                </c:pt>
                <c:pt idx="30">
                  <c:v>-2.4365829243823178</c:v>
                </c:pt>
                <c:pt idx="31">
                  <c:v>-2.4949643841945743</c:v>
                </c:pt>
                <c:pt idx="32">
                  <c:v>-2.5510432278672295</c:v>
                </c:pt>
                <c:pt idx="33">
                  <c:v>-2.6048410219936011</c:v>
                </c:pt>
                <c:pt idx="34">
                  <c:v>-2.6563912117279909</c:v>
                </c:pt>
                <c:pt idx="35">
                  <c:v>-2.7057365629326617</c:v>
                </c:pt>
                <c:pt idx="36">
                  <c:v>-2.7529270286230996</c:v>
                </c:pt>
                <c:pt idx="37">
                  <c:v>-2.7980179760619155</c:v>
                </c:pt>
                <c:pt idx="38">
                  <c:v>-2.8410687192213957</c:v>
                </c:pt>
                <c:pt idx="39">
                  <c:v>-2.8821413089875518</c:v>
                </c:pt>
                <c:pt idx="40">
                  <c:v>-2.9212995403224373</c:v>
                </c:pt>
                <c:pt idx="41">
                  <c:v>-2.9586081416262049</c:v>
                </c:pt>
                <c:pt idx="42">
                  <c:v>-2.9941321167842698</c:v>
                </c:pt>
                <c:pt idx="43">
                  <c:v>-3.0279362149103308</c:v>
                </c:pt>
                <c:pt idx="44">
                  <c:v>-3.0600845066763678</c:v>
                </c:pt>
                <c:pt idx="45">
                  <c:v>-3.0906400494320709</c:v>
                </c:pt>
                <c:pt idx="46">
                  <c:v>-3.1196646261308958</c:v>
                </c:pt>
                <c:pt idx="47">
                  <c:v>-3.1472185454660653</c:v>
                </c:pt>
                <c:pt idx="48">
                  <c:v>-3.1733604926376717</c:v>
                </c:pt>
                <c:pt idx="49">
                  <c:v>-3.1981474218758077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CCA-4439-8EE1-39E909372A5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41340416"/>
        <c:axId val="941336576"/>
        <c:axId val="1060919104"/>
      </c:surface3DChart>
      <c:catAx>
        <c:axId val="94134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336576"/>
        <c:crosses val="autoZero"/>
        <c:auto val="1"/>
        <c:lblAlgn val="ctr"/>
        <c:lblOffset val="100"/>
        <c:noMultiLvlLbl val="0"/>
      </c:catAx>
      <c:valAx>
        <c:axId val="94133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340416"/>
        <c:crosses val="autoZero"/>
        <c:crossBetween val="midCat"/>
      </c:valAx>
      <c:serAx>
        <c:axId val="10609191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3365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Theta, vol=20%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Theta!$B$24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Theta!$C$24:$AZ$24</c:f>
              <c:numCache>
                <c:formatCode>General</c:formatCode>
                <c:ptCount val="50"/>
                <c:pt idx="0">
                  <c:v>-3.7888759054082966E-13</c:v>
                </c:pt>
                <c:pt idx="1">
                  <c:v>-3.241209709504522E-6</c:v>
                </c:pt>
                <c:pt idx="2">
                  <c:v>-6.0735977189806285E-4</c:v>
                </c:pt>
                <c:pt idx="3">
                  <c:v>-7.9666028258068913E-3</c:v>
                </c:pt>
                <c:pt idx="4">
                  <c:v>-3.6384387565863437E-2</c:v>
                </c:pt>
                <c:pt idx="5">
                  <c:v>-9.8473249781869582E-2</c:v>
                </c:pt>
                <c:pt idx="6">
                  <c:v>-0.19811625251386308</c:v>
                </c:pt>
                <c:pt idx="7">
                  <c:v>-0.33164480985666095</c:v>
                </c:pt>
                <c:pt idx="8">
                  <c:v>-0.49161703594634387</c:v>
                </c:pt>
                <c:pt idx="9">
                  <c:v>-0.66976649224152696</c:v>
                </c:pt>
                <c:pt idx="10">
                  <c:v>-0.85857753379079282</c:v>
                </c:pt>
                <c:pt idx="11">
                  <c:v>-1.0518882458863925</c:v>
                </c:pt>
                <c:pt idx="12">
                  <c:v>-1.2449678786656388</c:v>
                </c:pt>
                <c:pt idx="13">
                  <c:v>-1.4343620001040338</c:v>
                </c:pt>
                <c:pt idx="14">
                  <c:v>-1.6176634320936938</c:v>
                </c:pt>
                <c:pt idx="15">
                  <c:v>-1.7932832715199793</c:v>
                </c:pt>
                <c:pt idx="16">
                  <c:v>-1.9602514261982582</c:v>
                </c:pt>
                <c:pt idx="17">
                  <c:v>-2.1180543214155558</c:v>
                </c:pt>
                <c:pt idx="18">
                  <c:v>-2.2665079477266956</c:v>
                </c:pt>
                <c:pt idx="19">
                  <c:v>-2.4056610080402749</c:v>
                </c:pt>
                <c:pt idx="20">
                  <c:v>-2.535722295729868</c:v>
                </c:pt>
                <c:pt idx="21">
                  <c:v>-2.6570069536848839</c:v>
                </c:pt>
                <c:pt idx="22">
                  <c:v>-2.7698971492689051</c:v>
                </c:pt>
                <c:pt idx="23">
                  <c:v>-2.8748136092857175</c:v>
                </c:pt>
                <c:pt idx="24">
                  <c:v>-2.9721952597133106</c:v>
                </c:pt>
                <c:pt idx="25">
                  <c:v>-3.0624848713536239</c:v>
                </c:pt>
                <c:pt idx="26">
                  <c:v>-3.1461191299488411</c:v>
                </c:pt>
                <c:pt idx="27">
                  <c:v>-3.2235219477631598</c:v>
                </c:pt>
                <c:pt idx="28">
                  <c:v>-3.295100136066988</c:v>
                </c:pt>
                <c:pt idx="29">
                  <c:v>-3.361240785433032</c:v>
                </c:pt>
                <c:pt idx="30">
                  <c:v>-3.4223098708498143</c:v>
                </c:pt>
                <c:pt idx="31">
                  <c:v>-3.4786517253815754</c:v>
                </c:pt>
                <c:pt idx="32">
                  <c:v>-3.5305891202940076</c:v>
                </c:pt>
                <c:pt idx="33">
                  <c:v>-3.5784237594700872</c:v>
                </c:pt>
                <c:pt idx="34">
                  <c:v>-3.6224370477674452</c:v>
                </c:pt>
                <c:pt idx="35">
                  <c:v>-3.6628910313599112</c:v>
                </c:pt>
                <c:pt idx="36">
                  <c:v>-3.7000294365181068</c:v>
                </c:pt>
                <c:pt idx="37">
                  <c:v>-3.7340787542859588</c:v>
                </c:pt>
                <c:pt idx="38">
                  <c:v>-3.7652493340086126</c:v>
                </c:pt>
                <c:pt idx="39">
                  <c:v>-3.7937364600777639</c:v>
                </c:pt>
                <c:pt idx="40">
                  <c:v>-3.8197213946336075</c:v>
                </c:pt>
                <c:pt idx="41">
                  <c:v>-3.8433723750790909</c:v>
                </c:pt>
                <c:pt idx="42">
                  <c:v>-3.86484555970253</c:v>
                </c:pt>
                <c:pt idx="43">
                  <c:v>-3.8842859179008227</c:v>
                </c:pt>
                <c:pt idx="44">
                  <c:v>-3.9018280637695444</c:v>
                </c:pt>
                <c:pt idx="45">
                  <c:v>-3.9175970334178842</c:v>
                </c:pt>
                <c:pt idx="46">
                  <c:v>-3.931709007454836</c:v>
                </c:pt>
                <c:pt idx="47">
                  <c:v>-3.9442719808117568</c:v>
                </c:pt>
                <c:pt idx="48">
                  <c:v>-3.9553863825150222</c:v>
                </c:pt>
                <c:pt idx="49">
                  <c:v>-3.96514564827533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F1-46AC-8BC3-F1BA05FD2EBB}"/>
            </c:ext>
          </c:extLst>
        </c:ser>
        <c:ser>
          <c:idx val="1"/>
          <c:order val="1"/>
          <c:tx>
            <c:strRef>
              <c:f>Theta!$B$25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Theta!$C$25:$AZ$25</c:f>
              <c:numCache>
                <c:formatCode>General</c:formatCode>
                <c:ptCount val="50"/>
                <c:pt idx="0">
                  <c:v>-4.7730680272939875E-9</c:v>
                </c:pt>
                <c:pt idx="1">
                  <c:v>-3.6751884921578125E-4</c:v>
                </c:pt>
                <c:pt idx="2">
                  <c:v>-1.4326649102844717E-2</c:v>
                </c:pt>
                <c:pt idx="3">
                  <c:v>-8.571470034170342E-2</c:v>
                </c:pt>
                <c:pt idx="4">
                  <c:v>-0.24443418608516443</c:v>
                </c:pt>
                <c:pt idx="5">
                  <c:v>-0.48330273129454371</c:v>
                </c:pt>
                <c:pt idx="6">
                  <c:v>-0.77703336025622183</c:v>
                </c:pt>
                <c:pt idx="7">
                  <c:v>-1.0994196485371126</c:v>
                </c:pt>
                <c:pt idx="8">
                  <c:v>-1.4299544670592994</c:v>
                </c:pt>
                <c:pt idx="9">
                  <c:v>-1.754637041345489</c:v>
                </c:pt>
                <c:pt idx="10">
                  <c:v>-2.0647910640166929</c:v>
                </c:pt>
                <c:pt idx="11">
                  <c:v>-2.3555739824023316</c:v>
                </c:pt>
                <c:pt idx="12">
                  <c:v>-2.6247213858885883</c:v>
                </c:pt>
                <c:pt idx="13">
                  <c:v>-2.8716226063121502</c:v>
                </c:pt>
                <c:pt idx="14">
                  <c:v>-3.0966821772749644</c:v>
                </c:pt>
                <c:pt idx="15">
                  <c:v>-3.300894507341138</c:v>
                </c:pt>
                <c:pt idx="16">
                  <c:v>-3.4855675918214346</c:v>
                </c:pt>
                <c:pt idx="17">
                  <c:v>-3.6521474335607231</c:v>
                </c:pt>
                <c:pt idx="18">
                  <c:v>-3.8021091759818915</c:v>
                </c:pt>
                <c:pt idx="19">
                  <c:v>-3.9368918358386602</c:v>
                </c:pt>
                <c:pt idx="20">
                  <c:v>-4.0578612099871236</c:v>
                </c:pt>
                <c:pt idx="21">
                  <c:v>-4.1662907699323641</c:v>
                </c:pt>
                <c:pt idx="22">
                  <c:v>-4.2633538637173487</c:v>
                </c:pt>
                <c:pt idx="23">
                  <c:v>-4.3501228676555632</c:v>
                </c:pt>
                <c:pt idx="24">
                  <c:v>-4.4275724616265144</c:v>
                </c:pt>
                <c:pt idx="25">
                  <c:v>-4.4965852081366204</c:v>
                </c:pt>
                <c:pt idx="26">
                  <c:v>-4.5579582756568966</c:v>
                </c:pt>
                <c:pt idx="27">
                  <c:v>-4.6124105790862311</c:v>
                </c:pt>
                <c:pt idx="28">
                  <c:v>-4.6605898924399565</c:v>
                </c:pt>
                <c:pt idx="29">
                  <c:v>-4.703079672273744</c:v>
                </c:pt>
                <c:pt idx="30">
                  <c:v>-4.740405448655034</c:v>
                </c:pt>
                <c:pt idx="31">
                  <c:v>-4.7730407159224448</c:v>
                </c:pt>
                <c:pt idx="32">
                  <c:v>-4.8014123027096645</c:v>
                </c:pt>
                <c:pt idx="33">
                  <c:v>-4.8259052294639861</c:v>
                </c:pt>
                <c:pt idx="34">
                  <c:v>-4.846867078391937</c:v>
                </c:pt>
                <c:pt idx="35">
                  <c:v>-4.8646119096758706</c:v>
                </c:pt>
                <c:pt idx="36">
                  <c:v>-4.8794237617477831</c:v>
                </c:pt>
                <c:pt idx="37">
                  <c:v>-4.8915597742450467</c:v>
                </c:pt>
                <c:pt idx="38">
                  <c:v>-4.9012529712347712</c:v>
                </c:pt>
                <c:pt idx="39">
                  <c:v>-4.908714740182444</c:v>
                </c:pt>
                <c:pt idx="40">
                  <c:v>-4.9141370394759063</c:v>
                </c:pt>
                <c:pt idx="41">
                  <c:v>-4.917694364429118</c:v>
                </c:pt>
                <c:pt idx="42">
                  <c:v>-4.9195454987874943</c:v>
                </c:pt>
                <c:pt idx="43">
                  <c:v>-4.9198350759612675</c:v>
                </c:pt>
                <c:pt idx="44">
                  <c:v>-4.9186949715946149</c:v>
                </c:pt>
                <c:pt idx="45">
                  <c:v>-4.9162455466701278</c:v>
                </c:pt>
                <c:pt idx="46">
                  <c:v>-4.9125967581625662</c:v>
                </c:pt>
                <c:pt idx="47">
                  <c:v>-4.9078491522904946</c:v>
                </c:pt>
                <c:pt idx="48">
                  <c:v>-4.9020947536593757</c:v>
                </c:pt>
                <c:pt idx="49">
                  <c:v>-4.8954178620301949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F1-46AC-8BC3-F1BA05FD2EBB}"/>
            </c:ext>
          </c:extLst>
        </c:ser>
        <c:ser>
          <c:idx val="2"/>
          <c:order val="2"/>
          <c:tx>
            <c:strRef>
              <c:f>Theta!$B$26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Theta!$C$26:$AZ$26</c:f>
              <c:numCache>
                <c:formatCode>General</c:formatCode>
                <c:ptCount val="50"/>
                <c:pt idx="0">
                  <c:v>-7.1603045840606158E-6</c:v>
                </c:pt>
                <c:pt idx="1">
                  <c:v>-1.4370624164656631E-2</c:v>
                </c:pt>
                <c:pt idx="2">
                  <c:v>-0.16611103740621333</c:v>
                </c:pt>
                <c:pt idx="3">
                  <c:v>-0.5412049984933659</c:v>
                </c:pt>
                <c:pt idx="4">
                  <c:v>-1.0718066193428999</c:v>
                </c:pt>
                <c:pt idx="5">
                  <c:v>-1.6619493077293945</c:v>
                </c:pt>
                <c:pt idx="6">
                  <c:v>-2.2462093705423234</c:v>
                </c:pt>
                <c:pt idx="7">
                  <c:v>-2.7902318319527986</c:v>
                </c:pt>
                <c:pt idx="8">
                  <c:v>-3.2796995601874221</c:v>
                </c:pt>
                <c:pt idx="9">
                  <c:v>-3.7113500120129448</c:v>
                </c:pt>
                <c:pt idx="10">
                  <c:v>-4.0874406934952185</c:v>
                </c:pt>
                <c:pt idx="11">
                  <c:v>-4.4126655357498148</c:v>
                </c:pt>
                <c:pt idx="12">
                  <c:v>-4.6925299018223781</c:v>
                </c:pt>
                <c:pt idx="13">
                  <c:v>-4.9325374810745606</c:v>
                </c:pt>
                <c:pt idx="14">
                  <c:v>-5.1378140980582359</c:v>
                </c:pt>
                <c:pt idx="15">
                  <c:v>-5.3129606522368942</c:v>
                </c:pt>
                <c:pt idx="16">
                  <c:v>-5.4620224130330346</c:v>
                </c:pt>
                <c:pt idx="17">
                  <c:v>-5.5885142539323169</c:v>
                </c:pt>
                <c:pt idx="18">
                  <c:v>-5.6954699108965334</c:v>
                </c:pt>
                <c:pt idx="19">
                  <c:v>-5.7854987768122159</c:v>
                </c:pt>
                <c:pt idx="20">
                  <c:v>-5.8608420516117272</c:v>
                </c:pt>
                <c:pt idx="21">
                  <c:v>-5.9234245041701028</c:v>
                </c:pt>
                <c:pt idx="22">
                  <c:v>-5.9749004327657715</c:v>
                </c:pt>
                <c:pt idx="23">
                  <c:v>-6.0166935978232789</c:v>
                </c:pt>
                <c:pt idx="24">
                  <c:v>-6.0500314697325139</c:v>
                </c:pt>
                <c:pt idx="25">
                  <c:v>-6.0759743739995198</c:v>
                </c:pt>
                <c:pt idx="26">
                  <c:v>-6.0954401838564509</c:v>
                </c:pt>
                <c:pt idx="27">
                  <c:v>-6.1092251930677257</c:v>
                </c:pt>
                <c:pt idx="28">
                  <c:v>-6.1180217457120909</c:v>
                </c:pt>
                <c:pt idx="29">
                  <c:v>-6.122433129963416</c:v>
                </c:pt>
                <c:pt idx="30">
                  <c:v>-6.1229861719992096</c:v>
                </c:pt>
                <c:pt idx="31">
                  <c:v>-6.1201419001675221</c:v>
                </c:pt>
                <c:pt idx="32">
                  <c:v>-6.1143045908995717</c:v>
                </c:pt>
                <c:pt idx="33">
                  <c:v>-6.1058294571561023</c:v>
                </c:pt>
                <c:pt idx="34">
                  <c:v>-6.0950291971029094</c:v>
                </c:pt>
                <c:pt idx="35">
                  <c:v>-6.0821795844770667</c:v>
                </c:pt>
                <c:pt idx="36">
                  <c:v>-6.0675242518461658</c:v>
                </c:pt>
                <c:pt idx="37">
                  <c:v>-6.0512787927993221</c:v>
                </c:pt>
                <c:pt idx="38">
                  <c:v>-6.0336342882329284</c:v>
                </c:pt>
                <c:pt idx="39">
                  <c:v>-6.0147603445947926</c:v>
                </c:pt>
                <c:pt idx="40">
                  <c:v>-5.9948077176175056</c:v>
                </c:pt>
                <c:pt idx="41">
                  <c:v>-5.9739105831914108</c:v>
                </c:pt>
                <c:pt idx="42">
                  <c:v>-5.9521885071701943</c:v>
                </c:pt>
                <c:pt idx="43">
                  <c:v>-5.9297481577125515</c:v>
                </c:pt>
                <c:pt idx="44">
                  <c:v>-5.9066847969485918</c:v>
                </c:pt>
                <c:pt idx="45">
                  <c:v>-5.8830835830786254</c:v>
                </c:pt>
                <c:pt idx="46">
                  <c:v>-5.8590207092670052</c:v>
                </c:pt>
                <c:pt idx="47">
                  <c:v>-5.8345644017224272</c:v>
                </c:pt>
                <c:pt idx="48">
                  <c:v>-5.8097757960254661</c:v>
                </c:pt>
                <c:pt idx="49">
                  <c:v>-5.784709707964697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F1-46AC-8BC3-F1BA05FD2EBB}"/>
            </c:ext>
          </c:extLst>
        </c:ser>
        <c:ser>
          <c:idx val="3"/>
          <c:order val="3"/>
          <c:tx>
            <c:strRef>
              <c:f>Theta!$B$27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Theta!$C$27:$AZ$27</c:f>
              <c:numCache>
                <c:formatCode>General</c:formatCode>
                <c:ptCount val="50"/>
                <c:pt idx="0">
                  <c:v>-1.8875713026882618E-3</c:v>
                </c:pt>
                <c:pt idx="1">
                  <c:v>-0.23542096564408657</c:v>
                </c:pt>
                <c:pt idx="2">
                  <c:v>-1.0779827978949765</c:v>
                </c:pt>
                <c:pt idx="3">
                  <c:v>-2.210671890142939</c:v>
                </c:pt>
                <c:pt idx="4">
                  <c:v>-3.3163980774086572</c:v>
                </c:pt>
                <c:pt idx="5">
                  <c:v>-4.2733926605247587</c:v>
                </c:pt>
                <c:pt idx="6">
                  <c:v>-5.0604575049326366</c:v>
                </c:pt>
                <c:pt idx="7">
                  <c:v>-5.6927963660501737</c:v>
                </c:pt>
                <c:pt idx="8">
                  <c:v>-6.1949625133294468</c:v>
                </c:pt>
                <c:pt idx="9">
                  <c:v>-6.5910810534938085</c:v>
                </c:pt>
                <c:pt idx="10">
                  <c:v>-6.9019092289137802</c:v>
                </c:pt>
                <c:pt idx="11">
                  <c:v>-7.1444070320347972</c:v>
                </c:pt>
                <c:pt idx="12">
                  <c:v>-7.3321342307776378</c:v>
                </c:pt>
                <c:pt idx="13">
                  <c:v>-7.4758432804325468</c:v>
                </c:pt>
                <c:pt idx="14">
                  <c:v>-7.5840475423432165</c:v>
                </c:pt>
                <c:pt idx="15">
                  <c:v>-7.6635007880584478</c:v>
                </c:pt>
                <c:pt idx="16">
                  <c:v>-7.7195812151484802</c:v>
                </c:pt>
                <c:pt idx="17">
                  <c:v>-7.7565918197999402</c:v>
                </c:pt>
                <c:pt idx="18">
                  <c:v>-7.7779929774217083</c:v>
                </c:pt>
                <c:pt idx="19">
                  <c:v>-7.7865819734601072</c:v>
                </c:pt>
                <c:pt idx="20">
                  <c:v>-7.7846316936644229</c:v>
                </c:pt>
                <c:pt idx="21">
                  <c:v>-7.7739980866775849</c:v>
                </c:pt>
                <c:pt idx="22">
                  <c:v>-7.7562037865266129</c:v>
                </c:pt>
                <c:pt idx="23">
                  <c:v>-7.7325035081832567</c:v>
                </c:pt>
                <c:pt idx="24">
                  <c:v>-7.7039354622884746</c:v>
                </c:pt>
                <c:pt idx="25">
                  <c:v>-7.6713619996383251</c:v>
                </c:pt>
                <c:pt idx="26">
                  <c:v>-7.6355019178476349</c:v>
                </c:pt>
                <c:pt idx="27">
                  <c:v>-7.596956279368511</c:v>
                </c:pt>
                <c:pt idx="28">
                  <c:v>-7.5562291527213787</c:v>
                </c:pt>
                <c:pt idx="29">
                  <c:v>-7.5137443601188734</c:v>
                </c:pt>
                <c:pt idx="30">
                  <c:v>-7.4698590667613471</c:v>
                </c:pt>
                <c:pt idx="31">
                  <c:v>-7.4248748593025438</c:v>
                </c:pt>
                <c:pt idx="32">
                  <c:v>-7.3790468180702016</c:v>
                </c:pt>
                <c:pt idx="33">
                  <c:v>-7.3325909783157215</c:v>
                </c:pt>
                <c:pt idx="34">
                  <c:v>-7.2856904917312368</c:v>
                </c:pt>
                <c:pt idx="35">
                  <c:v>-7.2385007345350614</c:v>
                </c:pt>
                <c:pt idx="36">
                  <c:v>-7.1911535579909973</c:v>
                </c:pt>
                <c:pt idx="37">
                  <c:v>-7.1437608378573447</c:v>
                </c:pt>
                <c:pt idx="38">
                  <c:v>-7.0964174483784035</c:v>
                </c:pt>
                <c:pt idx="39">
                  <c:v>-7.0492037620886689</c:v>
                </c:pt>
                <c:pt idx="40">
                  <c:v>-7.0021877574229867</c:v>
                </c:pt>
                <c:pt idx="41">
                  <c:v>-6.9554268007911801</c:v>
                </c:pt>
                <c:pt idx="42">
                  <c:v>-6.9089691575232095</c:v>
                </c:pt>
                <c:pt idx="43">
                  <c:v>-6.8628552762596566</c:v>
                </c:pt>
                <c:pt idx="44">
                  <c:v>-6.8171188834413678</c:v>
                </c:pt>
                <c:pt idx="45">
                  <c:v>-6.7717879181447671</c:v>
                </c:pt>
                <c:pt idx="46">
                  <c:v>-6.7268853323068045</c:v>
                </c:pt>
                <c:pt idx="47">
                  <c:v>-6.6824297771432493</c:v>
                </c:pt>
                <c:pt idx="48">
                  <c:v>-6.6384361930960383</c:v>
                </c:pt>
                <c:pt idx="49">
                  <c:v>-6.5949163177989822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F1-46AC-8BC3-F1BA05FD2EBB}"/>
            </c:ext>
          </c:extLst>
        </c:ser>
        <c:ser>
          <c:idx val="4"/>
          <c:order val="4"/>
          <c:tx>
            <c:strRef>
              <c:f>Theta!$B$28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Theta!$C$28:$AZ$28</c:f>
              <c:numCache>
                <c:formatCode>General</c:formatCode>
                <c:ptCount val="50"/>
                <c:pt idx="0">
                  <c:v>-0.11824478433684256</c:v>
                </c:pt>
                <c:pt idx="1">
                  <c:v>-1.8792043475133311</c:v>
                </c:pt>
                <c:pt idx="2">
                  <c:v>-4.3305604970010707</c:v>
                </c:pt>
                <c:pt idx="3">
                  <c:v>-6.3007026662589647</c:v>
                </c:pt>
                <c:pt idx="4">
                  <c:v>-7.6932616736721382</c:v>
                </c:pt>
                <c:pt idx="5">
                  <c:v>-8.6420407133426256</c:v>
                </c:pt>
                <c:pt idx="6">
                  <c:v>-9.2783642304452894</c:v>
                </c:pt>
                <c:pt idx="7">
                  <c:v>-9.6982467274161852</c:v>
                </c:pt>
                <c:pt idx="8">
                  <c:v>-9.9675836934699884</c:v>
                </c:pt>
                <c:pt idx="9">
                  <c:v>-10.131161590710761</c:v>
                </c:pt>
                <c:pt idx="10">
                  <c:v>-10.219641425292522</c:v>
                </c:pt>
                <c:pt idx="11">
                  <c:v>-10.254285445580187</c:v>
                </c:pt>
                <c:pt idx="12">
                  <c:v>-10.250049562147508</c:v>
                </c:pt>
                <c:pt idx="13">
                  <c:v>-10.217601057049961</c:v>
                </c:pt>
                <c:pt idx="14">
                  <c:v>-10.164646894729456</c:v>
                </c:pt>
                <c:pt idx="15">
                  <c:v>-10.096819998976867</c:v>
                </c:pt>
                <c:pt idx="16">
                  <c:v>-10.018279465775102</c:v>
                </c:pt>
                <c:pt idx="17">
                  <c:v>-9.9321231864744401</c:v>
                </c:pt>
                <c:pt idx="18">
                  <c:v>-9.8406756463215199</c:v>
                </c:pt>
                <c:pt idx="19">
                  <c:v>-9.7456914239375365</c:v>
                </c:pt>
                <c:pt idx="20">
                  <c:v>-9.6485009333490002</c:v>
                </c:pt>
                <c:pt idx="21">
                  <c:v>-9.5501160452957166</c:v>
                </c:pt>
                <c:pt idx="22">
                  <c:v>-9.4513074749270114</c:v>
                </c:pt>
                <c:pt idx="23">
                  <c:v>-9.3526620578542303</c:v>
                </c:pt>
                <c:pt idx="24">
                  <c:v>-9.2546255363980059</c:v>
                </c:pt>
                <c:pt idx="25">
                  <c:v>-9.1575347952794921</c:v>
                </c:pt>
                <c:pt idx="26">
                  <c:v>-9.0616423389868004</c:v>
                </c:pt>
                <c:pt idx="27">
                  <c:v>-8.9671350115338857</c:v>
                </c:pt>
                <c:pt idx="28">
                  <c:v>-8.8741484067973584</c:v>
                </c:pt>
                <c:pt idx="29">
                  <c:v>-8.7827780276871046</c:v>
                </c:pt>
                <c:pt idx="30">
                  <c:v>-8.693087974387355</c:v>
                </c:pt>
                <c:pt idx="31">
                  <c:v>-8.6051177417496341</c:v>
                </c:pt>
                <c:pt idx="32">
                  <c:v>-8.5188875605004508</c:v>
                </c:pt>
                <c:pt idx="33">
                  <c:v>-8.4344026103638239</c:v>
                </c:pt>
                <c:pt idx="34">
                  <c:v>-8.3516563544738371</c:v>
                </c:pt>
                <c:pt idx="35">
                  <c:v>-8.2706331858469344</c:v>
                </c:pt>
                <c:pt idx="36">
                  <c:v>-8.1913105327399247</c:v>
                </c:pt>
                <c:pt idx="37">
                  <c:v>-8.1136605365440708</c:v>
                </c:pt>
                <c:pt idx="38">
                  <c:v>-8.0376513906581089</c:v>
                </c:pt>
                <c:pt idx="39">
                  <c:v>-7.9632484095127829</c:v>
                </c:pt>
                <c:pt idx="40">
                  <c:v>-7.8904148821029896</c:v>
                </c:pt>
                <c:pt idx="41">
                  <c:v>-7.8191127529295903</c:v>
                </c:pt>
                <c:pt idx="42">
                  <c:v>-7.7493031643524475</c:v>
                </c:pt>
                <c:pt idx="43">
                  <c:v>-7.6809468874062015</c:v>
                </c:pt>
                <c:pt idx="44">
                  <c:v>-7.6140046626784308</c:v>
                </c:pt>
                <c:pt idx="45">
                  <c:v>-7.5484374685542157</c:v>
                </c:pt>
                <c:pt idx="46">
                  <c:v>-7.484206730732855</c:v>
                </c:pt>
                <c:pt idx="47">
                  <c:v>-7.4212744842232681</c:v>
                </c:pt>
                <c:pt idx="48">
                  <c:v>-7.3596034968731576</c:v>
                </c:pt>
                <c:pt idx="49">
                  <c:v>-7.2991573617657473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F1-46AC-8BC3-F1BA05FD2EBB}"/>
            </c:ext>
          </c:extLst>
        </c:ser>
        <c:ser>
          <c:idx val="5"/>
          <c:order val="5"/>
          <c:tx>
            <c:strRef>
              <c:f>Theta!$B$29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Theta!$C$29:$AZ$29</c:f>
              <c:numCache>
                <c:formatCode>General</c:formatCode>
                <c:ptCount val="50"/>
                <c:pt idx="0">
                  <c:v>-2.232785524237944</c:v>
                </c:pt>
                <c:pt idx="1">
                  <c:v>-8.2329820335253849</c:v>
                </c:pt>
                <c:pt idx="2">
                  <c:v>-11.659916413435827</c:v>
                </c:pt>
                <c:pt idx="3">
                  <c:v>-13.300181468819167</c:v>
                </c:pt>
                <c:pt idx="4">
                  <c:v>-14.034262759301823</c:v>
                </c:pt>
                <c:pt idx="5">
                  <c:v>-14.303721989214308</c:v>
                </c:pt>
                <c:pt idx="6">
                  <c:v>-14.326414280823181</c:v>
                </c:pt>
                <c:pt idx="7">
                  <c:v>-14.21481111250038</c:v>
                </c:pt>
                <c:pt idx="8">
                  <c:v>-14.029781284705937</c:v>
                </c:pt>
                <c:pt idx="9">
                  <c:v>-13.805581458723221</c:v>
                </c:pt>
                <c:pt idx="10">
                  <c:v>-13.562071903340387</c:v>
                </c:pt>
                <c:pt idx="11">
                  <c:v>-13.311000808667989</c:v>
                </c:pt>
                <c:pt idx="12">
                  <c:v>-13.059388583482695</c:v>
                </c:pt>
                <c:pt idx="13">
                  <c:v>-12.811424005797969</c:v>
                </c:pt>
                <c:pt idx="14">
                  <c:v>-12.569563151923749</c:v>
                </c:pt>
                <c:pt idx="15">
                  <c:v>-12.335184849710146</c:v>
                </c:pt>
                <c:pt idx="16">
                  <c:v>-12.108991210571864</c:v>
                </c:pt>
                <c:pt idx="17">
                  <c:v>-11.89125738610961</c:v>
                </c:pt>
                <c:pt idx="18">
                  <c:v>-11.681989908889671</c:v>
                </c:pt>
                <c:pt idx="19">
                  <c:v>-11.481028402246055</c:v>
                </c:pt>
                <c:pt idx="20">
                  <c:v>-11.288111549529447</c:v>
                </c:pt>
                <c:pt idx="21">
                  <c:v>-11.102920144305049</c:v>
                </c:pt>
                <c:pt idx="22">
                  <c:v>-10.925105243535056</c:v>
                </c:pt>
                <c:pt idx="23">
                  <c:v>-10.754306529021594</c:v>
                </c:pt>
                <c:pt idx="24">
                  <c:v>-10.590164175255069</c:v>
                </c:pt>
                <c:pt idx="25">
                  <c:v>-10.432326382575752</c:v>
                </c:pt>
                <c:pt idx="26">
                  <c:v>-10.280454005075205</c:v>
                </c:pt>
                <c:pt idx="27">
                  <c:v>-10.134223228967477</c:v>
                </c:pt>
                <c:pt idx="28">
                  <c:v>-9.9933269456734219</c:v>
                </c:pt>
                <c:pt idx="29">
                  <c:v>-9.8574752567312611</c:v>
                </c:pt>
                <c:pt idx="30">
                  <c:v>-9.7263954085370354</c:v>
                </c:pt>
                <c:pt idx="31">
                  <c:v>-9.5998313606760171</c:v>
                </c:pt>
                <c:pt idx="32">
                  <c:v>-9.4775431272795405</c:v>
                </c:pt>
                <c:pt idx="33">
                  <c:v>-9.3593059866576152</c:v>
                </c:pt>
                <c:pt idx="34">
                  <c:v>-9.244909623955305</c:v>
                </c:pt>
                <c:pt idx="35">
                  <c:v>-9.1341572504450017</c:v>
                </c:pt>
                <c:pt idx="36">
                  <c:v>-9.0268647283875385</c:v>
                </c:pt>
                <c:pt idx="37">
                  <c:v>-8.9228597201934754</c:v>
                </c:pt>
                <c:pt idx="38">
                  <c:v>-8.8219808735352707</c:v>
                </c:pt>
                <c:pt idx="39">
                  <c:v>-8.7240770491647197</c:v>
                </c:pt>
                <c:pt idx="40">
                  <c:v>-8.6290065948268637</c:v>
                </c:pt>
                <c:pt idx="41">
                  <c:v>-8.5366366663769551</c:v>
                </c:pt>
                <c:pt idx="42">
                  <c:v>-8.4468425956813569</c:v>
                </c:pt>
                <c:pt idx="43">
                  <c:v>-8.3595073038910748</c:v>
                </c:pt>
                <c:pt idx="44">
                  <c:v>-8.2745207580588112</c:v>
                </c:pt>
                <c:pt idx="45">
                  <c:v>-8.1917794687133139</c:v>
                </c:pt>
                <c:pt idx="46">
                  <c:v>-8.1111860258286708</c:v>
                </c:pt>
                <c:pt idx="47">
                  <c:v>-8.0326486705731011</c:v>
                </c:pt>
                <c:pt idx="48">
                  <c:v>-7.9560809002517905</c:v>
                </c:pt>
                <c:pt idx="49">
                  <c:v>-7.8814011039421112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F1-46AC-8BC3-F1BA05FD2EBB}"/>
            </c:ext>
          </c:extLst>
        </c:ser>
        <c:ser>
          <c:idx val="6"/>
          <c:order val="6"/>
          <c:tx>
            <c:strRef>
              <c:f>Theta!$B$30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Theta!$C$30:$AZ$30</c:f>
              <c:numCache>
                <c:formatCode>General</c:formatCode>
                <c:ptCount val="50"/>
                <c:pt idx="0">
                  <c:v>-15.368533160223642</c:v>
                </c:pt>
                <c:pt idx="1">
                  <c:v>-21.773556246158098</c:v>
                </c:pt>
                <c:pt idx="2">
                  <c:v>-22.421457622874492</c:v>
                </c:pt>
                <c:pt idx="3">
                  <c:v>-21.810047332031576</c:v>
                </c:pt>
                <c:pt idx="4">
                  <c:v>-20.917294657416825</c:v>
                </c:pt>
                <c:pt idx="5">
                  <c:v>-20.004197694378263</c:v>
                </c:pt>
                <c:pt idx="6">
                  <c:v>-19.145721925671644</c:v>
                </c:pt>
                <c:pt idx="7">
                  <c:v>-18.360200001424534</c:v>
                </c:pt>
                <c:pt idx="8">
                  <c:v>-17.647438879223987</c:v>
                </c:pt>
                <c:pt idx="9">
                  <c:v>-17.001374705983402</c:v>
                </c:pt>
                <c:pt idx="10">
                  <c:v>-16.414558235335541</c:v>
                </c:pt>
                <c:pt idx="11">
                  <c:v>-15.879756111830281</c:v>
                </c:pt>
                <c:pt idx="12">
                  <c:v>-15.390472560320097</c:v>
                </c:pt>
                <c:pt idx="13">
                  <c:v>-14.941058063527121</c:v>
                </c:pt>
                <c:pt idx="14">
                  <c:v>-14.526664617333191</c:v>
                </c:pt>
                <c:pt idx="15">
                  <c:v>-14.143151481139865</c:v>
                </c:pt>
                <c:pt idx="16">
                  <c:v>-13.786982868552753</c:v>
                </c:pt>
                <c:pt idx="17">
                  <c:v>-13.455133199276665</c:v>
                </c:pt>
                <c:pt idx="18">
                  <c:v>-13.145004766490546</c:v>
                </c:pt>
                <c:pt idx="19">
                  <c:v>-12.854358282694443</c:v>
                </c:pt>
                <c:pt idx="20">
                  <c:v>-12.581255115239838</c:v>
                </c:pt>
                <c:pt idx="21">
                  <c:v>-12.324009542241022</c:v>
                </c:pt>
                <c:pt idx="22">
                  <c:v>-12.08114936157712</c:v>
                </c:pt>
                <c:pt idx="23">
                  <c:v>-11.85138336649436</c:v>
                </c:pt>
                <c:pt idx="24">
                  <c:v>-11.63357442906725</c:v>
                </c:pt>
                <c:pt idx="25">
                  <c:v>-11.426717153106198</c:v>
                </c:pt>
                <c:pt idx="26">
                  <c:v>-11.229919251406224</c:v>
                </c:pt>
                <c:pt idx="27">
                  <c:v>-11.042385964124316</c:v>
                </c:pt>
                <c:pt idx="28">
                  <c:v>-10.86340696739328</c:v>
                </c:pt>
                <c:pt idx="29">
                  <c:v>-10.692345328026216</c:v>
                </c:pt>
                <c:pt idx="30">
                  <c:v>-10.528628145707829</c:v>
                </c:pt>
                <c:pt idx="31">
                  <c:v>-10.37173859242453</c:v>
                </c:pt>
                <c:pt idx="32">
                  <c:v>-10.221209113484209</c:v>
                </c:pt>
                <c:pt idx="33">
                  <c:v>-10.076615598136344</c:v>
                </c:pt>
                <c:pt idx="34">
                  <c:v>-9.9375723627900214</c:v>
                </c:pt>
                <c:pt idx="35">
                  <c:v>-9.8037278179430558</c:v>
                </c:pt>
                <c:pt idx="36">
                  <c:v>-9.6747607126023301</c:v>
                </c:pt>
                <c:pt idx="37">
                  <c:v>-9.5503768683136236</c:v>
                </c:pt>
                <c:pt idx="38">
                  <c:v>-9.4303063298098291</c:v>
                </c:pt>
                <c:pt idx="39">
                  <c:v>-9.3143008714229296</c:v>
                </c:pt>
                <c:pt idx="40">
                  <c:v>-9.2021318083342507</c:v>
                </c:pt>
                <c:pt idx="41">
                  <c:v>-9.093588069891311</c:v>
                </c:pt>
                <c:pt idx="42">
                  <c:v>-8.9884744989406862</c:v>
                </c:pt>
                <c:pt idx="43">
                  <c:v>-8.8866103466862789</c:v>
                </c:pt>
                <c:pt idx="44">
                  <c:v>-8.7878279371990651</c:v>
                </c:pt>
                <c:pt idx="45">
                  <c:v>-8.6919714795505367</c:v>
                </c:pt>
                <c:pt idx="46">
                  <c:v>-8.5988960087580324</c:v>
                </c:pt>
                <c:pt idx="47">
                  <c:v>-8.5084664394274085</c:v>
                </c:pt>
                <c:pt idx="48">
                  <c:v>-8.420556718248859</c:v>
                </c:pt>
                <c:pt idx="49">
                  <c:v>-8.335049063418003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F1-46AC-8BC3-F1BA05FD2EBB}"/>
            </c:ext>
          </c:extLst>
        </c:ser>
        <c:ser>
          <c:idx val="7"/>
          <c:order val="7"/>
          <c:tx>
            <c:strRef>
              <c:f>Theta!$B$31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Theta!$C$31:$AZ$31</c:f>
              <c:numCache>
                <c:formatCode>General</c:formatCode>
                <c:ptCount val="50"/>
                <c:pt idx="0">
                  <c:v>-44.974641784812817</c:v>
                </c:pt>
                <c:pt idx="1">
                  <c:v>-37.548958738318007</c:v>
                </c:pt>
                <c:pt idx="2">
                  <c:v>-32.421717242640263</c:v>
                </c:pt>
                <c:pt idx="3">
                  <c:v>-28.880564807352748</c:v>
                </c:pt>
                <c:pt idx="4">
                  <c:v>-26.274457053189085</c:v>
                </c:pt>
                <c:pt idx="5">
                  <c:v>-24.259196059471758</c:v>
                </c:pt>
                <c:pt idx="6">
                  <c:v>-22.64240310820238</c:v>
                </c:pt>
                <c:pt idx="7">
                  <c:v>-21.308504153177992</c:v>
                </c:pt>
                <c:pt idx="8">
                  <c:v>-20.183705950110376</c:v>
                </c:pt>
                <c:pt idx="9">
                  <c:v>-19.218510717632629</c:v>
                </c:pt>
                <c:pt idx="10">
                  <c:v>-18.378359419455879</c:v>
                </c:pt>
                <c:pt idx="11">
                  <c:v>-17.638313328949092</c:v>
                </c:pt>
                <c:pt idx="12">
                  <c:v>-16.97987278899436</c:v>
                </c:pt>
                <c:pt idx="13">
                  <c:v>-16.388990529926225</c:v>
                </c:pt>
                <c:pt idx="14">
                  <c:v>-15.854784621129721</c:v>
                </c:pt>
                <c:pt idx="15">
                  <c:v>-15.36867797287611</c:v>
                </c:pt>
                <c:pt idx="16">
                  <c:v>-14.923807084689368</c:v>
                </c:pt>
                <c:pt idx="17">
                  <c:v>-14.514605969929026</c:v>
                </c:pt>
                <c:pt idx="18">
                  <c:v>-14.136507123652594</c:v>
                </c:pt>
                <c:pt idx="19">
                  <c:v>-13.785722553702005</c:v>
                </c:pt>
                <c:pt idx="20">
                  <c:v>-13.45908073826217</c:v>
                </c:pt>
                <c:pt idx="21">
                  <c:v>-13.153903389877296</c:v>
                </c:pt>
                <c:pt idx="22">
                  <c:v>-12.867911035503468</c:v>
                </c:pt>
                <c:pt idx="23">
                  <c:v>-12.599149778501461</c:v>
                </c:pt>
                <c:pt idx="24">
                  <c:v>-12.345933849371804</c:v>
                </c:pt>
                <c:pt idx="25">
                  <c:v>-12.10680007595046</c:v>
                </c:pt>
                <c:pt idx="26">
                  <c:v>-11.880471457655567</c:v>
                </c:pt>
                <c:pt idx="27">
                  <c:v>-11.665827768484274</c:v>
                </c:pt>
                <c:pt idx="28">
                  <c:v>-11.461881640626272</c:v>
                </c:pt>
                <c:pt idx="29">
                  <c:v>-11.267758960990919</c:v>
                </c:pt>
                <c:pt idx="30">
                  <c:v>-11.08268269082221</c:v>
                </c:pt>
                <c:pt idx="31">
                  <c:v>-10.905959423837485</c:v>
                </c:pt>
                <c:pt idx="32">
                  <c:v>-10.736968151541204</c:v>
                </c:pt>
                <c:pt idx="33">
                  <c:v>-10.575150819851999</c:v>
                </c:pt>
                <c:pt idx="34">
                  <c:v>-10.420004349028243</c:v>
                </c:pt>
                <c:pt idx="35">
                  <c:v>-10.271073856273482</c:v>
                </c:pt>
                <c:pt idx="36">
                  <c:v>-10.127946872526493</c:v>
                </c:pt>
                <c:pt idx="37">
                  <c:v>-9.9902483855583757</c:v>
                </c:pt>
                <c:pt idx="38">
                  <c:v>-9.8576365733770164</c:v>
                </c:pt>
                <c:pt idx="39">
                  <c:v>-9.729799117127337</c:v>
                </c:pt>
                <c:pt idx="40">
                  <c:v>-9.6064500027046069</c:v>
                </c:pt>
                <c:pt idx="41">
                  <c:v>-9.487326736321176</c:v>
                </c:pt>
                <c:pt idx="42">
                  <c:v>-9.372187912158962</c:v>
                </c:pt>
                <c:pt idx="43">
                  <c:v>-9.2608110806689847</c:v>
                </c:pt>
                <c:pt idx="44">
                  <c:v>-9.1529908745600714</c:v>
                </c:pt>
                <c:pt idx="45">
                  <c:v>-9.0485373564487812</c:v>
                </c:pt>
                <c:pt idx="46">
                  <c:v>-8.9472745578326371</c:v>
                </c:pt>
                <c:pt idx="47">
                  <c:v>-8.8490391837410094</c:v>
                </c:pt>
                <c:pt idx="48">
                  <c:v>-8.753679461304694</c:v>
                </c:pt>
                <c:pt idx="49">
                  <c:v>-8.6610541137173485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9F1-46AC-8BC3-F1BA05FD2EBB}"/>
            </c:ext>
          </c:extLst>
        </c:ser>
        <c:ser>
          <c:idx val="8"/>
          <c:order val="8"/>
          <c:tx>
            <c:strRef>
              <c:f>Theta!$B$32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Theta!$C$32:$AZ$32</c:f>
              <c:numCache>
                <c:formatCode>General</c:formatCode>
                <c:ptCount val="50"/>
                <c:pt idx="0">
                  <c:v>-63.500588835946438</c:v>
                </c:pt>
                <c:pt idx="1">
                  <c:v>-44.992957683270156</c:v>
                </c:pt>
                <c:pt idx="2">
                  <c:v>-36.783187353866644</c:v>
                </c:pt>
                <c:pt idx="3">
                  <c:v>-31.882989964209802</c:v>
                </c:pt>
                <c:pt idx="4">
                  <c:v>-28.534721075159592</c:v>
                </c:pt>
                <c:pt idx="5">
                  <c:v>-26.060029694463299</c:v>
                </c:pt>
                <c:pt idx="6">
                  <c:v>-24.134292477160713</c:v>
                </c:pt>
                <c:pt idx="7">
                  <c:v>-22.580060772833534</c:v>
                </c:pt>
                <c:pt idx="8">
                  <c:v>-21.29106244067826</c:v>
                </c:pt>
                <c:pt idx="9">
                  <c:v>-20.199251050863595</c:v>
                </c:pt>
                <c:pt idx="10">
                  <c:v>-19.25876706286736</c:v>
                </c:pt>
                <c:pt idx="11">
                  <c:v>-18.437425301913777</c:v>
                </c:pt>
                <c:pt idx="12">
                  <c:v>-17.711881866996951</c:v>
                </c:pt>
                <c:pt idx="13">
                  <c:v>-17.064737420519624</c:v>
                </c:pt>
                <c:pt idx="14">
                  <c:v>-16.482722042318695</c:v>
                </c:pt>
                <c:pt idx="15">
                  <c:v>-15.955514633796389</c:v>
                </c:pt>
                <c:pt idx="16">
                  <c:v>-15.474950325205556</c:v>
                </c:pt>
                <c:pt idx="17">
                  <c:v>-15.034473652549288</c:v>
                </c:pt>
                <c:pt idx="18">
                  <c:v>-14.628752229031399</c:v>
                </c:pt>
                <c:pt idx="19">
                  <c:v>-14.253398050864519</c:v>
                </c:pt>
                <c:pt idx="20">
                  <c:v>-13.904762699617729</c:v>
                </c:pt>
                <c:pt idx="21">
                  <c:v>-13.579784345586312</c:v>
                </c:pt>
                <c:pt idx="22">
                  <c:v>-13.275871745536618</c:v>
                </c:pt>
                <c:pt idx="23">
                  <c:v>-12.990815106523284</c:v>
                </c:pt>
                <c:pt idx="24">
                  <c:v>-12.722716758099134</c:v>
                </c:pt>
                <c:pt idx="25">
                  <c:v>-12.469936631693512</c:v>
                </c:pt>
                <c:pt idx="26">
                  <c:v>-12.231048948618303</c:v>
                </c:pt>
                <c:pt idx="27">
                  <c:v>-12.004807491010549</c:v>
                </c:pt>
                <c:pt idx="28">
                  <c:v>-11.790117515138396</c:v>
                </c:pt>
                <c:pt idx="29">
                  <c:v>-11.586012855804519</c:v>
                </c:pt>
                <c:pt idx="30">
                  <c:v>-11.391637124595762</c:v>
                </c:pt>
                <c:pt idx="31">
                  <c:v>-11.206228163944999</c:v>
                </c:pt>
                <c:pt idx="32">
                  <c:v>-11.029105110897666</c:v>
                </c:pt>
                <c:pt idx="33">
                  <c:v>-10.859657568057587</c:v>
                </c:pt>
                <c:pt idx="34">
                  <c:v>-10.697336487643629</c:v>
                </c:pt>
                <c:pt idx="35">
                  <c:v>-10.541646457256434</c:v>
                </c:pt>
                <c:pt idx="36">
                  <c:v>-10.39213913950074</c:v>
                </c:pt>
                <c:pt idx="37">
                  <c:v>-10.24840766684606</c:v>
                </c:pt>
                <c:pt idx="38">
                  <c:v>-10.110081831545356</c:v>
                </c:pt>
                <c:pt idx="39">
                  <c:v>-9.9768239406492167</c:v>
                </c:pt>
                <c:pt idx="40">
                  <c:v>-9.8483252300679727</c:v>
                </c:pt>
                <c:pt idx="41">
                  <c:v>-9.7243027506806659</c:v>
                </c:pt>
                <c:pt idx="42">
                  <c:v>-9.6044966547495907</c:v>
                </c:pt>
                <c:pt idx="43">
                  <c:v>-9.4886678231943105</c:v>
                </c:pt>
                <c:pt idx="44">
                  <c:v>-9.3765957842394965</c:v>
                </c:pt>
                <c:pt idx="45">
                  <c:v>-9.26807688206069</c:v>
                </c:pt>
                <c:pt idx="46">
                  <c:v>-9.1629226606879683</c:v>
                </c:pt>
                <c:pt idx="47">
                  <c:v>-9.0609584338820213</c:v>
                </c:pt>
                <c:pt idx="48">
                  <c:v>-8.9620220162010735</c:v>
                </c:pt>
                <c:pt idx="49">
                  <c:v>-8.8659625942115419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9F1-46AC-8BC3-F1BA05FD2EBB}"/>
            </c:ext>
          </c:extLst>
        </c:ser>
        <c:ser>
          <c:idx val="9"/>
          <c:order val="9"/>
          <c:tx>
            <c:strRef>
              <c:f>Theta!$B$33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Theta!$C$33:$AZ$33</c:f>
              <c:numCache>
                <c:formatCode>General</c:formatCode>
                <c:ptCount val="50"/>
                <c:pt idx="0">
                  <c:v>-48.139572947170073</c:v>
                </c:pt>
                <c:pt idx="1">
                  <c:v>-39.519534007121727</c:v>
                </c:pt>
                <c:pt idx="2">
                  <c:v>-33.931730488753139</c:v>
                </c:pt>
                <c:pt idx="3">
                  <c:v>-30.140158790530187</c:v>
                </c:pt>
                <c:pt idx="4">
                  <c:v>-27.373409551262821</c:v>
                </c:pt>
                <c:pt idx="5">
                  <c:v>-25.244680294607928</c:v>
                </c:pt>
                <c:pt idx="6">
                  <c:v>-23.542549322664794</c:v>
                </c:pt>
                <c:pt idx="7">
                  <c:v>-22.141582412522109</c:v>
                </c:pt>
                <c:pt idx="8">
                  <c:v>-20.962334926833549</c:v>
                </c:pt>
                <c:pt idx="9">
                  <c:v>-19.951819412068364</c:v>
                </c:pt>
                <c:pt idx="10">
                  <c:v>-19.073195569483673</c:v>
                </c:pt>
                <c:pt idx="11">
                  <c:v>-18.299964660035045</c:v>
                </c:pt>
                <c:pt idx="12">
                  <c:v>-17.612520593392738</c:v>
                </c:pt>
                <c:pt idx="13">
                  <c:v>-16.996007348110865</c:v>
                </c:pt>
                <c:pt idx="14">
                  <c:v>-16.438936669822549</c:v>
                </c:pt>
                <c:pt idx="15">
                  <c:v>-15.932266992926161</c:v>
                </c:pt>
                <c:pt idx="16">
                  <c:v>-15.468772326032996</c:v>
                </c:pt>
                <c:pt idx="17">
                  <c:v>-15.042599166263422</c:v>
                </c:pt>
                <c:pt idx="18">
                  <c:v>-14.648948693416948</c:v>
                </c:pt>
                <c:pt idx="19">
                  <c:v>-14.283844457375451</c:v>
                </c:pt>
                <c:pt idx="20">
                  <c:v>-13.943959662079319</c:v>
                </c:pt>
                <c:pt idx="21">
                  <c:v>-13.626486792012702</c:v>
                </c:pt>
                <c:pt idx="22">
                  <c:v>-13.329037842098463</c:v>
                </c:pt>
                <c:pt idx="23">
                  <c:v>-13.049567011807046</c:v>
                </c:pt>
                <c:pt idx="24">
                  <c:v>-12.786310122791692</c:v>
                </c:pt>
                <c:pt idx="25">
                  <c:v>-12.537736647443444</c:v>
                </c:pt>
                <c:pt idx="26">
                  <c:v>-12.302511359808639</c:v>
                </c:pt>
                <c:pt idx="27">
                  <c:v>-12.079463408533037</c:v>
                </c:pt>
                <c:pt idx="28">
                  <c:v>-11.867561172182924</c:v>
                </c:pt>
                <c:pt idx="29">
                  <c:v>-11.665891661420199</c:v>
                </c:pt>
                <c:pt idx="30">
                  <c:v>-11.473643527367406</c:v>
                </c:pt>
                <c:pt idx="31">
                  <c:v>-11.290092953082816</c:v>
                </c:pt>
                <c:pt idx="32">
                  <c:v>-11.114591867327624</c:v>
                </c:pt>
                <c:pt idx="33">
                  <c:v>-10.946558042007794</c:v>
                </c:pt>
                <c:pt idx="34">
                  <c:v>-10.785466727552654</c:v>
                </c:pt>
                <c:pt idx="35">
                  <c:v>-10.63084355169693</c:v>
                </c:pt>
                <c:pt idx="36">
                  <c:v>-10.482258462163713</c:v>
                </c:pt>
                <c:pt idx="37">
                  <c:v>-10.339320536601461</c:v>
                </c:pt>
                <c:pt idx="38">
                  <c:v>-10.201673516742646</c:v>
                </c:pt>
                <c:pt idx="39">
                  <c:v>-10.068991950296363</c:v>
                </c:pt>
                <c:pt idx="40">
                  <c:v>-9.9409778451842321</c:v>
                </c:pt>
                <c:pt idx="41">
                  <c:v>-9.817357757597712</c:v>
                </c:pt>
                <c:pt idx="42">
                  <c:v>-9.6978802489211802</c:v>
                </c:pt>
                <c:pt idx="43">
                  <c:v>-9.5823136575346535</c:v>
                </c:pt>
                <c:pt idx="44">
                  <c:v>-9.4704441404266486</c:v>
                </c:pt>
                <c:pt idx="45">
                  <c:v>-9.3620739468308685</c:v>
                </c:pt>
                <c:pt idx="46">
                  <c:v>-9.257019892078155</c:v>
                </c:pt>
                <c:pt idx="47">
                  <c:v>-9.1551120047830459</c:v>
                </c:pt>
                <c:pt idx="48">
                  <c:v>-9.0561923245645914</c:v>
                </c:pt>
                <c:pt idx="49">
                  <c:v>-8.9601138308932704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9F1-46AC-8BC3-F1BA05FD2EBB}"/>
            </c:ext>
          </c:extLst>
        </c:ser>
        <c:ser>
          <c:idx val="10"/>
          <c:order val="10"/>
          <c:tx>
            <c:strRef>
              <c:f>Theta!$B$34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Theta!$C$34:$AZ$34</c:f>
              <c:numCache>
                <c:formatCode>General</c:formatCode>
                <c:ptCount val="50"/>
                <c:pt idx="0">
                  <c:v>-21.66098294188529</c:v>
                </c:pt>
                <c:pt idx="1">
                  <c:v>-26.682268409472414</c:v>
                </c:pt>
                <c:pt idx="2">
                  <c:v>-26.255696330370764</c:v>
                </c:pt>
                <c:pt idx="3">
                  <c:v>-24.969718050490702</c:v>
                </c:pt>
                <c:pt idx="4">
                  <c:v>-23.626138800174473</c:v>
                </c:pt>
                <c:pt idx="5">
                  <c:v>-22.392134917279535</c:v>
                </c:pt>
                <c:pt idx="6">
                  <c:v>-21.293567065525018</c:v>
                </c:pt>
                <c:pt idx="7">
                  <c:v>-20.321335281827459</c:v>
                </c:pt>
                <c:pt idx="8">
                  <c:v>-19.458893332267429</c:v>
                </c:pt>
                <c:pt idx="9">
                  <c:v>-18.689873538545729</c:v>
                </c:pt>
                <c:pt idx="10">
                  <c:v>-18.000027735723886</c:v>
                </c:pt>
                <c:pt idx="11">
                  <c:v>-17.377460124798606</c:v>
                </c:pt>
                <c:pt idx="12">
                  <c:v>-16.812372179363521</c:v>
                </c:pt>
                <c:pt idx="13">
                  <c:v>-16.296709345350283</c:v>
                </c:pt>
                <c:pt idx="14">
                  <c:v>-15.823830276781894</c:v>
                </c:pt>
                <c:pt idx="15">
                  <c:v>-15.388229234169218</c:v>
                </c:pt>
                <c:pt idx="16">
                  <c:v>-14.985312617237863</c:v>
                </c:pt>
                <c:pt idx="17">
                  <c:v>-14.611221995441392</c:v>
                </c:pt>
                <c:pt idx="18">
                  <c:v>-14.262694648567853</c:v>
                </c:pt>
                <c:pt idx="19">
                  <c:v>-13.936953581695549</c:v>
                </c:pt>
                <c:pt idx="20">
                  <c:v>-13.631620460789184</c:v>
                </c:pt>
                <c:pt idx="21">
                  <c:v>-13.344646327705053</c:v>
                </c:pt>
                <c:pt idx="22">
                  <c:v>-13.074256129568198</c:v>
                </c:pt>
                <c:pt idx="23">
                  <c:v>-12.818904024249404</c:v>
                </c:pt>
                <c:pt idx="24">
                  <c:v>-12.577237135737073</c:v>
                </c:pt>
                <c:pt idx="25">
                  <c:v>-12.348065974251577</c:v>
                </c:pt>
                <c:pt idx="26">
                  <c:v>-12.130340145520243</c:v>
                </c:pt>
                <c:pt idx="27">
                  <c:v>-11.923128283789662</c:v>
                </c:pt>
                <c:pt idx="28">
                  <c:v>-11.725601378684571</c:v>
                </c:pt>
                <c:pt idx="29">
                  <c:v>-11.537018845638839</c:v>
                </c:pt>
                <c:pt idx="30">
                  <c:v>-11.35671682729074</c:v>
                </c:pt>
                <c:pt idx="31">
                  <c:v>-11.184098319330767</c:v>
                </c:pt>
                <c:pt idx="32">
                  <c:v>-11.018624796525547</c:v>
                </c:pt>
                <c:pt idx="33">
                  <c:v>-10.859809078753022</c:v>
                </c:pt>
                <c:pt idx="34">
                  <c:v>-10.70720922715646</c:v>
                </c:pt>
                <c:pt idx="35">
                  <c:v>-10.560423300170621</c:v>
                </c:pt>
                <c:pt idx="36">
                  <c:v>-10.41908483061383</c:v>
                </c:pt>
                <c:pt idx="37">
                  <c:v>-10.28285891010847</c:v>
                </c:pt>
                <c:pt idx="38">
                  <c:v>-10.151438787186633</c:v>
                </c:pt>
                <c:pt idx="39">
                  <c:v>-10.024542901626253</c:v>
                </c:pt>
                <c:pt idx="40">
                  <c:v>-9.9019122906697277</c:v>
                </c:pt>
                <c:pt idx="41">
                  <c:v>-9.7833083134387238</c:v>
                </c:pt>
                <c:pt idx="42">
                  <c:v>-9.6685106485715213</c:v>
                </c:pt>
                <c:pt idx="43">
                  <c:v>-9.5573155272603429</c:v>
                </c:pt>
                <c:pt idx="44">
                  <c:v>-9.4495341697608257</c:v>
                </c:pt>
                <c:pt idx="45">
                  <c:v>-9.3449913983241419</c:v>
                </c:pt>
                <c:pt idx="46">
                  <c:v>-9.2435244035560942</c:v>
                </c:pt>
                <c:pt idx="47">
                  <c:v>-9.1449816445881886</c:v>
                </c:pt>
                <c:pt idx="48">
                  <c:v>-9.0492218662759321</c:v>
                </c:pt>
                <c:pt idx="49">
                  <c:v>-8.9561132190169523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9F1-46AC-8BC3-F1BA05FD2EBB}"/>
            </c:ext>
          </c:extLst>
        </c:ser>
        <c:ser>
          <c:idx val="11"/>
          <c:order val="11"/>
          <c:tx>
            <c:strRef>
              <c:f>Theta!$B$35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Theta!$C$35:$AZ$35</c:f>
              <c:numCache>
                <c:formatCode>General</c:formatCode>
                <c:ptCount val="50"/>
                <c:pt idx="0">
                  <c:v>-6.6624341622880943</c:v>
                </c:pt>
                <c:pt idx="1">
                  <c:v>-14.530751418599104</c:v>
                </c:pt>
                <c:pt idx="2">
                  <c:v>-17.54696009111073</c:v>
                </c:pt>
                <c:pt idx="3">
                  <c:v>-18.514108917011391</c:v>
                </c:pt>
                <c:pt idx="4">
                  <c:v>-18.651196159849498</c:v>
                </c:pt>
                <c:pt idx="5">
                  <c:v>-18.433694652369613</c:v>
                </c:pt>
                <c:pt idx="6">
                  <c:v>-18.062938186086765</c:v>
                </c:pt>
                <c:pt idx="7">
                  <c:v>-17.630655983351584</c:v>
                </c:pt>
                <c:pt idx="8">
                  <c:v>-17.180742357753516</c:v>
                </c:pt>
                <c:pt idx="9">
                  <c:v>-16.734688247160612</c:v>
                </c:pt>
                <c:pt idx="10">
                  <c:v>-16.302919134127553</c:v>
                </c:pt>
                <c:pt idx="11">
                  <c:v>-15.890186085726683</c:v>
                </c:pt>
                <c:pt idx="12">
                  <c:v>-15.498263711305897</c:v>
                </c:pt>
                <c:pt idx="13">
                  <c:v>-15.127355363289711</c:v>
                </c:pt>
                <c:pt idx="14">
                  <c:v>-14.776847352355727</c:v>
                </c:pt>
                <c:pt idx="15">
                  <c:v>-14.445722257165214</c:v>
                </c:pt>
                <c:pt idx="16">
                  <c:v>-14.132787957538719</c:v>
                </c:pt>
                <c:pt idx="17">
                  <c:v>-13.836804526589066</c:v>
                </c:pt>
                <c:pt idx="18">
                  <c:v>-13.556553430702799</c:v>
                </c:pt>
                <c:pt idx="19">
                  <c:v>-13.290873731806084</c:v>
                </c:pt>
                <c:pt idx="20">
                  <c:v>-13.038679310418321</c:v>
                </c:pt>
                <c:pt idx="21">
                  <c:v>-12.798965204957609</c:v>
                </c:pt>
                <c:pt idx="22">
                  <c:v>-12.570807802113904</c:v>
                </c:pt>
                <c:pt idx="23">
                  <c:v>-12.353361669868805</c:v>
                </c:pt>
                <c:pt idx="24">
                  <c:v>-12.14585468338846</c:v>
                </c:pt>
                <c:pt idx="25">
                  <c:v>-11.947582415290251</c:v>
                </c:pt>
                <c:pt idx="26">
                  <c:v>-11.757902354508428</c:v>
                </c:pt>
                <c:pt idx="27">
                  <c:v>-11.57622827228788</c:v>
                </c:pt>
                <c:pt idx="28">
                  <c:v>-11.402024905468268</c:v>
                </c:pt>
                <c:pt idx="29">
                  <c:v>-11.234803038031252</c:v>
                </c:pt>
                <c:pt idx="30">
                  <c:v>-11.074115008915394</c:v>
                </c:pt>
                <c:pt idx="31">
                  <c:v>-10.919550643386183</c:v>
                </c:pt>
                <c:pt idx="32">
                  <c:v>-10.770733588200963</c:v>
                </c:pt>
                <c:pt idx="33">
                  <c:v>-10.627318022120582</c:v>
                </c:pt>
                <c:pt idx="34">
                  <c:v>-10.488985709688878</c:v>
                </c:pt>
                <c:pt idx="35">
                  <c:v>-10.355443365569007</c:v>
                </c:pt>
                <c:pt idx="36">
                  <c:v>-10.226420297808811</c:v>
                </c:pt>
                <c:pt idx="37">
                  <c:v>-10.101666300410209</c:v>
                </c:pt>
                <c:pt idx="38">
                  <c:v>-9.9809497680104347</c:v>
                </c:pt>
                <c:pt idx="39">
                  <c:v>-9.8640560080507544</c:v>
                </c:pt>
                <c:pt idx="40">
                  <c:v>-9.75078572833743</c:v>
                </c:pt>
                <c:pt idx="41">
                  <c:v>-9.6409536802939542</c:v>
                </c:pt>
                <c:pt idx="42">
                  <c:v>-9.5343874404139619</c:v>
                </c:pt>
                <c:pt idx="43">
                  <c:v>-9.4309263144315238</c:v>
                </c:pt>
                <c:pt idx="44">
                  <c:v>-9.3304203505278736</c:v>
                </c:pt>
                <c:pt idx="45">
                  <c:v>-9.2327294494990859</c:v>
                </c:pt>
                <c:pt idx="46">
                  <c:v>-9.1377225612318043</c:v>
                </c:pt>
                <c:pt idx="47">
                  <c:v>-9.0452769580894525</c:v>
                </c:pt>
                <c:pt idx="48">
                  <c:v>-8.9552775769165596</c:v>
                </c:pt>
                <c:pt idx="49">
                  <c:v>-8.8676164223400207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9F1-46AC-8BC3-F1BA05FD2EBB}"/>
            </c:ext>
          </c:extLst>
        </c:ser>
        <c:ser>
          <c:idx val="12"/>
          <c:order val="12"/>
          <c:tx>
            <c:strRef>
              <c:f>Theta!$B$36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Theta!$C$36:$AZ$36</c:f>
              <c:numCache>
                <c:formatCode>General</c:formatCode>
                <c:ptCount val="50"/>
                <c:pt idx="0">
                  <c:v>-2.0311928373157206</c:v>
                </c:pt>
                <c:pt idx="1">
                  <c:v>-6.8093265573089994</c:v>
                </c:pt>
                <c:pt idx="2">
                  <c:v>-10.455240155593648</c:v>
                </c:pt>
                <c:pt idx="3">
                  <c:v>-12.546278099756995</c:v>
                </c:pt>
                <c:pt idx="4">
                  <c:v>-13.679578851154991</c:v>
                </c:pt>
                <c:pt idx="5">
                  <c:v>-14.261210126843142</c:v>
                </c:pt>
                <c:pt idx="6">
                  <c:v>-14.521210146966745</c:v>
                </c:pt>
                <c:pt idx="7">
                  <c:v>-14.589509594135791</c:v>
                </c:pt>
                <c:pt idx="8">
                  <c:v>-14.54153572439116</c:v>
                </c:pt>
                <c:pt idx="9">
                  <c:v>-14.422453192886163</c:v>
                </c:pt>
                <c:pt idx="10">
                  <c:v>-14.26007348188805</c:v>
                </c:pt>
                <c:pt idx="11">
                  <c:v>-14.071926810927605</c:v>
                </c:pt>
                <c:pt idx="12">
                  <c:v>-13.869267611873024</c:v>
                </c:pt>
                <c:pt idx="13">
                  <c:v>-13.659417917166053</c:v>
                </c:pt>
                <c:pt idx="14">
                  <c:v>-13.447179619307098</c:v>
                </c:pt>
                <c:pt idx="15">
                  <c:v>-13.235708448180448</c:v>
                </c:pt>
                <c:pt idx="16">
                  <c:v>-13.02706766855888</c:v>
                </c:pt>
                <c:pt idx="17">
                  <c:v>-12.822586179953218</c:v>
                </c:pt>
                <c:pt idx="18">
                  <c:v>-12.623094336012478</c:v>
                </c:pt>
                <c:pt idx="19">
                  <c:v>-12.429081700535093</c:v>
                </c:pt>
                <c:pt idx="20">
                  <c:v>-12.240804025726854</c:v>
                </c:pt>
                <c:pt idx="21">
                  <c:v>-12.058356643617795</c:v>
                </c:pt>
                <c:pt idx="22">
                  <c:v>-11.881725307174985</c:v>
                </c:pt>
                <c:pt idx="23">
                  <c:v>-11.710821688332922</c:v>
                </c:pt>
                <c:pt idx="24">
                  <c:v>-11.545508312764126</c:v>
                </c:pt>
                <c:pt idx="25">
                  <c:v>-11.38561614607546</c:v>
                </c:pt>
                <c:pt idx="26">
                  <c:v>-11.230957021103054</c:v>
                </c:pt>
                <c:pt idx="27">
                  <c:v>-11.081332415043297</c:v>
                </c:pt>
                <c:pt idx="28">
                  <c:v>-10.936539626837602</c:v>
                </c:pt>
                <c:pt idx="29">
                  <c:v>-10.79637609301737</c:v>
                </c:pt>
                <c:pt idx="30">
                  <c:v>-10.660642365176333</c:v>
                </c:pt>
                <c:pt idx="31">
                  <c:v>-10.529144122620979</c:v>
                </c:pt>
                <c:pt idx="32">
                  <c:v>-10.401693488682069</c:v>
                </c:pt>
                <c:pt idx="33">
                  <c:v>-10.278109844758466</c:v>
                </c:pt>
                <c:pt idx="34">
                  <c:v>-10.158220283054241</c:v>
                </c:pt>
                <c:pt idx="35">
                  <c:v>-10.041859800796029</c:v>
                </c:pt>
                <c:pt idx="36">
                  <c:v>-9.9288713111042313</c:v>
                </c:pt>
                <c:pt idx="37">
                  <c:v>-9.8191055256033408</c:v>
                </c:pt>
                <c:pt idx="38">
                  <c:v>-9.7124207491688033</c:v>
                </c:pt>
                <c:pt idx="39">
                  <c:v>-9.6086826164213832</c:v>
                </c:pt>
                <c:pt idx="40">
                  <c:v>-9.5077637916289373</c:v>
                </c:pt>
                <c:pt idx="41">
                  <c:v>-9.4095436477968324</c:v>
                </c:pt>
                <c:pt idx="42">
                  <c:v>-9.3139079363717592</c:v>
                </c:pt>
                <c:pt idx="43">
                  <c:v>-9.2207484557500994</c:v>
                </c:pt>
                <c:pt idx="44">
                  <c:v>-9.1299627243809294</c:v>
                </c:pt>
                <c:pt idx="45">
                  <c:v>-9.0414536624707438</c:v>
                </c:pt>
                <c:pt idx="46">
                  <c:v>-8.9551292849757456</c:v>
                </c:pt>
                <c:pt idx="47">
                  <c:v>-8.8709024075908722</c:v>
                </c:pt>
                <c:pt idx="48">
                  <c:v>-8.7886903667264438</c:v>
                </c:pt>
                <c:pt idx="49">
                  <c:v>-8.7084147539386478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9F1-46AC-8BC3-F1BA05FD2EBB}"/>
            </c:ext>
          </c:extLst>
        </c:ser>
        <c:ser>
          <c:idx val="13"/>
          <c:order val="13"/>
          <c:tx>
            <c:strRef>
              <c:f>Theta!$B$37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Theta!$C$37:$AZ$37</c:f>
              <c:numCache>
                <c:formatCode>General</c:formatCode>
                <c:ptCount val="50"/>
                <c:pt idx="0">
                  <c:v>-1.1307602943593071</c:v>
                </c:pt>
                <c:pt idx="1">
                  <c:v>-3.0857205605128093</c:v>
                </c:pt>
                <c:pt idx="2">
                  <c:v>-5.7948243917954816</c:v>
                </c:pt>
                <c:pt idx="3">
                  <c:v>-7.958591838172242</c:v>
                </c:pt>
                <c:pt idx="4">
                  <c:v>-9.4758240304281056</c:v>
                </c:pt>
                <c:pt idx="5">
                  <c:v>-10.498786373235744</c:v>
                </c:pt>
                <c:pt idx="6">
                  <c:v>-11.175182483177142</c:v>
                </c:pt>
                <c:pt idx="7">
                  <c:v>-11.612498724053657</c:v>
                </c:pt>
                <c:pt idx="8">
                  <c:v>-11.884259348685369</c:v>
                </c:pt>
                <c:pt idx="9">
                  <c:v>-12.04029010675692</c:v>
                </c:pt>
                <c:pt idx="10">
                  <c:v>-12.114605507424416</c:v>
                </c:pt>
                <c:pt idx="11">
                  <c:v>-12.13072532991346</c:v>
                </c:pt>
                <c:pt idx="12">
                  <c:v>-12.105143348580361</c:v>
                </c:pt>
                <c:pt idx="13">
                  <c:v>-12.049585597874838</c:v>
                </c:pt>
                <c:pt idx="14">
                  <c:v>-11.972494176799783</c:v>
                </c:pt>
                <c:pt idx="15">
                  <c:v>-11.880015492206349</c:v>
                </c:pt>
                <c:pt idx="16">
                  <c:v>-11.776668359831449</c:v>
                </c:pt>
                <c:pt idx="17">
                  <c:v>-11.665802503330523</c:v>
                </c:pt>
                <c:pt idx="18">
                  <c:v>-11.549917791588616</c:v>
                </c:pt>
                <c:pt idx="19">
                  <c:v>-11.430889564645947</c:v>
                </c:pt>
                <c:pt idx="20">
                  <c:v>-11.310129709402279</c:v>
                </c:pt>
                <c:pt idx="21">
                  <c:v>-11.18870316921881</c:v>
                </c:pt>
                <c:pt idx="22">
                  <c:v>-11.067413137741065</c:v>
                </c:pt>
                <c:pt idx="23">
                  <c:v>-10.94686397906654</c:v>
                </c:pt>
                <c:pt idx="24">
                  <c:v>-10.827508125225114</c:v>
                </c:pt>
                <c:pt idx="25">
                  <c:v>-10.709681325571292</c:v>
                </c:pt>
                <c:pt idx="26">
                  <c:v>-10.593629344967724</c:v>
                </c:pt>
                <c:pt idx="27">
                  <c:v>-10.479528326893274</c:v>
                </c:pt>
                <c:pt idx="28">
                  <c:v>-10.367500423458152</c:v>
                </c:pt>
                <c:pt idx="29">
                  <c:v>-10.257625861371491</c:v>
                </c:pt>
                <c:pt idx="30">
                  <c:v>-10.149952304567991</c:v>
                </c:pt>
                <c:pt idx="31">
                  <c:v>-10.044502152469903</c:v>
                </c:pt>
                <c:pt idx="32">
                  <c:v>-9.9412782519542375</c:v>
                </c:pt>
                <c:pt idx="33">
                  <c:v>-9.8402683833234494</c:v>
                </c:pt>
                <c:pt idx="34">
                  <c:v>-9.741448793678634</c:v>
                </c:pt>
                <c:pt idx="35">
                  <c:v>-9.6447869864853129</c:v>
                </c:pt>
                <c:pt idx="36">
                  <c:v>-9.5502439277393307</c:v>
                </c:pt>
                <c:pt idx="37">
                  <c:v>-9.4577757926631296</c:v>
                </c:pt>
                <c:pt idx="38">
                  <c:v>-9.3673353491848452</c:v>
                </c:pt>
                <c:pt idx="39">
                  <c:v>-9.2788730533246131</c:v>
                </c:pt>
                <c:pt idx="40">
                  <c:v>-9.1923379153920095</c:v>
                </c:pt>
                <c:pt idx="41">
                  <c:v>-9.1076781833787077</c:v>
                </c:pt>
                <c:pt idx="42">
                  <c:v>-9.0248418802174921</c:v>
                </c:pt>
                <c:pt idx="43">
                  <c:v>-8.9437772240074604</c:v>
                </c:pt>
                <c:pt idx="44">
                  <c:v>-8.8644329543763156</c:v>
                </c:pt>
                <c:pt idx="45">
                  <c:v>-8.7867585834879804</c:v>
                </c:pt>
                <c:pt idx="46">
                  <c:v>-8.710704586522322</c:v>
                </c:pt>
                <c:pt idx="47">
                  <c:v>-8.6362225435355846</c:v>
                </c:pt>
                <c:pt idx="48">
                  <c:v>-8.5632652422891145</c:v>
                </c:pt>
                <c:pt idx="49">
                  <c:v>-8.4917867497813333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9F1-46AC-8BC3-F1BA05FD2EBB}"/>
            </c:ext>
          </c:extLst>
        </c:ser>
        <c:ser>
          <c:idx val="14"/>
          <c:order val="14"/>
          <c:tx>
            <c:strRef>
              <c:f>Theta!$B$38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Theta!$C$38:$AZ$38</c:f>
              <c:numCache>
                <c:formatCode>General</c:formatCode>
                <c:ptCount val="50"/>
                <c:pt idx="0">
                  <c:v>-1.011314885940982</c:v>
                </c:pt>
                <c:pt idx="1">
                  <c:v>-1.6395687486126482</c:v>
                </c:pt>
                <c:pt idx="2">
                  <c:v>-3.1896307968166888</c:v>
                </c:pt>
                <c:pt idx="3">
                  <c:v>-4.8765180408663351</c:v>
                </c:pt>
                <c:pt idx="4">
                  <c:v>-6.3196399066611759</c:v>
                </c:pt>
                <c:pt idx="5">
                  <c:v>-7.4549158362803007</c:v>
                </c:pt>
                <c:pt idx="6">
                  <c:v>-8.3185975346264502</c:v>
                </c:pt>
                <c:pt idx="7">
                  <c:v>-8.9653549903618153</c:v>
                </c:pt>
                <c:pt idx="8">
                  <c:v>-9.4446293072958287</c:v>
                </c:pt>
                <c:pt idx="9">
                  <c:v>-9.7959134720922805</c:v>
                </c:pt>
                <c:pt idx="10">
                  <c:v>-10.049443094670199</c:v>
                </c:pt>
                <c:pt idx="11">
                  <c:v>-10.228048934947017</c:v>
                </c:pt>
                <c:pt idx="12">
                  <c:v>-10.348940102070419</c:v>
                </c:pt>
                <c:pt idx="13">
                  <c:v>-10.425136368168197</c:v>
                </c:pt>
                <c:pt idx="14">
                  <c:v>-10.466548968052377</c:v>
                </c:pt>
                <c:pt idx="15">
                  <c:v>-10.48077707772423</c:v>
                </c:pt>
                <c:pt idx="16">
                  <c:v>-10.473690534397045</c:v>
                </c:pt>
                <c:pt idx="17">
                  <c:v>-10.449856424320105</c:v>
                </c:pt>
                <c:pt idx="18">
                  <c:v>-10.412852797669157</c:v>
                </c:pt>
                <c:pt idx="19">
                  <c:v>-10.365500893051253</c:v>
                </c:pt>
                <c:pt idx="20">
                  <c:v>-10.310038335047231</c:v>
                </c:pt>
                <c:pt idx="21">
                  <c:v>-10.248249330234806</c:v>
                </c:pt>
                <c:pt idx="22">
                  <c:v>-10.181563316293108</c:v>
                </c:pt>
                <c:pt idx="23">
                  <c:v>-10.111130290998121</c:v>
                </c:pt>
                <c:pt idx="24">
                  <c:v>-10.037878767364239</c:v>
                </c:pt>
                <c:pt idx="25">
                  <c:v>-9.9625606837654459</c:v>
                </c:pt>
                <c:pt idx="26">
                  <c:v>-9.8857864442688612</c:v>
                </c:pt>
                <c:pt idx="27">
                  <c:v>-9.8080524361260171</c:v>
                </c:pt>
                <c:pt idx="28">
                  <c:v>-9.7297627723637063</c:v>
                </c:pt>
                <c:pt idx="29">
                  <c:v>-9.6512465710031439</c:v>
                </c:pt>
                <c:pt idx="30">
                  <c:v>-9.572771762103736</c:v>
                </c:pt>
                <c:pt idx="31">
                  <c:v>-9.4945561769618987</c:v>
                </c:pt>
                <c:pt idx="32">
                  <c:v>-9.4167764973823935</c:v>
                </c:pt>
                <c:pt idx="33">
                  <c:v>-9.3395755106275438</c:v>
                </c:pt>
                <c:pt idx="34">
                  <c:v>-9.2630680157409717</c:v>
                </c:pt>
                <c:pt idx="35">
                  <c:v>-9.1873456510076892</c:v>
                </c:pt>
                <c:pt idx="36">
                  <c:v>-9.1124808542362583</c:v>
                </c:pt>
                <c:pt idx="37">
                  <c:v>-9.0385301228630492</c:v>
                </c:pt>
                <c:pt idx="38">
                  <c:v>-8.965536706297085</c:v>
                </c:pt>
                <c:pt idx="39">
                  <c:v>-8.8935328360136179</c:v>
                </c:pt>
                <c:pt idx="40">
                  <c:v>-8.8225415778523395</c:v>
                </c:pt>
                <c:pt idx="41">
                  <c:v>-8.752578374423301</c:v>
                </c:pt>
                <c:pt idx="42">
                  <c:v>-8.6836523324448365</c:v>
                </c:pt>
                <c:pt idx="43">
                  <c:v>-8.6157672994561487</c:v>
                </c:pt>
                <c:pt idx="44">
                  <c:v>-8.5489227660693956</c:v>
                </c:pt>
                <c:pt idx="45">
                  <c:v>-8.4831146232977126</c:v>
                </c:pt>
                <c:pt idx="46">
                  <c:v>-8.4183357991662309</c:v>
                </c:pt>
                <c:pt idx="47">
                  <c:v>-8.3545767945112814</c:v>
                </c:pt>
                <c:pt idx="48">
                  <c:v>-8.2918261343875752</c:v>
                </c:pt>
                <c:pt idx="49">
                  <c:v>-8.2300707486689859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9F1-46AC-8BC3-F1BA05FD2EBB}"/>
            </c:ext>
          </c:extLst>
        </c:ser>
        <c:ser>
          <c:idx val="15"/>
          <c:order val="15"/>
          <c:tx>
            <c:strRef>
              <c:f>Theta!$B$39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Theta!$C$39:$AZ$39</c:f>
              <c:numCache>
                <c:formatCode>General</c:formatCode>
                <c:ptCount val="50"/>
                <c:pt idx="0">
                  <c:v>-0.99987587970602798</c:v>
                </c:pt>
                <c:pt idx="1">
                  <c:v>-1.1699032672049601</c:v>
                </c:pt>
                <c:pt idx="2">
                  <c:v>-1.9113646017988646</c:v>
                </c:pt>
                <c:pt idx="3">
                  <c:v>-3.0149238500830591</c:v>
                </c:pt>
                <c:pt idx="4">
                  <c:v>-4.1585838566039577</c:v>
                </c:pt>
                <c:pt idx="5">
                  <c:v>-5.1880333604875037</c:v>
                </c:pt>
                <c:pt idx="6">
                  <c:v>-6.0588387322217248</c:v>
                </c:pt>
                <c:pt idx="7">
                  <c:v>-6.7737313975105078</c:v>
                </c:pt>
                <c:pt idx="8">
                  <c:v>-7.3515312572557914</c:v>
                </c:pt>
                <c:pt idx="9">
                  <c:v>-7.814251988155136</c:v>
                </c:pt>
                <c:pt idx="10">
                  <c:v>-8.1823445854471917</c:v>
                </c:pt>
                <c:pt idx="11">
                  <c:v>-8.4732969731189698</c:v>
                </c:pt>
                <c:pt idx="12">
                  <c:v>-8.7015323471400041</c:v>
                </c:pt>
                <c:pt idx="13">
                  <c:v>-8.8787542416566847</c:v>
                </c:pt>
                <c:pt idx="14">
                  <c:v>-9.0143973869559861</c:v>
                </c:pt>
                <c:pt idx="15">
                  <c:v>-9.1160567956324439</c:v>
                </c:pt>
                <c:pt idx="16">
                  <c:v>-9.189855063596271</c:v>
                </c:pt>
                <c:pt idx="17">
                  <c:v>-9.2407424093732402</c:v>
                </c:pt>
                <c:pt idx="18">
                  <c:v>-9.2727363258834288</c:v>
                </c:pt>
                <c:pt idx="19">
                  <c:v>-9.289110993522069</c:v>
                </c:pt>
                <c:pt idx="20">
                  <c:v>-9.2925463768358068</c:v>
                </c:pt>
                <c:pt idx="21">
                  <c:v>-9.2852455414539126</c:v>
                </c:pt>
                <c:pt idx="22">
                  <c:v>-9.2690271321479365</c:v>
                </c:pt>
                <c:pt idx="23">
                  <c:v>-9.2453984986621425</c:v>
                </c:pt>
                <c:pt idx="24">
                  <c:v>-9.2156137445608568</c:v>
                </c:pt>
                <c:pt idx="25">
                  <c:v>-9.1807200077148927</c:v>
                </c:pt>
                <c:pt idx="26">
                  <c:v>-9.1415945267547745</c:v>
                </c:pt>
                <c:pt idx="27">
                  <c:v>-9.0989744659920522</c:v>
                </c:pt>
                <c:pt idx="28">
                  <c:v>-9.0534810249709583</c:v>
                </c:pt>
                <c:pt idx="29">
                  <c:v>-9.0056390170271499</c:v>
                </c:pt>
                <c:pt idx="30">
                  <c:v>-8.9558928393738704</c:v>
                </c:pt>
                <c:pt idx="31">
                  <c:v>-8.9046195562173036</c:v>
                </c:pt>
                <c:pt idx="32">
                  <c:v>-8.8521396616323074</c:v>
                </c:pt>
                <c:pt idx="33">
                  <c:v>-8.7987259693413105</c:v>
                </c:pt>
                <c:pt idx="34">
                  <c:v>-8.7446109837697836</c:v>
                </c:pt>
                <c:pt idx="35">
                  <c:v>-8.6899930344846421</c:v>
                </c:pt>
                <c:pt idx="36">
                  <c:v>-8.6350413995834554</c:v>
                </c:pt>
                <c:pt idx="37">
                  <c:v>-8.5799005991753852</c:v>
                </c:pt>
                <c:pt idx="38">
                  <c:v>-8.5246940050328952</c:v>
                </c:pt>
                <c:pt idx="39">
                  <c:v>-8.4695268847023772</c:v>
                </c:pt>
                <c:pt idx="40">
                  <c:v>-8.4144889762404063</c:v>
                </c:pt>
                <c:pt idx="41">
                  <c:v>-8.3596566720603391</c:v>
                </c:pt>
                <c:pt idx="42">
                  <c:v>-8.3050948761828174</c:v>
                </c:pt>
                <c:pt idx="43">
                  <c:v>-8.2508585877490379</c:v>
                </c:pt>
                <c:pt idx="44">
                  <c:v>-8.1969942544065084</c:v>
                </c:pt>
                <c:pt idx="45">
                  <c:v>-8.143540931667534</c:v>
                </c:pt>
                <c:pt idx="46">
                  <c:v>-8.0905312782216061</c:v>
                </c:pt>
                <c:pt idx="47">
                  <c:v>-8.0379924121790989</c:v>
                </c:pt>
                <c:pt idx="48">
                  <c:v>-7.9859466491180617</c:v>
                </c:pt>
                <c:pt idx="49">
                  <c:v>-7.9344121394260245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9F1-46AC-8BC3-F1BA05FD2EBB}"/>
            </c:ext>
          </c:extLst>
        </c:ser>
        <c:ser>
          <c:idx val="16"/>
          <c:order val="16"/>
          <c:tx>
            <c:strRef>
              <c:f>Theta!$B$40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Theta!$C$40:$AZ$40</c:f>
              <c:numCache>
                <c:formatCode>General</c:formatCode>
                <c:ptCount val="50"/>
                <c:pt idx="0">
                  <c:v>-0.99904941220576171</c:v>
                </c:pt>
                <c:pt idx="1">
                  <c:v>-1.0388283555729734</c:v>
                </c:pt>
                <c:pt idx="2">
                  <c:v>-1.3487952222257125</c:v>
                </c:pt>
                <c:pt idx="3">
                  <c:v>-1.9846849685346619</c:v>
                </c:pt>
                <c:pt idx="4">
                  <c:v>-2.7855630263031972</c:v>
                </c:pt>
                <c:pt idx="5">
                  <c:v>-3.6083602469389642</c:v>
                </c:pt>
                <c:pt idx="6">
                  <c:v>-4.3762692327935353</c:v>
                </c:pt>
                <c:pt idx="7">
                  <c:v>-5.0584173293597976</c:v>
                </c:pt>
                <c:pt idx="8">
                  <c:v>-5.6482262361697639</c:v>
                </c:pt>
                <c:pt idx="9">
                  <c:v>-6.1503168442155749</c:v>
                </c:pt>
                <c:pt idx="10">
                  <c:v>-6.573692890399184</c:v>
                </c:pt>
                <c:pt idx="11">
                  <c:v>-6.9284482833850278</c:v>
                </c:pt>
                <c:pt idx="12">
                  <c:v>-7.2242871212075892</c:v>
                </c:pt>
                <c:pt idx="13">
                  <c:v>-7.4699378252745916</c:v>
                </c:pt>
                <c:pt idx="14">
                  <c:v>-7.6729927557568294</c:v>
                </c:pt>
                <c:pt idx="15">
                  <c:v>-7.8399396771623389</c:v>
                </c:pt>
                <c:pt idx="16">
                  <c:v>-7.9762706319666092</c:v>
                </c:pt>
                <c:pt idx="17">
                  <c:v>-8.0866135493499165</c:v>
                </c:pt>
                <c:pt idx="18">
                  <c:v>-8.1748616762875361</c:v>
                </c:pt>
                <c:pt idx="19">
                  <c:v>-8.2442905792216727</c:v>
                </c:pt>
                <c:pt idx="20">
                  <c:v>-8.2976595328760503</c:v>
                </c:pt>
                <c:pt idx="21">
                  <c:v>-8.3372973728872015</c:v>
                </c:pt>
                <c:pt idx="22">
                  <c:v>-8.365174255617136</c:v>
                </c:pt>
                <c:pt idx="23">
                  <c:v>-8.3829612129155997</c:v>
                </c:pt>
                <c:pt idx="24">
                  <c:v>-8.3920794034958632</c:v>
                </c:pt>
                <c:pt idx="25">
                  <c:v>-8.3937407929026033</c:v>
                </c:pt>
                <c:pt idx="26">
                  <c:v>-8.3889817622818104</c:v>
                </c:pt>
                <c:pt idx="27">
                  <c:v>-8.3786909096674016</c:v>
                </c:pt>
                <c:pt idx="28">
                  <c:v>-8.3636320911201718</c:v>
                </c:pt>
                <c:pt idx="29">
                  <c:v>-8.3444635614848828</c:v>
                </c:pt>
                <c:pt idx="30">
                  <c:v>-8.3217539167589134</c:v>
                </c:pt>
                <c:pt idx="31">
                  <c:v>-8.2959954096944628</c:v>
                </c:pt>
                <c:pt idx="32">
                  <c:v>-8.267615103668609</c:v>
                </c:pt>
                <c:pt idx="33">
                  <c:v>-8.236984243256213</c:v>
                </c:pt>
                <c:pt idx="34">
                  <c:v>-8.2044261498205131</c:v>
                </c:pt>
                <c:pt idx="35">
                  <c:v>-8.1702228937436665</c:v>
                </c:pt>
                <c:pt idx="36">
                  <c:v>-8.1346209490912464</c:v>
                </c:pt>
                <c:pt idx="37">
                  <c:v>-8.0978359994306786</c:v>
                </c:pt>
                <c:pt idx="38">
                  <c:v>-8.0600570334895369</c:v>
                </c:pt>
                <c:pt idx="39">
                  <c:v>-8.0214498449633034</c:v>
                </c:pt>
                <c:pt idx="40">
                  <c:v>-7.9821600309544092</c:v>
                </c:pt>
                <c:pt idx="41">
                  <c:v>-7.9423155673574506</c:v>
                </c:pt>
                <c:pt idx="42">
                  <c:v>-7.9020290262893917</c:v>
                </c:pt>
                <c:pt idx="43">
                  <c:v>-7.8613994898310819</c:v>
                </c:pt>
                <c:pt idx="44">
                  <c:v>-7.8205142054430654</c:v>
                </c:pt>
                <c:pt idx="45">
                  <c:v>-7.7794500210809971</c:v>
                </c:pt>
                <c:pt idx="46">
                  <c:v>-7.7382746319715308</c:v>
                </c:pt>
                <c:pt idx="47">
                  <c:v>-7.697047665983936</c:v>
                </c:pt>
                <c:pt idx="48">
                  <c:v>-7.6558216303563773</c:v>
                </c:pt>
                <c:pt idx="49">
                  <c:v>-7.6146427390558058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9F1-46AC-8BC3-F1BA05FD2EBB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47848864"/>
        <c:axId val="1047843584"/>
        <c:axId val="1040315792"/>
      </c:surface3DChart>
      <c:catAx>
        <c:axId val="104784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7843584"/>
        <c:crosses val="autoZero"/>
        <c:auto val="1"/>
        <c:lblAlgn val="ctr"/>
        <c:lblOffset val="100"/>
        <c:noMultiLvlLbl val="0"/>
      </c:catAx>
      <c:valAx>
        <c:axId val="104784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7848864"/>
        <c:crosses val="autoZero"/>
        <c:crossBetween val="midCat"/>
      </c:valAx>
      <c:serAx>
        <c:axId val="10403157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784358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Theta, vol=40%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0558368176746428E-2"/>
          <c:y val="0.17634237181619902"/>
          <c:w val="0.85445363079615044"/>
          <c:h val="0.6714577865266842"/>
        </c:manualLayout>
      </c:layout>
      <c:surface3DChart>
        <c:wireframe val="0"/>
        <c:ser>
          <c:idx val="0"/>
          <c:order val="0"/>
          <c:tx>
            <c:strRef>
              <c:f>Theta!$B$45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Theta!$C$45:$AZ$45</c:f>
              <c:numCache>
                <c:formatCode>General</c:formatCode>
                <c:ptCount val="50"/>
                <c:pt idx="0">
                  <c:v>-1.4485039991105231E-2</c:v>
                </c:pt>
                <c:pt idx="1">
                  <c:v>-0.60338223197593854</c:v>
                </c:pt>
                <c:pt idx="2">
                  <c:v>-1.9151622811895384</c:v>
                </c:pt>
                <c:pt idx="3">
                  <c:v>-3.2676546646789197</c:v>
                </c:pt>
                <c:pt idx="4">
                  <c:v>-4.3873411094725823</c:v>
                </c:pt>
                <c:pt idx="5">
                  <c:v>-5.2478378445142599</c:v>
                </c:pt>
                <c:pt idx="6">
                  <c:v>-5.8901425239135126</c:v>
                </c:pt>
                <c:pt idx="7">
                  <c:v>-6.3628065714776039</c:v>
                </c:pt>
                <c:pt idx="8">
                  <c:v>-6.7068787506709882</c:v>
                </c:pt>
                <c:pt idx="9">
                  <c:v>-6.9540324269679985</c:v>
                </c:pt>
                <c:pt idx="10">
                  <c:v>-7.1279863654200701</c:v>
                </c:pt>
                <c:pt idx="11">
                  <c:v>-7.246369734349714</c:v>
                </c:pt>
                <c:pt idx="12">
                  <c:v>-7.3223107281117237</c:v>
                </c:pt>
                <c:pt idx="13">
                  <c:v>-7.3656449797542365</c:v>
                </c:pt>
                <c:pt idx="14">
                  <c:v>-7.3837986516710945</c:v>
                </c:pt>
                <c:pt idx="15">
                  <c:v>-7.3824252711954728</c:v>
                </c:pt>
                <c:pt idx="16">
                  <c:v>-7.3658643020308165</c:v>
                </c:pt>
                <c:pt idx="17">
                  <c:v>-7.3374727315771349</c:v>
                </c:pt>
                <c:pt idx="18">
                  <c:v>-7.2998665061093853</c:v>
                </c:pt>
                <c:pt idx="19">
                  <c:v>-7.2550977770018834</c:v>
                </c:pt>
                <c:pt idx="20">
                  <c:v>-7.2047861651565688</c:v>
                </c:pt>
                <c:pt idx="21">
                  <c:v>-7.1502168322109707</c:v>
                </c:pt>
                <c:pt idx="22">
                  <c:v>-7.0924143875979677</c:v>
                </c:pt>
                <c:pt idx="23">
                  <c:v>-7.0321990512401849</c:v>
                </c:pt>
                <c:pt idx="24">
                  <c:v>-6.9702296730167417</c:v>
                </c:pt>
                <c:pt idx="25">
                  <c:v>-6.9070369344970564</c:v>
                </c:pt>
                <c:pt idx="26">
                  <c:v>-6.8430491569514809</c:v>
                </c:pt>
                <c:pt idx="27">
                  <c:v>-6.778612497436681</c:v>
                </c:pt>
                <c:pt idx="28">
                  <c:v>-6.7140068534569757</c:v>
                </c:pt>
                <c:pt idx="29">
                  <c:v>-6.6494584626121922</c:v>
                </c:pt>
                <c:pt idx="30">
                  <c:v>-6.585149939707958</c:v>
                </c:pt>
                <c:pt idx="31">
                  <c:v>-6.5212283142825314</c:v>
                </c:pt>
                <c:pt idx="32">
                  <c:v>-6.457811498371659</c:v>
                </c:pt>
                <c:pt idx="33">
                  <c:v>-6.3949935148716559</c:v>
                </c:pt>
                <c:pt idx="34">
                  <c:v>-6.3328487420268766</c:v>
                </c:pt>
                <c:pt idx="35">
                  <c:v>-6.2714353728795853</c:v>
                </c:pt>
                <c:pt idx="36">
                  <c:v>-6.2107982452979273</c:v>
                </c:pt>
                <c:pt idx="37">
                  <c:v>-6.1509711650371433</c:v>
                </c:pt>
                <c:pt idx="38">
                  <c:v>-6.0919788186963597</c:v>
                </c:pt>
                <c:pt idx="39">
                  <c:v>-6.0338383535688811</c:v>
                </c:pt>
                <c:pt idx="40">
                  <c:v>-5.9765606858815667</c:v>
                </c:pt>
                <c:pt idx="41">
                  <c:v>-5.92015158675812</c:v>
                </c:pt>
                <c:pt idx="42">
                  <c:v>-5.8646125856540525</c:v>
                </c:pt>
                <c:pt idx="43">
                  <c:v>-5.8099417234171771</c:v>
                </c:pt>
                <c:pt idx="44">
                  <c:v>-5.7561341810851712</c:v>
                </c:pt>
                <c:pt idx="45">
                  <c:v>-5.7031828057028484</c:v>
                </c:pt>
                <c:pt idx="46">
                  <c:v>-5.6510785505669565</c:v>
                </c:pt>
                <c:pt idx="47">
                  <c:v>-5.5998108441843248</c:v>
                </c:pt>
                <c:pt idx="48">
                  <c:v>-5.5493678997045093</c:v>
                </c:pt>
                <c:pt idx="49">
                  <c:v>-5.499736974538795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2-482A-A45E-0783BFAF36A0}"/>
            </c:ext>
          </c:extLst>
        </c:ser>
        <c:ser>
          <c:idx val="1"/>
          <c:order val="1"/>
          <c:tx>
            <c:strRef>
              <c:f>Theta!$B$46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Theta!$C$46:$AZ$46</c:f>
              <c:numCache>
                <c:formatCode>General</c:formatCode>
                <c:ptCount val="50"/>
                <c:pt idx="0">
                  <c:v>-0.15816671990779366</c:v>
                </c:pt>
                <c:pt idx="1">
                  <c:v>-2.0296399900203856</c:v>
                </c:pt>
                <c:pt idx="2">
                  <c:v>-4.3511878855430925</c:v>
                </c:pt>
                <c:pt idx="3">
                  <c:v>-6.1015975284293473</c:v>
                </c:pt>
                <c:pt idx="4">
                  <c:v>-7.2828659695784355</c:v>
                </c:pt>
                <c:pt idx="5">
                  <c:v>-8.054101524868079</c:v>
                </c:pt>
                <c:pt idx="6">
                  <c:v>-8.5474296218762937</c:v>
                </c:pt>
                <c:pt idx="7">
                  <c:v>-8.853530938660418</c:v>
                </c:pt>
                <c:pt idx="8">
                  <c:v>-9.0323853776870884</c:v>
                </c:pt>
                <c:pt idx="9">
                  <c:v>-9.1237183699720656</c:v>
                </c:pt>
                <c:pt idx="10">
                  <c:v>-9.1541829926196314</c:v>
                </c:pt>
                <c:pt idx="11">
                  <c:v>-9.1419511975942989</c:v>
                </c:pt>
                <c:pt idx="12">
                  <c:v>-9.099613455807873</c:v>
                </c:pt>
                <c:pt idx="13">
                  <c:v>-9.0360241892454685</c:v>
                </c:pt>
                <c:pt idx="14">
                  <c:v>-8.9574937528163741</c:v>
                </c:pt>
                <c:pt idx="15">
                  <c:v>-8.8685715788678561</c:v>
                </c:pt>
                <c:pt idx="16">
                  <c:v>-8.7725696783413323</c:v>
                </c:pt>
                <c:pt idx="17">
                  <c:v>-8.6719184510353831</c:v>
                </c:pt>
                <c:pt idx="18">
                  <c:v>-8.5684123300312152</c:v>
                </c:pt>
                <c:pt idx="19">
                  <c:v>-8.4633818457621608</c:v>
                </c:pt>
                <c:pt idx="20">
                  <c:v>-8.35781576928653</c:v>
                </c:pt>
                <c:pt idx="21">
                  <c:v>-8.2524488857509635</c:v>
                </c:pt>
                <c:pt idx="22">
                  <c:v>-8.1478257790413693</c:v>
                </c:pt>
                <c:pt idx="23">
                  <c:v>-8.0443476595049948</c:v>
                </c:pt>
                <c:pt idx="24">
                  <c:v>-7.9423070638026179</c:v>
                </c:pt>
                <c:pt idx="25">
                  <c:v>-7.8419137859994485</c:v>
                </c:pt>
                <c:pt idx="26">
                  <c:v>-7.7433144046425957</c:v>
                </c:pt>
                <c:pt idx="27">
                  <c:v>-7.6466070892526092</c:v>
                </c:pt>
                <c:pt idx="28">
                  <c:v>-7.5518528971754231</c:v>
                </c:pt>
                <c:pt idx="29">
                  <c:v>-7.4590844403659302</c:v>
                </c:pt>
                <c:pt idx="30">
                  <c:v>-7.3683125667906113</c:v>
                </c:pt>
                <c:pt idx="31">
                  <c:v>-7.2795315329855068</c:v>
                </c:pt>
                <c:pt idx="32">
                  <c:v>-7.1927230228009797</c:v>
                </c:pt>
                <c:pt idx="33">
                  <c:v>-7.1078592787943116</c:v>
                </c:pt>
                <c:pt idx="34">
                  <c:v>-7.0249055476353366</c:v>
                </c:pt>
                <c:pt idx="35">
                  <c:v>-6.943821992676166</c:v>
                </c:pt>
                <c:pt idx="36">
                  <c:v>-6.8645651908651741</c:v>
                </c:pt>
                <c:pt idx="37">
                  <c:v>-6.7870893041645726</c:v>
                </c:pt>
                <c:pt idx="38">
                  <c:v>-6.711346995202228</c:v>
                </c:pt>
                <c:pt idx="39">
                  <c:v>-6.6372901413497472</c:v>
                </c:pt>
                <c:pt idx="40">
                  <c:v>-6.5648703895319604</c:v>
                </c:pt>
                <c:pt idx="41">
                  <c:v>-6.4940395849308441</c:v>
                </c:pt>
                <c:pt idx="42">
                  <c:v>-6.424750099679958</c:v>
                </c:pt>
                <c:pt idx="43">
                  <c:v>-6.3569550821566496</c:v>
                </c:pt>
                <c:pt idx="44">
                  <c:v>-6.2906086431972099</c:v>
                </c:pt>
                <c:pt idx="45">
                  <c:v>-6.2256659922050925</c:v>
                </c:pt>
                <c:pt idx="46">
                  <c:v>-6.1620835334837034</c:v>
                </c:pt>
                <c:pt idx="47">
                  <c:v>-6.0998189310419146</c:v>
                </c:pt>
                <c:pt idx="48">
                  <c:v>-6.0388311484703125</c:v>
                </c:pt>
                <c:pt idx="49">
                  <c:v>-5.9790804691745958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F2-482A-A45E-0783BFAF36A0}"/>
            </c:ext>
          </c:extLst>
        </c:ser>
        <c:ser>
          <c:idx val="2"/>
          <c:order val="2"/>
          <c:tx>
            <c:strRef>
              <c:f>Theta!$B$47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Theta!$C$47:$AZ$47</c:f>
              <c:numCache>
                <c:formatCode>General</c:formatCode>
                <c:ptCount val="50"/>
                <c:pt idx="0">
                  <c:v>-1.0123391075579409</c:v>
                </c:pt>
                <c:pt idx="1">
                  <c:v>-5.2204983169411996</c:v>
                </c:pt>
                <c:pt idx="2">
                  <c:v>-8.2596472588658507</c:v>
                </c:pt>
                <c:pt idx="3">
                  <c:v>-9.950492288959822</c:v>
                </c:pt>
                <c:pt idx="4">
                  <c:v>-10.842802939309427</c:v>
                </c:pt>
                <c:pt idx="5">
                  <c:v>-11.284647566070815</c:v>
                </c:pt>
                <c:pt idx="6">
                  <c:v>-11.467690907498289</c:v>
                </c:pt>
                <c:pt idx="7">
                  <c:v>-11.498386961759074</c:v>
                </c:pt>
                <c:pt idx="8">
                  <c:v>-11.437802917534675</c:v>
                </c:pt>
                <c:pt idx="9">
                  <c:v>-11.322159031684684</c:v>
                </c:pt>
                <c:pt idx="10">
                  <c:v>-11.173574351865557</c:v>
                </c:pt>
                <c:pt idx="11">
                  <c:v>-11.00588182601107</c:v>
                </c:pt>
                <c:pt idx="12">
                  <c:v>-10.827891734583936</c:v>
                </c:pt>
                <c:pt idx="13">
                  <c:v>-10.645286857211941</c:v>
                </c:pt>
                <c:pt idx="14">
                  <c:v>-10.461757475295459</c:v>
                </c:pt>
                <c:pt idx="15">
                  <c:v>-10.279699900276585</c:v>
                </c:pt>
                <c:pt idx="16">
                  <c:v>-10.100656789538538</c:v>
                </c:pt>
                <c:pt idx="17">
                  <c:v>-9.9256005642391418</c:v>
                </c:pt>
                <c:pt idx="18">
                  <c:v>-9.7551191863777067</c:v>
                </c:pt>
                <c:pt idx="19">
                  <c:v>-9.5895398649106856</c:v>
                </c:pt>
                <c:pt idx="20">
                  <c:v>-9.4290125478650388</c:v>
                </c:pt>
                <c:pt idx="21">
                  <c:v>-9.2735669177835138</c:v>
                </c:pt>
                <c:pt idx="22">
                  <c:v>-9.1231516651214744</c:v>
                </c:pt>
                <c:pt idx="23">
                  <c:v>-8.9776617499656073</c:v>
                </c:pt>
                <c:pt idx="24">
                  <c:v>-8.8369574265646342</c:v>
                </c:pt>
                <c:pt idx="25">
                  <c:v>-8.7008775609094702</c:v>
                </c:pt>
                <c:pt idx="26">
                  <c:v>-8.5692489592072665</c:v>
                </c:pt>
                <c:pt idx="27">
                  <c:v>-8.4418928869894927</c:v>
                </c:pt>
                <c:pt idx="28">
                  <c:v>-8.3186295974514408</c:v>
                </c:pt>
                <c:pt idx="29">
                  <c:v>-8.199281442307031</c:v>
                </c:pt>
                <c:pt idx="30">
                  <c:v>-8.0836749699620398</c:v>
                </c:pt>
                <c:pt idx="31">
                  <c:v>-7.9716422989236673</c:v>
                </c:pt>
                <c:pt idx="32">
                  <c:v>-7.8630219725241046</c:v>
                </c:pt>
                <c:pt idx="33">
                  <c:v>-7.7576594432499997</c:v>
                </c:pt>
                <c:pt idx="34">
                  <c:v>-7.6554072938565572</c:v>
                </c:pt>
                <c:pt idx="35">
                  <c:v>-7.5561252729920652</c:v>
                </c:pt>
                <c:pt idx="36">
                  <c:v>-7.459680201828621</c:v>
                </c:pt>
                <c:pt idx="37">
                  <c:v>-7.3659457928083194</c:v>
                </c:pt>
                <c:pt idx="38">
                  <c:v>-7.2748024104095332</c:v>
                </c:pt>
                <c:pt idx="39">
                  <c:v>-7.1861367956458313</c:v>
                </c:pt>
                <c:pt idx="40">
                  <c:v>-7.099841770000431</c:v>
                </c:pt>
                <c:pt idx="41">
                  <c:v>-7.0158159300796745</c:v>
                </c:pt>
                <c:pt idx="42">
                  <c:v>-6.9339633410134836</c:v>
                </c:pt>
                <c:pt idx="43">
                  <c:v>-6.8541932342307339</c:v>
                </c:pt>
                <c:pt idx="44">
                  <c:v>-6.7764197134691271</c:v>
                </c:pt>
                <c:pt idx="45">
                  <c:v>-6.7005614715778288</c:v>
                </c:pt>
                <c:pt idx="46">
                  <c:v>-6.6265415197170174</c:v>
                </c:pt>
                <c:pt idx="47">
                  <c:v>-6.5542869298620507</c:v>
                </c:pt>
                <c:pt idx="48">
                  <c:v>-6.4837285910158045</c:v>
                </c:pt>
                <c:pt idx="49">
                  <c:v>-6.414800979171507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F2-482A-A45E-0783BFAF36A0}"/>
            </c:ext>
          </c:extLst>
        </c:ser>
        <c:ser>
          <c:idx val="3"/>
          <c:order val="3"/>
          <c:tx>
            <c:strRef>
              <c:f>Theta!$B$48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Theta!$C$48:$AZ$48</c:f>
              <c:numCache>
                <c:formatCode>General</c:formatCode>
                <c:ptCount val="50"/>
                <c:pt idx="0">
                  <c:v>-4.1873661372726332</c:v>
                </c:pt>
                <c:pt idx="1">
                  <c:v>-10.783235760832367</c:v>
                </c:pt>
                <c:pt idx="2">
                  <c:v>-13.536503081939685</c:v>
                </c:pt>
                <c:pt idx="3">
                  <c:v>-14.526452782887358</c:v>
                </c:pt>
                <c:pt idx="4">
                  <c:v>-14.768196082177488</c:v>
                </c:pt>
                <c:pt idx="5">
                  <c:v>-14.675507332665523</c:v>
                </c:pt>
                <c:pt idx="6">
                  <c:v>-14.429161205899431</c:v>
                </c:pt>
                <c:pt idx="7">
                  <c:v>-14.113972033561282</c:v>
                </c:pt>
                <c:pt idx="8">
                  <c:v>-13.771878854738464</c:v>
                </c:pt>
                <c:pt idx="9">
                  <c:v>-13.424295066054123</c:v>
                </c:pt>
                <c:pt idx="10">
                  <c:v>-13.082261128255285</c:v>
                </c:pt>
                <c:pt idx="11">
                  <c:v>-12.751357630893521</c:v>
                </c:pt>
                <c:pt idx="12">
                  <c:v>-12.434208211673939</c:v>
                </c:pt>
                <c:pt idx="13">
                  <c:v>-12.131808416400263</c:v>
                </c:pt>
                <c:pt idx="14">
                  <c:v>-11.844254620695123</c:v>
                </c:pt>
                <c:pt idx="15">
                  <c:v>-11.571153933702572</c:v>
                </c:pt>
                <c:pt idx="16">
                  <c:v>-11.311858766449806</c:v>
                </c:pt>
                <c:pt idx="17">
                  <c:v>-11.065602382559657</c:v>
                </c:pt>
                <c:pt idx="18">
                  <c:v>-10.83157729495548</c:v>
                </c:pt>
                <c:pt idx="19">
                  <c:v>-10.608980111472453</c:v>
                </c:pt>
                <c:pt idx="20">
                  <c:v>-10.397036449613291</c:v>
                </c:pt>
                <c:pt idx="21">
                  <c:v>-10.195013934274993</c:v>
                </c:pt>
                <c:pt idx="22">
                  <c:v>-10.002228068931329</c:v>
                </c:pt>
                <c:pt idx="23">
                  <c:v>-9.8180438795006246</c:v>
                </c:pt>
                <c:pt idx="24">
                  <c:v>-9.6418751009203572</c:v>
                </c:pt>
                <c:pt idx="25">
                  <c:v>-9.4731819922012406</c:v>
                </c:pt>
                <c:pt idx="26">
                  <c:v>-9.3114684460296058</c:v>
                </c:pt>
                <c:pt idx="27">
                  <c:v>-9.1562787990746166</c:v>
                </c:pt>
                <c:pt idx="28">
                  <c:v>-9.0071945870991073</c:v>
                </c:pt>
                <c:pt idx="29">
                  <c:v>-8.8638313875484176</c:v>
                </c:pt>
                <c:pt idx="30">
                  <c:v>-8.7258358288057227</c:v>
                </c:pt>
                <c:pt idx="31">
                  <c:v>-8.5928828057395155</c:v>
                </c:pt>
                <c:pt idx="32">
                  <c:v>-8.46467291677512</c:v>
                </c:pt>
                <c:pt idx="33">
                  <c:v>-8.3409301229774346</c:v>
                </c:pt>
                <c:pt idx="34">
                  <c:v>-8.2213996210266505</c:v>
                </c:pt>
                <c:pt idx="35">
                  <c:v>-8.1058459172571151</c:v>
                </c:pt>
                <c:pt idx="36">
                  <c:v>-7.9940510876679021</c:v>
                </c:pt>
                <c:pt idx="37">
                  <c:v>-7.8858132080711449</c:v>
                </c:pt>
                <c:pt idx="38">
                  <c:v>-7.7809449387207161</c:v>
                </c:pt>
                <c:pt idx="39">
                  <c:v>-7.6792722484729277</c:v>
                </c:pt>
                <c:pt idx="40">
                  <c:v>-7.5806332645253658</c:v>
                </c:pt>
                <c:pt idx="41">
                  <c:v>-7.4848772349037764</c:v>
                </c:pt>
                <c:pt idx="42">
                  <c:v>-7.3918635920225855</c:v>
                </c:pt>
                <c:pt idx="43">
                  <c:v>-7.3014611067737976</c:v>
                </c:pt>
                <c:pt idx="44">
                  <c:v>-7.2135471236682305</c:v>
                </c:pt>
                <c:pt idx="45">
                  <c:v>-7.1280068685445235</c:v>
                </c:pt>
                <c:pt idx="46">
                  <c:v>-7.0447328212682994</c:v>
                </c:pt>
                <c:pt idx="47">
                  <c:v>-6.9636241466648796</c:v>
                </c:pt>
                <c:pt idx="48">
                  <c:v>-6.8845861776672876</c:v>
                </c:pt>
                <c:pt idx="49">
                  <c:v>-6.8075299453217202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F2-482A-A45E-0783BFAF36A0}"/>
            </c:ext>
          </c:extLst>
        </c:ser>
        <c:ser>
          <c:idx val="4"/>
          <c:order val="4"/>
          <c:tx>
            <c:strRef>
              <c:f>Theta!$B$49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Theta!$C$49:$AZ$49</c:f>
              <c:numCache>
                <c:formatCode>General</c:formatCode>
                <c:ptCount val="50"/>
                <c:pt idx="0">
                  <c:v>-12.073826179949494</c:v>
                </c:pt>
                <c:pt idx="1">
                  <c:v>-18.579872054340804</c:v>
                </c:pt>
                <c:pt idx="2">
                  <c:v>-19.646987669596626</c:v>
                </c:pt>
                <c:pt idx="3">
                  <c:v>-19.351354755097841</c:v>
                </c:pt>
                <c:pt idx="4">
                  <c:v>-18.687192970972117</c:v>
                </c:pt>
                <c:pt idx="5">
                  <c:v>-17.94418934688078</c:v>
                </c:pt>
                <c:pt idx="6">
                  <c:v>-17.216368544264213</c:v>
                </c:pt>
                <c:pt idx="7">
                  <c:v>-16.534025398114874</c:v>
                </c:pt>
                <c:pt idx="8">
                  <c:v>-15.90463758225401</c:v>
                </c:pt>
                <c:pt idx="9">
                  <c:v>-15.327230531986578</c:v>
                </c:pt>
                <c:pt idx="10">
                  <c:v>-14.797847376412999</c:v>
                </c:pt>
                <c:pt idx="11">
                  <c:v>-14.311725369479682</c:v>
                </c:pt>
                <c:pt idx="12">
                  <c:v>-13.864163937202974</c:v>
                </c:pt>
                <c:pt idx="13">
                  <c:v>-13.450848873246763</c:v>
                </c:pt>
                <c:pt idx="14">
                  <c:v>-13.067945945573674</c:v>
                </c:pt>
                <c:pt idx="15">
                  <c:v>-12.712098032993625</c:v>
                </c:pt>
                <c:pt idx="16">
                  <c:v>-12.380384755028716</c:v>
                </c:pt>
                <c:pt idx="17">
                  <c:v>-12.070270687569471</c:v>
                </c:pt>
                <c:pt idx="18">
                  <c:v>-11.779553458051947</c:v>
                </c:pt>
                <c:pt idx="19">
                  <c:v>-11.506316248155974</c:v>
                </c:pt>
                <c:pt idx="20">
                  <c:v>-11.248886143660853</c:v>
                </c:pt>
                <c:pt idx="21">
                  <c:v>-11.00579839936683</c:v>
                </c:pt>
                <c:pt idx="22">
                  <c:v>-10.775766123202594</c:v>
                </c:pt>
                <c:pt idx="23">
                  <c:v>-10.557654697524956</c:v>
                </c:pt>
                <c:pt idx="24">
                  <c:v>-10.350460240736547</c:v>
                </c:pt>
                <c:pt idx="25">
                  <c:v>-10.153291469324582</c:v>
                </c:pt>
                <c:pt idx="26">
                  <c:v>-9.9653544019165796</c:v>
                </c:pt>
                <c:pt idx="27">
                  <c:v>-9.785939431125124</c:v>
                </c:pt>
                <c:pt idx="28">
                  <c:v>-9.6144103664863696</c:v>
                </c:pt>
                <c:pt idx="29">
                  <c:v>-9.4501951194088569</c:v>
                </c:pt>
                <c:pt idx="30">
                  <c:v>-9.2927777582942888</c:v>
                </c:pt>
                <c:pt idx="31">
                  <c:v>-9.1416917096524237</c:v>
                </c:pt>
                <c:pt idx="32">
                  <c:v>-8.9965139203339941</c:v>
                </c:pt>
                <c:pt idx="33">
                  <c:v>-8.8568598282448345</c:v>
                </c:pt>
                <c:pt idx="34">
                  <c:v>-8.7223790152854246</c:v>
                </c:pt>
                <c:pt idx="35">
                  <c:v>-8.5927514378335381</c:v>
                </c:pt>
                <c:pt idx="36">
                  <c:v>-8.4676841477400817</c:v>
                </c:pt>
                <c:pt idx="37">
                  <c:v>-8.3469084312730253</c:v>
                </c:pt>
                <c:pt idx="38">
                  <c:v>-8.2301773053207103</c:v>
                </c:pt>
                <c:pt idx="39">
                  <c:v>-8.1172633199407027</c:v>
                </c:pt>
                <c:pt idx="40">
                  <c:v>-8.0079566244066616</c:v>
                </c:pt>
                <c:pt idx="41">
                  <c:v>-7.9020632605812509</c:v>
                </c:pt>
                <c:pt idx="42">
                  <c:v>-7.7994036529839015</c:v>
                </c:pt>
                <c:pt idx="43">
                  <c:v>-7.6998112695347753</c:v>
                </c:pt>
                <c:pt idx="44">
                  <c:v>-7.6031314308081237</c:v>
                </c:pt>
                <c:pt idx="45">
                  <c:v>-7.5092202488539774</c:v>
                </c:pt>
                <c:pt idx="46">
                  <c:v>-7.4179436793572489</c:v>
                </c:pt>
                <c:pt idx="47">
                  <c:v>-7.3291766731864527</c:v>
                </c:pt>
                <c:pt idx="48">
                  <c:v>-7.2428024153137134</c:v>
                </c:pt>
                <c:pt idx="49">
                  <c:v>-7.1587116407226805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F2-482A-A45E-0783BFAF36A0}"/>
            </c:ext>
          </c:extLst>
        </c:ser>
        <c:ser>
          <c:idx val="5"/>
          <c:order val="5"/>
          <c:tx>
            <c:strRef>
              <c:f>Theta!$B$50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Theta!$C$50:$AZ$50</c:f>
              <c:numCache>
                <c:formatCode>General</c:formatCode>
                <c:ptCount val="50"/>
                <c:pt idx="0">
                  <c:v>-25.760857213486961</c:v>
                </c:pt>
                <c:pt idx="1">
                  <c:v>-27.51780644102854</c:v>
                </c:pt>
                <c:pt idx="2">
                  <c:v>-25.766066533005393</c:v>
                </c:pt>
                <c:pt idx="3">
                  <c:v>-23.881721945707039</c:v>
                </c:pt>
                <c:pt idx="4">
                  <c:v>-22.236430906152794</c:v>
                </c:pt>
                <c:pt idx="5">
                  <c:v>-20.839734755578309</c:v>
                </c:pt>
                <c:pt idx="6">
                  <c:v>-19.650508771726095</c:v>
                </c:pt>
                <c:pt idx="7">
                  <c:v>-18.627715439039598</c:v>
                </c:pt>
                <c:pt idx="8">
                  <c:v>-17.738208937953065</c:v>
                </c:pt>
                <c:pt idx="9">
                  <c:v>-16.956407583705278</c:v>
                </c:pt>
                <c:pt idx="10">
                  <c:v>-16.262680831430362</c:v>
                </c:pt>
                <c:pt idx="11">
                  <c:v>-15.641859779293421</c:v>
                </c:pt>
                <c:pt idx="12">
                  <c:v>-15.082091023656167</c:v>
                </c:pt>
                <c:pt idx="13">
                  <c:v>-14.573997008105559</c:v>
                </c:pt>
                <c:pt idx="14">
                  <c:v>-14.110067696082009</c:v>
                </c:pt>
                <c:pt idx="15">
                  <c:v>-13.684218495265023</c:v>
                </c:pt>
                <c:pt idx="16">
                  <c:v>-13.291466158634185</c:v>
                </c:pt>
                <c:pt idx="17">
                  <c:v>-12.927688528608495</c:v>
                </c:pt>
                <c:pt idx="18">
                  <c:v>-12.589444320537932</c:v>
                </c:pt>
                <c:pt idx="19">
                  <c:v>-12.273836342607138</c:v>
                </c:pt>
                <c:pt idx="20">
                  <c:v>-11.978406496322346</c:v>
                </c:pt>
                <c:pt idx="21">
                  <c:v>-11.701054297520102</c:v>
                </c:pt>
                <c:pt idx="22">
                  <c:v>-11.439973001602054</c:v>
                </c:pt>
                <c:pt idx="23">
                  <c:v>-11.19359904832954</c:v>
                </c:pt>
                <c:pt idx="24">
                  <c:v>-10.960571688832554</c:v>
                </c:pt>
                <c:pt idx="25">
                  <c:v>-10.739700472848726</c:v>
                </c:pt>
                <c:pt idx="26">
                  <c:v>-10.529938859880156</c:v>
                </c:pt>
                <c:pt idx="27">
                  <c:v>-10.330362643086183</c:v>
                </c:pt>
                <c:pt idx="28">
                  <c:v>-10.140152186484436</c:v>
                </c:pt>
                <c:pt idx="29">
                  <c:v>-9.9585777068946832</c:v>
                </c:pt>
                <c:pt idx="30">
                  <c:v>-9.7849870046266254</c:v>
                </c:pt>
                <c:pt idx="31">
                  <c:v>-9.6187951770589759</c:v>
                </c:pt>
                <c:pt idx="32">
                  <c:v>-9.4594759482467996</c:v>
                </c:pt>
                <c:pt idx="33">
                  <c:v>-9.3065543235945665</c:v>
                </c:pt>
                <c:pt idx="34">
                  <c:v>-9.1596003372765065</c:v>
                </c:pt>
                <c:pt idx="35">
                  <c:v>-9.0182237057271468</c:v>
                </c:pt>
                <c:pt idx="36">
                  <c:v>-8.8820692362927556</c:v>
                </c:pt>
                <c:pt idx="37">
                  <c:v>-8.750812868348941</c:v>
                </c:pt>
                <c:pt idx="38">
                  <c:v>-8.6241582465856279</c:v>
                </c:pt>
                <c:pt idx="39">
                  <c:v>-8.5018337440435978</c:v>
                </c:pt>
                <c:pt idx="40">
                  <c:v>-8.383589866847359</c:v>
                </c:pt>
                <c:pt idx="41">
                  <c:v>-8.2691969841733712</c:v>
                </c:pt>
                <c:pt idx="42">
                  <c:v>-8.1584433364018683</c:v>
                </c:pt>
                <c:pt idx="43">
                  <c:v>-8.0511332820739216</c:v>
                </c:pt>
                <c:pt idx="44">
                  <c:v>-7.9470857505628985</c:v>
                </c:pt>
                <c:pt idx="45">
                  <c:v>-7.8461328725442581</c:v>
                </c:pt>
                <c:pt idx="46">
                  <c:v>-7.7481187646253558</c:v>
                </c:pt>
                <c:pt idx="47">
                  <c:v>-7.6528984480472362</c:v>
                </c:pt>
                <c:pt idx="48">
                  <c:v>-7.5603368843291188</c:v>
                </c:pt>
                <c:pt idx="49">
                  <c:v>-7.470308113200903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F2-482A-A45E-0783BFAF36A0}"/>
            </c:ext>
          </c:extLst>
        </c:ser>
        <c:ser>
          <c:idx val="6"/>
          <c:order val="6"/>
          <c:tx>
            <c:strRef>
              <c:f>Theta!$B$51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Theta!$C$51:$AZ$51</c:f>
              <c:numCache>
                <c:formatCode>General</c:formatCode>
                <c:ptCount val="50"/>
                <c:pt idx="0">
                  <c:v>-42.659189010820356</c:v>
                </c:pt>
                <c:pt idx="1">
                  <c:v>-35.882057413076936</c:v>
                </c:pt>
                <c:pt idx="2">
                  <c:v>-31.026846982490408</c:v>
                </c:pt>
                <c:pt idx="3">
                  <c:v>-27.636031104300724</c:v>
                </c:pt>
                <c:pt idx="4">
                  <c:v>-25.125250421574712</c:v>
                </c:pt>
                <c:pt idx="5">
                  <c:v>-23.175487406837636</c:v>
                </c:pt>
                <c:pt idx="6">
                  <c:v>-21.606087695219326</c:v>
                </c:pt>
                <c:pt idx="7">
                  <c:v>-20.307719503413566</c:v>
                </c:pt>
                <c:pt idx="8">
                  <c:v>-19.210237984369421</c:v>
                </c:pt>
                <c:pt idx="9">
                  <c:v>-18.266429362128555</c:v>
                </c:pt>
                <c:pt idx="10">
                  <c:v>-17.443241869618522</c:v>
                </c:pt>
                <c:pt idx="11">
                  <c:v>-16.716773867799791</c:v>
                </c:pt>
                <c:pt idx="12">
                  <c:v>-16.069263859192208</c:v>
                </c:pt>
                <c:pt idx="13">
                  <c:v>-15.487204901129376</c:v>
                </c:pt>
                <c:pt idx="14">
                  <c:v>-14.960120009657974</c:v>
                </c:pt>
                <c:pt idx="15">
                  <c:v>-14.479741738689986</c:v>
                </c:pt>
                <c:pt idx="16">
                  <c:v>-14.039447493401147</c:v>
                </c:pt>
                <c:pt idx="17">
                  <c:v>-13.633861561151415</c:v>
                </c:pt>
                <c:pt idx="18">
                  <c:v>-13.258568723463835</c:v>
                </c:pt>
                <c:pt idx="19">
                  <c:v>-12.909904306994965</c:v>
                </c:pt>
                <c:pt idx="20">
                  <c:v>-12.584797698110449</c:v>
                </c:pt>
                <c:pt idx="21">
                  <c:v>-12.280653954379238</c:v>
                </c:pt>
                <c:pt idx="22">
                  <c:v>-11.995263022754314</c:v>
                </c:pt>
                <c:pt idx="23">
                  <c:v>-11.72672926947236</c:v>
                </c:pt>
                <c:pt idx="24">
                  <c:v>-11.473416162776065</c:v>
                </c:pt>
                <c:pt idx="25">
                  <c:v>-11.233902403840798</c:v>
                </c:pt>
                <c:pt idx="26">
                  <c:v>-11.00694680803017</c:v>
                </c:pt>
                <c:pt idx="27">
                  <c:v>-10.791459946272768</c:v>
                </c:pt>
                <c:pt idx="28">
                  <c:v>-10.586481060840926</c:v>
                </c:pt>
                <c:pt idx="29">
                  <c:v>-10.391159134160587</c:v>
                </c:pt>
                <c:pt idx="30">
                  <c:v>-10.204737255603614</c:v>
                </c:pt>
                <c:pt idx="31">
                  <c:v>-10.026539628071948</c:v>
                </c:pt>
                <c:pt idx="32">
                  <c:v>-9.8559607032171375</c:v>
                </c:pt>
                <c:pt idx="33">
                  <c:v>-9.6924560450313884</c:v>
                </c:pt>
                <c:pt idx="34">
                  <c:v>-9.5355346059447612</c:v>
                </c:pt>
                <c:pt idx="35">
                  <c:v>-9.384752164347022</c:v>
                </c:pt>
                <c:pt idx="36">
                  <c:v>-9.2397057225804158</c:v>
                </c:pt>
                <c:pt idx="37">
                  <c:v>-9.1000287035300662</c:v>
                </c:pt>
                <c:pt idx="38">
                  <c:v>-8.9653868146238995</c:v>
                </c:pt>
                <c:pt idx="39">
                  <c:v>-8.8354744723097092</c:v>
                </c:pt>
                <c:pt idx="40">
                  <c:v>-8.710011699372231</c:v>
                </c:pt>
                <c:pt idx="41">
                  <c:v>-8.5887414228952732</c:v>
                </c:pt>
                <c:pt idx="42">
                  <c:v>-8.4714271131030205</c:v>
                </c:pt>
                <c:pt idx="43">
                  <c:v>-8.3578507133728284</c:v>
                </c:pt>
                <c:pt idx="44">
                  <c:v>-8.2478108198937985</c:v>
                </c:pt>
                <c:pt idx="45">
                  <c:v>-8.1411210761334658</c:v>
                </c:pt>
                <c:pt idx="46">
                  <c:v>-8.0376087527680777</c:v>
                </c:pt>
                <c:pt idx="47">
                  <c:v>-7.9371134882632131</c:v>
                </c:pt>
                <c:pt idx="48">
                  <c:v>-7.8394861690459443</c:v>
                </c:pt>
                <c:pt idx="49">
                  <c:v>-7.7445879313329113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F2-482A-A45E-0783BFAF36A0}"/>
            </c:ext>
          </c:extLst>
        </c:ser>
        <c:ser>
          <c:idx val="7"/>
          <c:order val="7"/>
          <c:tx>
            <c:strRef>
              <c:f>Theta!$B$52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Theta!$C$52:$AZ$52</c:f>
              <c:numCache>
                <c:formatCode>General</c:formatCode>
                <c:ptCount val="50"/>
                <c:pt idx="0">
                  <c:v>-56.988797295714171</c:v>
                </c:pt>
                <c:pt idx="1">
                  <c:v>-42.002232199350964</c:v>
                </c:pt>
                <c:pt idx="2">
                  <c:v>-34.754930584318473</c:v>
                </c:pt>
                <c:pt idx="3">
                  <c:v>-30.282971482866447</c:v>
                </c:pt>
                <c:pt idx="4">
                  <c:v>-27.170624072175883</c:v>
                </c:pt>
                <c:pt idx="5">
                  <c:v>-24.842484220414807</c:v>
                </c:pt>
                <c:pt idx="6">
                  <c:v>-23.01498345971493</c:v>
                </c:pt>
                <c:pt idx="7">
                  <c:v>-21.530103128320984</c:v>
                </c:pt>
                <c:pt idx="8">
                  <c:v>-20.291901895751916</c:v>
                </c:pt>
                <c:pt idx="9">
                  <c:v>-19.238311230412023</c:v>
                </c:pt>
                <c:pt idx="10">
                  <c:v>-18.32716079733666</c:v>
                </c:pt>
                <c:pt idx="11">
                  <c:v>-17.528660555547631</c:v>
                </c:pt>
                <c:pt idx="12">
                  <c:v>-16.821086556881475</c:v>
                </c:pt>
                <c:pt idx="13">
                  <c:v>-16.188172713460919</c:v>
                </c:pt>
                <c:pt idx="14">
                  <c:v>-15.617464610070501</c:v>
                </c:pt>
                <c:pt idx="15">
                  <c:v>-15.099242266540807</c:v>
                </c:pt>
                <c:pt idx="16">
                  <c:v>-14.625793150155747</c:v>
                </c:pt>
                <c:pt idx="17">
                  <c:v>-14.190908335734292</c:v>
                </c:pt>
                <c:pt idx="18">
                  <c:v>-13.789525124969931</c:v>
                </c:pt>
                <c:pt idx="19">
                  <c:v>-13.417468324076356</c:v>
                </c:pt>
                <c:pt idx="20">
                  <c:v>-13.071259522299954</c:v>
                </c:pt>
                <c:pt idx="21">
                  <c:v>-12.74797420639214</c:v>
                </c:pt>
                <c:pt idx="22">
                  <c:v>-12.445133145924315</c:v>
                </c:pt>
                <c:pt idx="23">
                  <c:v>-12.160618738128898</c:v>
                </c:pt>
                <c:pt idx="24">
                  <c:v>-11.892609803455848</c:v>
                </c:pt>
                <c:pt idx="25">
                  <c:v>-11.63953020633959</c:v>
                </c:pt>
                <c:pt idx="26">
                  <c:v>-11.400007964249276</c:v>
                </c:pt>
                <c:pt idx="27">
                  <c:v>-11.172842404350531</c:v>
                </c:pt>
                <c:pt idx="28">
                  <c:v>-10.956977559936339</c:v>
                </c:pt>
                <c:pt idx="29">
                  <c:v>-10.75148045183958</c:v>
                </c:pt>
                <c:pt idx="30">
                  <c:v>-10.555523228558826</c:v>
                </c:pt>
                <c:pt idx="31">
                  <c:v>-10.368368379877936</c:v>
                </c:pt>
                <c:pt idx="32">
                  <c:v>-10.189356417580287</c:v>
                </c:pt>
                <c:pt idx="33">
                  <c:v>-10.017895550878048</c:v>
                </c:pt>
                <c:pt idx="34">
                  <c:v>-9.8534529855824378</c:v>
                </c:pt>
                <c:pt idx="35">
                  <c:v>-9.6955475534573434</c:v>
                </c:pt>
                <c:pt idx="36">
                  <c:v>-9.5437434377975574</c:v>
                </c:pt>
                <c:pt idx="37">
                  <c:v>-9.3976448075172581</c:v>
                </c:pt>
                <c:pt idx="38">
                  <c:v>-9.2568912081832018</c:v>
                </c:pt>
                <c:pt idx="39">
                  <c:v>-9.1211535868822882</c:v>
                </c:pt>
                <c:pt idx="40">
                  <c:v>-8.990130850360373</c:v>
                </c:pt>
                <c:pt idx="41">
                  <c:v>-8.8635468738469054</c:v>
                </c:pt>
                <c:pt idx="42">
                  <c:v>-8.7411478923992547</c:v>
                </c:pt>
                <c:pt idx="43">
                  <c:v>-8.6227002182307402</c:v>
                </c:pt>
                <c:pt idx="44">
                  <c:v>-8.5079882369174271</c:v>
                </c:pt>
                <c:pt idx="45">
                  <c:v>-8.3968126430647221</c:v>
                </c:pt>
                <c:pt idx="46">
                  <c:v>-8.2889888823098463</c:v>
                </c:pt>
                <c:pt idx="47">
                  <c:v>-8.1843457717150088</c:v>
                </c:pt>
                <c:pt idx="48">
                  <c:v>-8.0827242748859671</c:v>
                </c:pt>
                <c:pt idx="49">
                  <c:v>-7.9839764117022733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F2-482A-A45E-0783BFAF36A0}"/>
            </c:ext>
          </c:extLst>
        </c:ser>
        <c:ser>
          <c:idx val="8"/>
          <c:order val="8"/>
          <c:tx>
            <c:strRef>
              <c:f>Theta!$B$53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Theta!$C$53:$AZ$53</c:f>
              <c:numCache>
                <c:formatCode>General</c:formatCode>
                <c:ptCount val="50"/>
                <c:pt idx="0">
                  <c:v>-63.39630413768927</c:v>
                </c:pt>
                <c:pt idx="1">
                  <c:v>-44.845743285436221</c:v>
                </c:pt>
                <c:pt idx="2">
                  <c:v>-36.603212972555227</c:v>
                </c:pt>
                <c:pt idx="3">
                  <c:v>-31.675548818110336</c:v>
                </c:pt>
                <c:pt idx="4">
                  <c:v>-28.303213701530066</c:v>
                </c:pt>
                <c:pt idx="5">
                  <c:v>-25.806884060072665</c:v>
                </c:pt>
                <c:pt idx="6">
                  <c:v>-23.86135768484684</c:v>
                </c:pt>
                <c:pt idx="7">
                  <c:v>-22.288808038805563</c:v>
                </c:pt>
                <c:pt idx="8">
                  <c:v>-20.982699995118882</c:v>
                </c:pt>
                <c:pt idx="9">
                  <c:v>-19.874795275875112</c:v>
                </c:pt>
                <c:pt idx="10">
                  <c:v>-18.919089230156349</c:v>
                </c:pt>
                <c:pt idx="11">
                  <c:v>-18.083283727500348</c:v>
                </c:pt>
                <c:pt idx="12">
                  <c:v>-17.343944863620592</c:v>
                </c:pt>
                <c:pt idx="13">
                  <c:v>-16.683600183340044</c:v>
                </c:pt>
                <c:pt idx="14">
                  <c:v>-16.088919388282225</c:v>
                </c:pt>
                <c:pt idx="15">
                  <c:v>-15.549530820174439</c:v>
                </c:pt>
                <c:pt idx="16">
                  <c:v>-15.057226756954382</c:v>
                </c:pt>
                <c:pt idx="17">
                  <c:v>-14.605415029476507</c:v>
                </c:pt>
                <c:pt idx="18">
                  <c:v>-14.188731517456521</c:v>
                </c:pt>
                <c:pt idx="19">
                  <c:v>-13.802760554434039</c:v>
                </c:pt>
                <c:pt idx="20">
                  <c:v>-13.443829429286133</c:v>
                </c:pt>
                <c:pt idx="21">
                  <c:v>-13.108854836989757</c:v>
                </c:pt>
                <c:pt idx="22">
                  <c:v>-12.795226435345137</c:v>
                </c:pt>
                <c:pt idx="23">
                  <c:v>-12.500717352967783</c:v>
                </c:pt>
                <c:pt idx="24">
                  <c:v>-12.223414571556798</c:v>
                </c:pt>
                <c:pt idx="25">
                  <c:v>-11.961664166875455</c:v>
                </c:pt>
                <c:pt idx="26">
                  <c:v>-11.714027799114449</c:v>
                </c:pt>
                <c:pt idx="27">
                  <c:v>-11.479247818730913</c:v>
                </c:pt>
                <c:pt idx="28">
                  <c:v>-11.256219040863904</c:v>
                </c:pt>
                <c:pt idx="29">
                  <c:v>-11.043965732139476</c:v>
                </c:pt>
                <c:pt idx="30">
                  <c:v>-10.841622708749757</c:v>
                </c:pt>
                <c:pt idx="31">
                  <c:v>-10.648419704710784</c:v>
                </c:pt>
                <c:pt idx="32">
                  <c:v>-10.463668361746777</c:v>
                </c:pt>
                <c:pt idx="33">
                  <c:v>-10.286751336307949</c:v>
                </c:pt>
                <c:pt idx="34">
                  <c:v>-10.11711312805893</c:v>
                </c:pt>
                <c:pt idx="35">
                  <c:v>-9.9542523171360848</c:v>
                </c:pt>
                <c:pt idx="36">
                  <c:v>-9.7977149612512715</c:v>
                </c:pt>
                <c:pt idx="37">
                  <c:v>-9.6470889531428661</c:v>
                </c:pt>
                <c:pt idx="38">
                  <c:v>-9.5019991774613146</c:v>
                </c:pt>
                <c:pt idx="39">
                  <c:v>-9.3621033365154904</c:v>
                </c:pt>
                <c:pt idx="40">
                  <c:v>-9.2270883383194811</c:v>
                </c:pt>
                <c:pt idx="41">
                  <c:v>-9.0966671595066249</c:v>
                </c:pt>
                <c:pt idx="42">
                  <c:v>-8.970576111003659</c:v>
                </c:pt>
                <c:pt idx="43">
                  <c:v>-8.8485724467080065</c:v>
                </c:pt>
                <c:pt idx="44">
                  <c:v>-8.7304322654170985</c:v>
                </c:pt>
                <c:pt idx="45">
                  <c:v>-8.6159486644065009</c:v>
                </c:pt>
                <c:pt idx="46">
                  <c:v>-8.5049301097213377</c:v>
                </c:pt>
                <c:pt idx="47">
                  <c:v>-8.3971989937268319</c:v>
                </c:pt>
                <c:pt idx="48">
                  <c:v>-8.2925903549903985</c:v>
                </c:pt>
                <c:pt idx="49">
                  <c:v>-8.1909507393213747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F2-482A-A45E-0783BFAF36A0}"/>
            </c:ext>
          </c:extLst>
        </c:ser>
        <c:ser>
          <c:idx val="9"/>
          <c:order val="9"/>
          <c:tx>
            <c:strRef>
              <c:f>Theta!$B$54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Theta!$C$54:$AZ$54</c:f>
              <c:numCache>
                <c:formatCode>General</c:formatCode>
                <c:ptCount val="50"/>
                <c:pt idx="0">
                  <c:v>-60.297148595007229</c:v>
                </c:pt>
                <c:pt idx="1">
                  <c:v>-44.256004503766889</c:v>
                </c:pt>
                <c:pt idx="2">
                  <c:v>-36.567083566374897</c:v>
                </c:pt>
                <c:pt idx="3">
                  <c:v>-31.83797598572885</c:v>
                </c:pt>
                <c:pt idx="4">
                  <c:v>-28.552294599414282</c:v>
                </c:pt>
                <c:pt idx="5">
                  <c:v>-26.09711907291674</c:v>
                </c:pt>
                <c:pt idx="6">
                  <c:v>-24.171313747800138</c:v>
                </c:pt>
                <c:pt idx="7">
                  <c:v>-22.607399948822071</c:v>
                </c:pt>
                <c:pt idx="8">
                  <c:v>-21.303832645306084</c:v>
                </c:pt>
                <c:pt idx="9">
                  <c:v>-20.194985180203791</c:v>
                </c:pt>
                <c:pt idx="10">
                  <c:v>-19.236305022200263</c:v>
                </c:pt>
                <c:pt idx="11">
                  <c:v>-18.396339140700768</c:v>
                </c:pt>
                <c:pt idx="12">
                  <c:v>-17.652162693585176</c:v>
                </c:pt>
                <c:pt idx="13">
                  <c:v>-16.986617774857127</c:v>
                </c:pt>
                <c:pt idx="14">
                  <c:v>-16.386571905591165</c:v>
                </c:pt>
                <c:pt idx="15">
                  <c:v>-15.841779108769648</c:v>
                </c:pt>
                <c:pt idx="16">
                  <c:v>-15.344111686669144</c:v>
                </c:pt>
                <c:pt idx="17">
                  <c:v>-14.88702803913182</c:v>
                </c:pt>
                <c:pt idx="18">
                  <c:v>-14.465195325552072</c:v>
                </c:pt>
                <c:pt idx="19">
                  <c:v>-14.074216387417575</c:v>
                </c:pt>
                <c:pt idx="20">
                  <c:v>-13.710428505360934</c:v>
                </c:pt>
                <c:pt idx="21">
                  <c:v>-13.370752671671081</c:v>
                </c:pt>
                <c:pt idx="22">
                  <c:v>-13.052579042216765</c:v>
                </c:pt>
                <c:pt idx="23">
                  <c:v>-12.753678730648165</c:v>
                </c:pt>
                <c:pt idx="24">
                  <c:v>-12.472135070623986</c:v>
                </c:pt>
                <c:pt idx="25">
                  <c:v>-12.206289462217581</c:v>
                </c:pt>
                <c:pt idx="26">
                  <c:v>-11.954698280095952</c:v>
                </c:pt>
                <c:pt idx="27">
                  <c:v>-11.716098267735001</c:v>
                </c:pt>
                <c:pt idx="28">
                  <c:v>-11.489378510189926</c:v>
                </c:pt>
                <c:pt idx="29">
                  <c:v>-11.27355755624448</c:v>
                </c:pt>
                <c:pt idx="30">
                  <c:v>-11.06776460751634</c:v>
                </c:pt>
                <c:pt idx="31">
                  <c:v>-10.871223946473163</c:v>
                </c:pt>
                <c:pt idx="32">
                  <c:v>-10.683241963986941</c:v>
                </c:pt>
                <c:pt idx="33">
                  <c:v>-10.5031962884336</c:v>
                </c:pt>
                <c:pt idx="34">
                  <c:v>-10.330526625302015</c:v>
                </c:pt>
                <c:pt idx="35">
                  <c:v>-10.164726997918931</c:v>
                </c:pt>
                <c:pt idx="36">
                  <c:v>-10.005339142739745</c:v>
                </c:pt>
                <c:pt idx="37">
                  <c:v>-9.8519468614105286</c:v>
                </c:pt>
                <c:pt idx="38">
                  <c:v>-9.7041711699135522</c:v>
                </c:pt>
                <c:pt idx="39">
                  <c:v>-9.5616661151017581</c:v>
                </c:pt>
                <c:pt idx="40">
                  <c:v>-9.4241151526905664</c:v>
                </c:pt>
                <c:pt idx="41">
                  <c:v>-9.2912279997207978</c:v>
                </c:pt>
                <c:pt idx="42">
                  <c:v>-9.1627378897001233</c:v>
                </c:pt>
                <c:pt idx="43">
                  <c:v>-9.0383991708842757</c:v>
                </c:pt>
                <c:pt idx="44">
                  <c:v>-8.9179851980948346</c:v>
                </c:pt>
                <c:pt idx="45">
                  <c:v>-8.8012864765672845</c:v>
                </c:pt>
                <c:pt idx="46">
                  <c:v>-8.6881090229536309</c:v>
                </c:pt>
                <c:pt idx="47">
                  <c:v>-8.5782729140586014</c:v>
                </c:pt>
                <c:pt idx="48">
                  <c:v>-8.471610998395871</c:v>
                </c:pt>
                <c:pt idx="49">
                  <c:v>-8.367967749390985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F2-482A-A45E-0783BFAF36A0}"/>
            </c:ext>
          </c:extLst>
        </c:ser>
        <c:ser>
          <c:idx val="10"/>
          <c:order val="10"/>
          <c:tx>
            <c:strRef>
              <c:f>Theta!$B$55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Theta!$C$55:$AZ$55</c:f>
              <c:numCache>
                <c:formatCode>General</c:formatCode>
                <c:ptCount val="50"/>
                <c:pt idx="0">
                  <c:v>-50.142753606296324</c:v>
                </c:pt>
                <c:pt idx="1">
                  <c:v>-40.819060655402289</c:v>
                </c:pt>
                <c:pt idx="2">
                  <c:v>-34.910452571598853</c:v>
                </c:pt>
                <c:pt idx="3">
                  <c:v>-30.923294645965072</c:v>
                </c:pt>
                <c:pt idx="4">
                  <c:v>-28.019398712540877</c:v>
                </c:pt>
                <c:pt idx="5">
                  <c:v>-25.786367144633598</c:v>
                </c:pt>
                <c:pt idx="6">
                  <c:v>-24.000622822467601</c:v>
                </c:pt>
                <c:pt idx="7">
                  <c:v>-22.530120311050585</c:v>
                </c:pt>
                <c:pt idx="8">
                  <c:v>-21.29146528439157</c:v>
                </c:pt>
                <c:pt idx="9">
                  <c:v>-20.229142168719267</c:v>
                </c:pt>
                <c:pt idx="10">
                  <c:v>-19.304604615384939</c:v>
                </c:pt>
                <c:pt idx="11">
                  <c:v>-18.490153408458156</c:v>
                </c:pt>
                <c:pt idx="12">
                  <c:v>-17.765308571531641</c:v>
                </c:pt>
                <c:pt idx="13">
                  <c:v>-17.114559817089432</c:v>
                </c:pt>
                <c:pt idx="14">
                  <c:v>-16.525917337130625</c:v>
                </c:pt>
                <c:pt idx="15">
                  <c:v>-15.989947250682926</c:v>
                </c:pt>
                <c:pt idx="16">
                  <c:v>-15.499111311348734</c:v>
                </c:pt>
                <c:pt idx="17">
                  <c:v>-15.047303684995875</c:v>
                </c:pt>
                <c:pt idx="18">
                  <c:v>-14.629518905731945</c:v>
                </c:pt>
                <c:pt idx="19">
                  <c:v>-14.241609278967548</c:v>
                </c:pt>
                <c:pt idx="20">
                  <c:v>-13.880104595512325</c:v>
                </c:pt>
                <c:pt idx="21">
                  <c:v>-13.542076091696579</c:v>
                </c:pt>
                <c:pt idx="22">
                  <c:v>-13.225032373286775</c:v>
                </c:pt>
                <c:pt idx="23">
                  <c:v>-12.926838792551255</c:v>
                </c:pt>
                <c:pt idx="24">
                  <c:v>-12.645654278926534</c:v>
                </c:pt>
                <c:pt idx="25">
                  <c:v>-12.379881327173152</c:v>
                </c:pt>
                <c:pt idx="26">
                  <c:v>-12.128126022344405</c:v>
                </c:pt>
                <c:pt idx="27">
                  <c:v>-11.889165804749853</c:v>
                </c:pt>
                <c:pt idx="28">
                  <c:v>-11.661923263882665</c:v>
                </c:pt>
                <c:pt idx="29">
                  <c:v>-11.445444672340516</c:v>
                </c:pt>
                <c:pt idx="30">
                  <c:v>-11.23888227861074</c:v>
                </c:pt>
                <c:pt idx="31">
                  <c:v>-11.041479604687584</c:v>
                </c:pt>
                <c:pt idx="32">
                  <c:v>-10.852559163800564</c:v>
                </c:pt>
                <c:pt idx="33">
                  <c:v>-10.67151214101259</c:v>
                </c:pt>
                <c:pt idx="34">
                  <c:v>-10.497789676318185</c:v>
                </c:pt>
                <c:pt idx="35">
                  <c:v>-10.330895464123314</c:v>
                </c:pt>
                <c:pt idx="36">
                  <c:v>-10.170379440364316</c:v>
                </c:pt>
                <c:pt idx="37">
                  <c:v>-10.01583237319878</c:v>
                </c:pt>
                <c:pt idx="38">
                  <c:v>-9.8668812082382118</c:v>
                </c:pt>
                <c:pt idx="39">
                  <c:v>-9.7231850469576777</c:v>
                </c:pt>
                <c:pt idx="40">
                  <c:v>-9.5844316589024174</c:v>
                </c:pt>
                <c:pt idx="41">
                  <c:v>-9.4503344458890677</c:v>
                </c:pt>
                <c:pt idx="42">
                  <c:v>-9.3206297905338982</c:v>
                </c:pt>
                <c:pt idx="43">
                  <c:v>-9.1950747328692604</c:v>
                </c:pt>
                <c:pt idx="44">
                  <c:v>-9.0734449280986098</c:v>
                </c:pt>
                <c:pt idx="45">
                  <c:v>-8.9555328461277401</c:v>
                </c:pt>
                <c:pt idx="46">
                  <c:v>-8.8411461797368887</c:v>
                </c:pt>
                <c:pt idx="47">
                  <c:v>-8.7301064333915566</c:v>
                </c:pt>
                <c:pt idx="48">
                  <c:v>-8.6222476689401457</c:v>
                </c:pt>
                <c:pt idx="49">
                  <c:v>-8.5174153879798649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F2-482A-A45E-0783BFAF36A0}"/>
            </c:ext>
          </c:extLst>
        </c:ser>
        <c:ser>
          <c:idx val="11"/>
          <c:order val="11"/>
          <c:tx>
            <c:strRef>
              <c:f>Theta!$B$56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Theta!$C$56:$AZ$56</c:f>
              <c:numCache>
                <c:formatCode>General</c:formatCode>
                <c:ptCount val="50"/>
                <c:pt idx="0">
                  <c:v>-37.179611538369791</c:v>
                </c:pt>
                <c:pt idx="1">
                  <c:v>-35.524768873390926</c:v>
                </c:pt>
                <c:pt idx="2">
                  <c:v>-32.051987164436682</c:v>
                </c:pt>
                <c:pt idx="3">
                  <c:v>-29.160643035246085</c:v>
                </c:pt>
                <c:pt idx="4">
                  <c:v>-26.849218654464391</c:v>
                </c:pt>
                <c:pt idx="5">
                  <c:v>-24.974648625225402</c:v>
                </c:pt>
                <c:pt idx="6">
                  <c:v>-23.422855075226487</c:v>
                </c:pt>
                <c:pt idx="7">
                  <c:v>-22.11358020416958</c:v>
                </c:pt>
                <c:pt idx="8">
                  <c:v>-20.990671802522918</c:v>
                </c:pt>
                <c:pt idx="9">
                  <c:v>-20.014124086157256</c:v>
                </c:pt>
                <c:pt idx="10">
                  <c:v>-19.15477827558173</c:v>
                </c:pt>
                <c:pt idx="11">
                  <c:v>-18.390901400786429</c:v>
                </c:pt>
                <c:pt idx="12">
                  <c:v>-17.705959527074931</c:v>
                </c:pt>
                <c:pt idx="13">
                  <c:v>-17.087140296083405</c:v>
                </c:pt>
                <c:pt idx="14">
                  <c:v>-16.524350952909458</c:v>
                </c:pt>
                <c:pt idx="15">
                  <c:v>-16.009523961549462</c:v>
                </c:pt>
                <c:pt idx="16">
                  <c:v>-15.536125866613002</c:v>
                </c:pt>
                <c:pt idx="17">
                  <c:v>-15.098803306256048</c:v>
                </c:pt>
                <c:pt idx="18">
                  <c:v>-14.693123438880427</c:v>
                </c:pt>
                <c:pt idx="19">
                  <c:v>-14.315380581948105</c:v>
                </c:pt>
                <c:pt idx="20">
                  <c:v>-13.96245008889832</c:v>
                </c:pt>
                <c:pt idx="21">
                  <c:v>-13.631676464221403</c:v>
                </c:pt>
                <c:pt idx="22">
                  <c:v>-13.320786657810714</c:v>
                </c:pt>
                <c:pt idx="23">
                  <c:v>-13.02782212613654</c:v>
                </c:pt>
                <c:pt idx="24">
                  <c:v>-12.751085054606481</c:v>
                </c:pt>
                <c:pt idx="25">
                  <c:v>-12.48909538832423</c:v>
                </c:pt>
                <c:pt idx="26">
                  <c:v>-12.240556199809197</c:v>
                </c:pt>
                <c:pt idx="27">
                  <c:v>-12.004325550641733</c:v>
                </c:pt>
                <c:pt idx="28">
                  <c:v>-11.779393457699104</c:v>
                </c:pt>
                <c:pt idx="29">
                  <c:v>-11.564862906067749</c:v>
                </c:pt>
                <c:pt idx="30">
                  <c:v>-11.35993409547417</c:v>
                </c:pt>
                <c:pt idx="31">
                  <c:v>-11.163891289689605</c:v>
                </c:pt>
                <c:pt idx="32">
                  <c:v>-10.976091775922889</c:v>
                </c:pt>
                <c:pt idx="33">
                  <c:v>-10.795956545773718</c:v>
                </c:pt>
                <c:pt idx="34">
                  <c:v>-10.622962389467148</c:v>
                </c:pt>
                <c:pt idx="35">
                  <c:v>-10.456635157019448</c:v>
                </c:pt>
                <c:pt idx="36">
                  <c:v>-10.29654398819792</c:v>
                </c:pt>
                <c:pt idx="37">
                  <c:v>-10.142296350938341</c:v>
                </c:pt>
                <c:pt idx="38">
                  <c:v>-9.9935337577213215</c:v>
                </c:pt>
                <c:pt idx="39">
                  <c:v>-9.8499280531109576</c:v>
                </c:pt>
                <c:pt idx="40">
                  <c:v>-9.7111781846012253</c:v>
                </c:pt>
                <c:pt idx="41">
                  <c:v>-9.5770073841403622</c:v>
                </c:pt>
                <c:pt idx="42">
                  <c:v>-9.4471607000076538</c:v>
                </c:pt>
                <c:pt idx="43">
                  <c:v>-9.3214028287120225</c:v>
                </c:pt>
                <c:pt idx="44">
                  <c:v>-9.1995162047418244</c:v>
                </c:pt>
                <c:pt idx="45">
                  <c:v>-9.0812993126879107</c:v>
                </c:pt>
                <c:pt idx="46">
                  <c:v>-8.9665651917767413</c:v>
                </c:pt>
                <c:pt idx="47">
                  <c:v>-8.8551401074132041</c:v>
                </c:pt>
                <c:pt idx="48">
                  <c:v>-8.7468623681244839</c:v>
                </c:pt>
                <c:pt idx="49">
                  <c:v>-8.6415812694589675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F2-482A-A45E-0783BFAF36A0}"/>
            </c:ext>
          </c:extLst>
        </c:ser>
        <c:ser>
          <c:idx val="12"/>
          <c:order val="12"/>
          <c:tx>
            <c:strRef>
              <c:f>Theta!$B$57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Theta!$C$57:$AZ$57</c:f>
              <c:numCache>
                <c:formatCode>General</c:formatCode>
                <c:ptCount val="50"/>
                <c:pt idx="0">
                  <c:v>-25.031009743961881</c:v>
                </c:pt>
                <c:pt idx="1">
                  <c:v>-29.416601338679808</c:v>
                </c:pt>
                <c:pt idx="2">
                  <c:v>-28.454424288344111</c:v>
                </c:pt>
                <c:pt idx="3">
                  <c:v>-26.806299936344924</c:v>
                </c:pt>
                <c:pt idx="4">
                  <c:v>-25.203545355676024</c:v>
                </c:pt>
                <c:pt idx="5">
                  <c:v>-23.773232610165483</c:v>
                </c:pt>
                <c:pt idx="6">
                  <c:v>-22.519272061863322</c:v>
                </c:pt>
                <c:pt idx="7">
                  <c:v>-21.419816724109509</c:v>
                </c:pt>
                <c:pt idx="8">
                  <c:v>-20.450449852132799</c:v>
                </c:pt>
                <c:pt idx="9">
                  <c:v>-19.589681622437613</c:v>
                </c:pt>
                <c:pt idx="10">
                  <c:v>-18.819780985547371</c:v>
                </c:pt>
                <c:pt idx="11">
                  <c:v>-18.126395793008371</c:v>
                </c:pt>
                <c:pt idx="12">
                  <c:v>-17.497941157818328</c:v>
                </c:pt>
                <c:pt idx="13">
                  <c:v>-16.925029129455559</c:v>
                </c:pt>
                <c:pt idx="14">
                  <c:v>-16.400000599086255</c:v>
                </c:pt>
                <c:pt idx="15">
                  <c:v>-15.916557824985999</c:v>
                </c:pt>
                <c:pt idx="16">
                  <c:v>-15.469480401357789</c:v>
                </c:pt>
                <c:pt idx="17">
                  <c:v>-15.054406413619335</c:v>
                </c:pt>
                <c:pt idx="18">
                  <c:v>-14.667663361239585</c:v>
                </c:pt>
                <c:pt idx="19">
                  <c:v>-14.306136797937674</c:v>
                </c:pt>
                <c:pt idx="20">
                  <c:v>-13.967167560980085</c:v>
                </c:pt>
                <c:pt idx="21">
                  <c:v>-13.648470756736174</c:v>
                </c:pt>
                <c:pt idx="22">
                  <c:v>-13.34807140148485</c:v>
                </c:pt>
                <c:pt idx="23">
                  <c:v>-13.064252901169976</c:v>
                </c:pt>
                <c:pt idx="24">
                  <c:v>-12.795515501395581</c:v>
                </c:pt>
                <c:pt idx="25">
                  <c:v>-12.540542538004702</c:v>
                </c:pt>
                <c:pt idx="26">
                  <c:v>-12.298172836035805</c:v>
                </c:pt>
                <c:pt idx="27">
                  <c:v>-12.067377989870016</c:v>
                </c:pt>
                <c:pt idx="28">
                  <c:v>-11.847243545642444</c:v>
                </c:pt>
                <c:pt idx="29">
                  <c:v>-11.636953324259768</c:v>
                </c:pt>
                <c:pt idx="30">
                  <c:v>-11.435776288265139</c:v>
                </c:pt>
                <c:pt idx="31">
                  <c:v>-11.243055481817516</c:v>
                </c:pt>
                <c:pt idx="32">
                  <c:v>-11.058198670034947</c:v>
                </c:pt>
                <c:pt idx="33">
                  <c:v>-10.880670379087807</c:v>
                </c:pt>
                <c:pt idx="34">
                  <c:v>-10.709985097021901</c:v>
                </c:pt>
                <c:pt idx="35">
                  <c:v>-10.545701441275074</c:v>
                </c:pt>
                <c:pt idx="36">
                  <c:v>-10.387417135159254</c:v>
                </c:pt>
                <c:pt idx="37">
                  <c:v>-10.234764664417828</c:v>
                </c:pt>
                <c:pt idx="38">
                  <c:v>-10.087407508002123</c:v>
                </c:pt>
                <c:pt idx="39">
                  <c:v>-9.9450368557090769</c:v>
                </c:pt>
                <c:pt idx="40">
                  <c:v>-9.8073687402551872</c:v>
                </c:pt>
                <c:pt idx="41">
                  <c:v>-9.6741415234772887</c:v>
                </c:pt>
                <c:pt idx="42">
                  <c:v>-9.5451136862271149</c:v>
                </c:pt>
                <c:pt idx="43">
                  <c:v>-9.4200618796149946</c:v>
                </c:pt>
                <c:pt idx="44">
                  <c:v>-9.2987792019114028</c:v>
                </c:pt>
                <c:pt idx="45">
                  <c:v>-9.1810736709110472</c:v>
                </c:pt>
                <c:pt idx="46">
                  <c:v>-9.0667668661228102</c:v>
                </c:pt>
                <c:pt idx="47">
                  <c:v>-8.9556927189446895</c:v>
                </c:pt>
                <c:pt idx="48">
                  <c:v>-8.8476964321553329</c:v>
                </c:pt>
                <c:pt idx="49">
                  <c:v>-8.7426335127152388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F2-482A-A45E-0783BFAF36A0}"/>
            </c:ext>
          </c:extLst>
        </c:ser>
        <c:ser>
          <c:idx val="13"/>
          <c:order val="13"/>
          <c:tx>
            <c:strRef>
              <c:f>Theta!$B$58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Theta!$C$58:$AZ$58</c:f>
              <c:numCache>
                <c:formatCode>General</c:formatCode>
                <c:ptCount val="50"/>
                <c:pt idx="0">
                  <c:v>-15.590626428252394</c:v>
                </c:pt>
                <c:pt idx="1">
                  <c:v>-23.350865930149737</c:v>
                </c:pt>
                <c:pt idx="2">
                  <c:v>-24.541966166284343</c:v>
                </c:pt>
                <c:pt idx="3">
                  <c:v>-24.106221782218732</c:v>
                </c:pt>
                <c:pt idx="4">
                  <c:v>-23.241177866799891</c:v>
                </c:pt>
                <c:pt idx="5">
                  <c:v>-22.29261162849717</c:v>
                </c:pt>
                <c:pt idx="6">
                  <c:v>-21.37105221109379</c:v>
                </c:pt>
                <c:pt idx="7">
                  <c:v>-20.510973091767799</c:v>
                </c:pt>
                <c:pt idx="8">
                  <c:v>-19.719919071065551</c:v>
                </c:pt>
                <c:pt idx="9">
                  <c:v>-18.995646941140482</c:v>
                </c:pt>
                <c:pt idx="10">
                  <c:v>-18.332595374331166</c:v>
                </c:pt>
                <c:pt idx="11">
                  <c:v>-17.724425364021762</c:v>
                </c:pt>
                <c:pt idx="12">
                  <c:v>-17.165010906361335</c:v>
                </c:pt>
                <c:pt idx="13">
                  <c:v>-16.648791994805467</c:v>
                </c:pt>
                <c:pt idx="14">
                  <c:v>-16.170861346350339</c:v>
                </c:pt>
                <c:pt idx="15">
                  <c:v>-15.726942579192396</c:v>
                </c:pt>
                <c:pt idx="16">
                  <c:v>-15.313328389546093</c:v>
                </c:pt>
                <c:pt idx="17">
                  <c:v>-14.92680854099507</c:v>
                </c:pt>
                <c:pt idx="18">
                  <c:v>-14.564600199920898</c:v>
                </c:pt>
                <c:pt idx="19">
                  <c:v>-14.224285350952288</c:v>
                </c:pt>
                <c:pt idx="20">
                  <c:v>-13.903756533912599</c:v>
                </c:pt>
                <c:pt idx="21">
                  <c:v>-13.60117064175374</c:v>
                </c:pt>
                <c:pt idx="22">
                  <c:v>-13.314909940703757</c:v>
                </c:pt>
                <c:pt idx="23">
                  <c:v>-13.043549318377602</c:v>
                </c:pt>
                <c:pt idx="24">
                  <c:v>-12.785828795177865</c:v>
                </c:pt>
                <c:pt idx="25">
                  <c:v>-12.540630436247614</c:v>
                </c:pt>
                <c:pt idx="26">
                  <c:v>-12.306958923058673</c:v>
                </c:pt>
                <c:pt idx="27">
                  <c:v>-12.083925162130527</c:v>
                </c:pt>
                <c:pt idx="28">
                  <c:v>-11.870732414150437</c:v>
                </c:pt>
                <c:pt idx="29">
                  <c:v>-11.666664517318097</c:v>
                </c:pt>
                <c:pt idx="30">
                  <c:v>-11.471075854464759</c:v>
                </c:pt>
                <c:pt idx="31">
                  <c:v>-11.283382775989121</c:v>
                </c:pt>
                <c:pt idx="32">
                  <c:v>-11.103056241842586</c:v>
                </c:pt>
                <c:pt idx="33">
                  <c:v>-10.92961548757123</c:v>
                </c:pt>
                <c:pt idx="34">
                  <c:v>-10.762622553463615</c:v>
                </c:pt>
                <c:pt idx="35">
                  <c:v>-10.601677543597267</c:v>
                </c:pt>
                <c:pt idx="36">
                  <c:v>-10.446414504213447</c:v>
                </c:pt>
                <c:pt idx="37">
                  <c:v>-10.296497829354273</c:v>
                </c:pt>
                <c:pt idx="38">
                  <c:v>-10.151619116858223</c:v>
                </c:pt>
                <c:pt idx="39">
                  <c:v>-10.01149441026657</c:v>
                </c:pt>
                <c:pt idx="40">
                  <c:v>-9.8758617724565596</c:v>
                </c:pt>
                <c:pt idx="41">
                  <c:v>-9.7444791452990476</c:v>
                </c:pt>
                <c:pt idx="42">
                  <c:v>-9.6171224566696338</c:v>
                </c:pt>
                <c:pt idx="43">
                  <c:v>-9.4935839419893515</c:v>
                </c:pt>
                <c:pt idx="44">
                  <c:v>-9.3736706523487037</c:v>
                </c:pt>
                <c:pt idx="45">
                  <c:v>-9.2572031253501876</c:v>
                </c:pt>
                <c:pt idx="46">
                  <c:v>-9.1440141982305043</c:v>
                </c:pt>
                <c:pt idx="47">
                  <c:v>-9.0339479457077498</c:v>
                </c:pt>
                <c:pt idx="48">
                  <c:v>-8.9268587274346203</c:v>
                </c:pt>
                <c:pt idx="49">
                  <c:v>-8.8226103320011529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AF2-482A-A45E-0783BFAF36A0}"/>
            </c:ext>
          </c:extLst>
        </c:ser>
        <c:ser>
          <c:idx val="14"/>
          <c:order val="14"/>
          <c:tx>
            <c:strRef>
              <c:f>Theta!$B$59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Theta!$C$59:$AZ$59</c:f>
              <c:numCache>
                <c:formatCode>General</c:formatCode>
                <c:ptCount val="50"/>
                <c:pt idx="0">
                  <c:v>-9.1887743747451296</c:v>
                </c:pt>
                <c:pt idx="1">
                  <c:v>-17.894676280314222</c:v>
                </c:pt>
                <c:pt idx="2">
                  <c:v>-20.653164577005441</c:v>
                </c:pt>
                <c:pt idx="3">
                  <c:v>-21.272314050199732</c:v>
                </c:pt>
                <c:pt idx="4">
                  <c:v>-21.104545901392527</c:v>
                </c:pt>
                <c:pt idx="5">
                  <c:v>-20.634273550891546</c:v>
                </c:pt>
                <c:pt idx="6">
                  <c:v>-20.053886639686645</c:v>
                </c:pt>
                <c:pt idx="7">
                  <c:v>-19.445565881742905</c:v>
                </c:pt>
                <c:pt idx="8">
                  <c:v>-18.845638847862453</c:v>
                </c:pt>
                <c:pt idx="9">
                  <c:v>-18.269944293028711</c:v>
                </c:pt>
                <c:pt idx="10">
                  <c:v>-17.724717561123061</c:v>
                </c:pt>
                <c:pt idx="11">
                  <c:v>-17.211577575410026</c:v>
                </c:pt>
                <c:pt idx="12">
                  <c:v>-16.729925850254141</c:v>
                </c:pt>
                <c:pt idx="13">
                  <c:v>-16.278140883355501</c:v>
                </c:pt>
                <c:pt idx="14">
                  <c:v>-15.854185016188429</c:v>
                </c:pt>
                <c:pt idx="15">
                  <c:v>-15.455914169926055</c:v>
                </c:pt>
                <c:pt idx="16">
                  <c:v>-15.0812332556314</c:v>
                </c:pt>
                <c:pt idx="17">
                  <c:v>-14.728170029668988</c:v>
                </c:pt>
                <c:pt idx="18">
                  <c:v>-14.394905552958663</c:v>
                </c:pt>
                <c:pt idx="19">
                  <c:v>-14.079781705868829</c:v>
                </c:pt>
                <c:pt idx="20">
                  <c:v>-13.781296888421087</c:v>
                </c:pt>
                <c:pt idx="21">
                  <c:v>-13.498096010827467</c:v>
                </c:pt>
                <c:pt idx="22">
                  <c:v>-13.228958120178136</c:v>
                </c:pt>
                <c:pt idx="23">
                  <c:v>-12.972783473034063</c:v>
                </c:pt>
                <c:pt idx="24">
                  <c:v>-12.728581001348065</c:v>
                </c:pt>
                <c:pt idx="25">
                  <c:v>-12.495456634000112</c:v>
                </c:pt>
                <c:pt idx="26">
                  <c:v>-12.272602664925712</c:v>
                </c:pt>
                <c:pt idx="27">
                  <c:v>-12.059288209760899</c:v>
                </c:pt>
                <c:pt idx="28">
                  <c:v>-11.854850714037429</c:v>
                </c:pt>
                <c:pt idx="29">
                  <c:v>-11.658688437268248</c:v>
                </c:pt>
                <c:pt idx="30">
                  <c:v>-11.470253821378344</c:v>
                </c:pt>
                <c:pt idx="31">
                  <c:v>-11.289047648721221</c:v>
                </c:pt>
                <c:pt idx="32">
                  <c:v>-11.114613898461862</c:v>
                </c:pt>
                <c:pt idx="33">
                  <c:v>-10.946535216967959</c:v>
                </c:pt>
                <c:pt idx="34">
                  <c:v>-10.784428926062706</c:v>
                </c:pt>
                <c:pt idx="35">
                  <c:v>-10.627943501451165</c:v>
                </c:pt>
                <c:pt idx="36">
                  <c:v>-10.476755461747068</c:v>
                </c:pt>
                <c:pt idx="37">
                  <c:v>-10.330566616007383</c:v>
                </c:pt>
                <c:pt idx="38">
                  <c:v>-10.189101624411457</c:v>
                </c:pt>
                <c:pt idx="39">
                  <c:v>-10.052105832680864</c:v>
                </c:pt>
                <c:pt idx="40">
                  <c:v>-9.9193433460593479</c:v>
                </c:pt>
                <c:pt idx="41">
                  <c:v>-9.7905953132186987</c:v>
                </c:pt>
                <c:pt idx="42">
                  <c:v>-9.665658394396079</c:v>
                </c:pt>
                <c:pt idx="43">
                  <c:v>-9.5443433914722018</c:v>
                </c:pt>
                <c:pt idx="44">
                  <c:v>-9.4264740206359434</c:v>
                </c:pt>
                <c:pt idx="45">
                  <c:v>-9.3118858108113471</c:v>
                </c:pt>
                <c:pt idx="46">
                  <c:v>-9.200425113203563</c:v>
                </c:pt>
                <c:pt idx="47">
                  <c:v>-9.0919482091995807</c:v>
                </c:pt>
                <c:pt idx="48">
                  <c:v>-8.9863205054806716</c:v>
                </c:pt>
                <c:pt idx="49">
                  <c:v>-8.8834158066028728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F2-482A-A45E-0783BFAF36A0}"/>
            </c:ext>
          </c:extLst>
        </c:ser>
        <c:ser>
          <c:idx val="15"/>
          <c:order val="15"/>
          <c:tx>
            <c:strRef>
              <c:f>Theta!$B$60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Theta!$C$60:$AZ$60</c:f>
              <c:numCache>
                <c:formatCode>General</c:formatCode>
                <c:ptCount val="50"/>
                <c:pt idx="0">
                  <c:v>-5.2890439377254577</c:v>
                </c:pt>
                <c:pt idx="1">
                  <c:v>-13.332205374942728</c:v>
                </c:pt>
                <c:pt idx="2">
                  <c:v>-17.024967162006188</c:v>
                </c:pt>
                <c:pt idx="3">
                  <c:v>-18.471121643499174</c:v>
                </c:pt>
                <c:pt idx="4">
                  <c:v>-18.912408009557282</c:v>
                </c:pt>
                <c:pt idx="5">
                  <c:v>-18.885878161990789</c:v>
                </c:pt>
                <c:pt idx="6">
                  <c:v>-18.634672880701537</c:v>
                </c:pt>
                <c:pt idx="7">
                  <c:v>-18.276137797145815</c:v>
                </c:pt>
                <c:pt idx="8">
                  <c:v>-17.869890472751703</c:v>
                </c:pt>
                <c:pt idx="9">
                  <c:v>-17.447299887840931</c:v>
                </c:pt>
                <c:pt idx="10">
                  <c:v>-17.025166827316227</c:v>
                </c:pt>
                <c:pt idx="11">
                  <c:v>-16.612464114094333</c:v>
                </c:pt>
                <c:pt idx="12">
                  <c:v>-16.21382736124907</c:v>
                </c:pt>
                <c:pt idx="13">
                  <c:v>-15.831438459246291</c:v>
                </c:pt>
                <c:pt idx="14">
                  <c:v>-15.466076210869891</c:v>
                </c:pt>
                <c:pt idx="15">
                  <c:v>-15.117718098288195</c:v>
                </c:pt>
                <c:pt idx="16">
                  <c:v>-14.785891984201413</c:v>
                </c:pt>
                <c:pt idx="17">
                  <c:v>-14.469884575995174</c:v>
                </c:pt>
                <c:pt idx="18">
                  <c:v>-14.168865930641164</c:v>
                </c:pt>
                <c:pt idx="19">
                  <c:v>-13.881963815425213</c:v>
                </c:pt>
                <c:pt idx="20">
                  <c:v>-13.608307679095178</c:v>
                </c:pt>
                <c:pt idx="21">
                  <c:v>-13.347054011372595</c:v>
                </c:pt>
                <c:pt idx="22">
                  <c:v>-13.097400234942182</c:v>
                </c:pt>
                <c:pt idx="23">
                  <c:v>-12.858591525510109</c:v>
                </c:pt>
                <c:pt idx="24">
                  <c:v>-12.629923295302648</c:v>
                </c:pt>
                <c:pt idx="25">
                  <c:v>-12.410741056550959</c:v>
                </c:pt>
                <c:pt idx="26">
                  <c:v>-12.20043874774229</c:v>
                </c:pt>
                <c:pt idx="27">
                  <c:v>-11.998456206655939</c:v>
                </c:pt>
                <c:pt idx="28">
                  <c:v>-11.804276220970079</c:v>
                </c:pt>
                <c:pt idx="29">
                  <c:v>-11.617421425276268</c:v>
                </c:pt>
                <c:pt idx="30">
                  <c:v>-11.437451209287607</c:v>
                </c:pt>
                <c:pt idx="31">
                  <c:v>-11.263958735049146</c:v>
                </c:pt>
                <c:pt idx="32">
                  <c:v>-11.096568117907164</c:v>
                </c:pt>
                <c:pt idx="33">
                  <c:v>-10.934931798477079</c:v>
                </c:pt>
                <c:pt idx="34">
                  <c:v>-10.778728115462652</c:v>
                </c:pt>
                <c:pt idx="35">
                  <c:v>-10.62765907841157</c:v>
                </c:pt>
                <c:pt idx="36">
                  <c:v>-10.481448333049137</c:v>
                </c:pt>
                <c:pt idx="37">
                  <c:v>-10.339839308203356</c:v>
                </c:pt>
                <c:pt idx="38">
                  <c:v>-10.202593531525398</c:v>
                </c:pt>
                <c:pt idx="39">
                  <c:v>-10.069489100560011</c:v>
                </c:pt>
                <c:pt idx="40">
                  <c:v>-9.9403192957948416</c:v>
                </c:pt>
                <c:pt idx="41">
                  <c:v>-9.8148913228279362</c:v>
                </c:pt>
                <c:pt idx="42">
                  <c:v>-9.693025171549067</c:v>
                </c:pt>
                <c:pt idx="43">
                  <c:v>-9.5745525811100674</c:v>
                </c:pt>
                <c:pt idx="44">
                  <c:v>-9.4593161003826225</c:v>
                </c:pt>
                <c:pt idx="45">
                  <c:v>-9.3471682345189411</c:v>
                </c:pt>
                <c:pt idx="46">
                  <c:v>-9.2379706691118653</c:v>
                </c:pt>
                <c:pt idx="47">
                  <c:v>-9.1315935642788695</c:v>
                </c:pt>
                <c:pt idx="48">
                  <c:v>-9.0279149117605026</c:v>
                </c:pt>
                <c:pt idx="49">
                  <c:v>-8.9268199488255018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F2-482A-A45E-0783BFAF36A0}"/>
            </c:ext>
          </c:extLst>
        </c:ser>
        <c:ser>
          <c:idx val="16"/>
          <c:order val="16"/>
          <c:tx>
            <c:strRef>
              <c:f>Theta!$B$61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Theta!$C$61:$AZ$61</c:f>
              <c:numCache>
                <c:formatCode>General</c:formatCode>
                <c:ptCount val="50"/>
                <c:pt idx="0">
                  <c:v>-3.1137977089811937</c:v>
                </c:pt>
                <c:pt idx="1">
                  <c:v>-9.7292738362349063</c:v>
                </c:pt>
                <c:pt idx="2">
                  <c:v>-13.798421926487569</c:v>
                </c:pt>
                <c:pt idx="3">
                  <c:v>-15.821932820036531</c:v>
                </c:pt>
                <c:pt idx="4">
                  <c:v>-16.75732723017083</c:v>
                </c:pt>
                <c:pt idx="5">
                  <c:v>-17.119153950835486</c:v>
                </c:pt>
                <c:pt idx="6">
                  <c:v>-17.169894868486839</c:v>
                </c:pt>
                <c:pt idx="7">
                  <c:v>-17.04802510814012</c:v>
                </c:pt>
                <c:pt idx="8">
                  <c:v>-16.829733710768746</c:v>
                </c:pt>
                <c:pt idx="9">
                  <c:v>-16.558511439780549</c:v>
                </c:pt>
                <c:pt idx="10">
                  <c:v>-16.259912854994347</c:v>
                </c:pt>
                <c:pt idx="11">
                  <c:v>-15.949266238010781</c:v>
                </c:pt>
                <c:pt idx="12">
                  <c:v>-15.635876096492584</c:v>
                </c:pt>
                <c:pt idx="13">
                  <c:v>-15.325402014990074</c:v>
                </c:pt>
                <c:pt idx="14">
                  <c:v>-15.021250010114995</c:v>
                </c:pt>
                <c:pt idx="15">
                  <c:v>-14.725409501687867</c:v>
                </c:pt>
                <c:pt idx="16">
                  <c:v>-14.438969000463024</c:v>
                </c:pt>
                <c:pt idx="17">
                  <c:v>-14.162440340450717</c:v>
                </c:pt>
                <c:pt idx="18">
                  <c:v>-13.895966004276337</c:v>
                </c:pt>
                <c:pt idx="19">
                  <c:v>-13.639453524384995</c:v>
                </c:pt>
                <c:pt idx="20">
                  <c:v>-13.392663542696521</c:v>
                </c:pt>
                <c:pt idx="21">
                  <c:v>-13.15526794325468</c:v>
                </c:pt>
                <c:pt idx="22">
                  <c:v>-12.92688838911973</c:v>
                </c:pt>
                <c:pt idx="23">
                  <c:v>-12.707121877350209</c:v>
                </c:pt>
                <c:pt idx="24">
                  <c:v>-12.495557610462907</c:v>
                </c:pt>
                <c:pt idx="25">
                  <c:v>-12.291788015448429</c:v>
                </c:pt>
                <c:pt idx="26">
                  <c:v>-12.095415796988318</c:v>
                </c:pt>
                <c:pt idx="27">
                  <c:v>-11.906058295033837</c:v>
                </c:pt>
                <c:pt idx="28">
                  <c:v>-11.723350009359041</c:v>
                </c:pt>
                <c:pt idx="29">
                  <c:v>-11.546943881192634</c:v>
                </c:pt>
                <c:pt idx="30">
                  <c:v>-11.376511737953306</c:v>
                </c:pt>
                <c:pt idx="31">
                  <c:v>-11.211744181636522</c:v>
                </c:pt>
                <c:pt idx="32">
                  <c:v>-11.052350115187325</c:v>
                </c:pt>
                <c:pt idx="33">
                  <c:v>-10.898056041549461</c:v>
                </c:pt>
                <c:pt idx="34">
                  <c:v>-10.74860522857837</c:v>
                </c:pt>
                <c:pt idx="35">
                  <c:v>-10.603756803991503</c:v>
                </c:pt>
                <c:pt idx="36">
                  <c:v>-10.463284824175362</c:v>
                </c:pt>
                <c:pt idx="37">
                  <c:v>-10.326977346358611</c:v>
                </c:pt>
                <c:pt idx="38">
                  <c:v>-10.194635523592744</c:v>
                </c:pt>
                <c:pt idx="39">
                  <c:v>-10.066072734905676</c:v>
                </c:pt>
                <c:pt idx="40">
                  <c:v>-9.9411137580356552</c:v>
                </c:pt>
                <c:pt idx="41">
                  <c:v>-9.8195939886990562</c:v>
                </c:pt>
                <c:pt idx="42">
                  <c:v>-9.7013587079622958</c:v>
                </c:pt>
                <c:pt idx="43">
                  <c:v>-9.5862623976665287</c:v>
                </c:pt>
                <c:pt idx="44">
                  <c:v>-9.4741681027752289</c:v>
                </c:pt>
                <c:pt idx="45">
                  <c:v>-9.3649468388211261</c:v>
                </c:pt>
                <c:pt idx="46">
                  <c:v>-9.2584770422082361</c:v>
                </c:pt>
                <c:pt idx="47">
                  <c:v>-9.1546440608955262</c:v>
                </c:pt>
                <c:pt idx="48">
                  <c:v>-9.0533396828929291</c:v>
                </c:pt>
                <c:pt idx="49">
                  <c:v>-8.954461699996104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F2-482A-A45E-0783BFAF36A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62794784"/>
        <c:axId val="1062788064"/>
        <c:axId val="950475824"/>
      </c:surface3DChart>
      <c:catAx>
        <c:axId val="1062794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788064"/>
        <c:crosses val="autoZero"/>
        <c:auto val="1"/>
        <c:lblAlgn val="ctr"/>
        <c:lblOffset val="100"/>
        <c:noMultiLvlLbl val="0"/>
      </c:catAx>
      <c:valAx>
        <c:axId val="106278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794784"/>
        <c:crosses val="autoZero"/>
        <c:crossBetween val="midCat"/>
      </c:valAx>
      <c:serAx>
        <c:axId val="9504758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78806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Vega,</a:t>
            </a:r>
            <a:r>
              <a:rPr lang="en-US" baseline="0"/>
              <a:t> vol=10%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Vega!$B$3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Vega!$C$3:$AZ$3</c:f>
              <c:numCache>
                <c:formatCode>General</c:formatCode>
                <c:ptCount val="50"/>
                <c:pt idx="0">
                  <c:v>3.5345400505313543E-56</c:v>
                </c:pt>
                <c:pt idx="1">
                  <c:v>1.0711882489098271E-27</c:v>
                </c:pt>
                <c:pt idx="2">
                  <c:v>3.6413157535063631E-18</c:v>
                </c:pt>
                <c:pt idx="3">
                  <c:v>2.2138942538625636E-13</c:v>
                </c:pt>
                <c:pt idx="4">
                  <c:v>1.6837357993007972E-10</c:v>
                </c:pt>
                <c:pt idx="5">
                  <c:v>1.4260773627185529E-8</c:v>
                </c:pt>
                <c:pt idx="6">
                  <c:v>3.4375360039163328E-7</c:v>
                </c:pt>
                <c:pt idx="7">
                  <c:v>3.7721952577593393E-6</c:v>
                </c:pt>
                <c:pt idx="8">
                  <c:v>2.4471925152833624E-5</c:v>
                </c:pt>
                <c:pt idx="9">
                  <c:v>1.0981137573304781E-4</c:v>
                </c:pt>
                <c:pt idx="10">
                  <c:v>3.7668072126906602E-4</c:v>
                </c:pt>
                <c:pt idx="11">
                  <c:v>1.0559524012726841E-3</c:v>
                </c:pt>
                <c:pt idx="12">
                  <c:v>2.533735381146692E-3</c:v>
                </c:pt>
                <c:pt idx="13">
                  <c:v>5.3789839988035914E-3</c:v>
                </c:pt>
                <c:pt idx="14">
                  <c:v>1.0351830539978344E-2</c:v>
                </c:pt>
                <c:pt idx="15">
                  <c:v>1.8392417715814631E-2</c:v>
                </c:pt>
                <c:pt idx="16">
                  <c:v>3.0593883627805806E-2</c:v>
                </c:pt>
                <c:pt idx="17">
                  <c:v>4.8164944690727185E-2</c:v>
                </c:pt>
                <c:pt idx="18">
                  <c:v>7.2387629846212637E-2</c:v>
                </c:pt>
                <c:pt idx="19">
                  <c:v>0.10457482945948265</c:v>
                </c:pt>
                <c:pt idx="20">
                  <c:v>0.1460310368668967</c:v>
                </c:pt>
                <c:pt idx="21">
                  <c:v>0.19801837616203033</c:v>
                </c:pt>
                <c:pt idx="22">
                  <c:v>0.26172893026267446</c:v>
                </c:pt>
                <c:pt idx="23">
                  <c:v>0.3382635773263587</c:v>
                </c:pt>
                <c:pt idx="24">
                  <c:v>0.42861700231113781</c:v>
                </c:pt>
                <c:pt idx="25">
                  <c:v>0.53366822948548565</c:v>
                </c:pt>
                <c:pt idx="26">
                  <c:v>0.65417586672553374</c:v>
                </c:pt>
                <c:pt idx="27">
                  <c:v>0.7907772128173437</c:v>
                </c:pt>
                <c:pt idx="28">
                  <c:v>0.94399041311091147</c:v>
                </c:pt>
                <c:pt idx="29">
                  <c:v>1.1142189253647152</c:v>
                </c:pt>
                <c:pt idx="30">
                  <c:v>1.3017576543094442</c:v>
                </c:pt>
                <c:pt idx="31">
                  <c:v>1.5068002156379492</c:v>
                </c:pt>
                <c:pt idx="32">
                  <c:v>1.729446888698172</c:v>
                </c:pt>
                <c:pt idx="33">
                  <c:v>1.9697129070248935</c:v>
                </c:pt>
                <c:pt idx="34">
                  <c:v>2.2275368146000707</c:v>
                </c:pt>
                <c:pt idx="35">
                  <c:v>2.5027886827280579</c:v>
                </c:pt>
                <c:pt idx="36">
                  <c:v>2.7952780380507138</c:v>
                </c:pt>
                <c:pt idx="37">
                  <c:v>3.1047613974873522</c:v>
                </c:pt>
                <c:pt idx="38">
                  <c:v>3.4309493420110035</c:v>
                </c:pt>
                <c:pt idx="39">
                  <c:v>3.7735130894815958</c:v>
                </c:pt>
                <c:pt idx="40">
                  <c:v>4.1320905485187893</c:v>
                </c:pt>
                <c:pt idx="41">
                  <c:v>4.5062918517724926</c:v>
                </c:pt>
                <c:pt idx="42">
                  <c:v>4.8957043789614625</c:v>
                </c:pt>
                <c:pt idx="43">
                  <c:v>5.2998972885783813</c:v>
                </c:pt>
                <c:pt idx="44">
                  <c:v>5.7184255829416593</c:v>
                </c:pt>
                <c:pt idx="45">
                  <c:v>6.1508337349242321</c:v>
                </c:pt>
                <c:pt idx="46">
                  <c:v>6.5966589067051205</c:v>
                </c:pt>
                <c:pt idx="47">
                  <c:v>7.0554337916766299</c:v>
                </c:pt>
                <c:pt idx="48">
                  <c:v>7.5266891105192117</c:v>
                </c:pt>
                <c:pt idx="49">
                  <c:v>8.009955791682934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B2-4A2B-A95B-276FF2EDC4B4}"/>
            </c:ext>
          </c:extLst>
        </c:ser>
        <c:ser>
          <c:idx val="1"/>
          <c:order val="1"/>
          <c:tx>
            <c:strRef>
              <c:f>Vega!$B$4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Vega!$C$4:$AZ$4</c:f>
              <c:numCache>
                <c:formatCode>General</c:formatCode>
                <c:ptCount val="50"/>
                <c:pt idx="0">
                  <c:v>7.890416213822757E-40</c:v>
                </c:pt>
                <c:pt idx="1">
                  <c:v>1.5687681949729988E-19</c:v>
                </c:pt>
                <c:pt idx="2">
                  <c:v>9.9829747601651496E-13</c:v>
                </c:pt>
                <c:pt idx="3">
                  <c:v>2.6261095230764527E-9</c:v>
                </c:pt>
                <c:pt idx="4">
                  <c:v>3.0347470957467801E-7</c:v>
                </c:pt>
                <c:pt idx="5">
                  <c:v>7.3190274501949438E-6</c:v>
                </c:pt>
                <c:pt idx="6">
                  <c:v>7.1926239310786793E-5</c:v>
                </c:pt>
                <c:pt idx="7">
                  <c:v>4.0269999011754239E-4</c:v>
                </c:pt>
                <c:pt idx="8">
                  <c:v>1.547918097964676E-3</c:v>
                </c:pt>
                <c:pt idx="9">
                  <c:v>4.5696305078151925E-3</c:v>
                </c:pt>
                <c:pt idx="10">
                  <c:v>1.1128175902153254E-2</c:v>
                </c:pt>
                <c:pt idx="11">
                  <c:v>2.344817034846838E-2</c:v>
                </c:pt>
                <c:pt idx="12">
                  <c:v>4.4189050398302128E-2</c:v>
                </c:pt>
                <c:pt idx="13">
                  <c:v>7.6265790277428275E-2</c:v>
                </c:pt>
                <c:pt idx="14">
                  <c:v>0.12266273335695645</c:v>
                </c:pt>
                <c:pt idx="15">
                  <c:v>0.18626961730491334</c:v>
                </c:pt>
                <c:pt idx="16">
                  <c:v>0.26975415881413228</c:v>
                </c:pt>
                <c:pt idx="17">
                  <c:v>0.37547451110104479</c:v>
                </c:pt>
                <c:pt idx="18">
                  <c:v>0.50542825590500062</c:v>
                </c:pt>
                <c:pt idx="19">
                  <c:v>0.66123147004512139</c:v>
                </c:pt>
                <c:pt idx="20">
                  <c:v>0.84412060096864827</c:v>
                </c:pt>
                <c:pt idx="21">
                  <c:v>1.054970370802609</c:v>
                </c:pt>
                <c:pt idx="22">
                  <c:v>1.294321995946109</c:v>
                </c:pt>
                <c:pt idx="23">
                  <c:v>1.562417231783213</c:v>
                </c:pt>
                <c:pt idx="24">
                  <c:v>1.8592349033660567</c:v>
                </c:pt>
                <c:pt idx="25">
                  <c:v>2.1845275638357218</c:v>
                </c:pt>
                <c:pt idx="26">
                  <c:v>2.5378567065527999</c:v>
                </c:pt>
                <c:pt idx="27">
                  <c:v>2.9186255551821909</c:v>
                </c:pt>
                <c:pt idx="28">
                  <c:v>3.3261088949697699</c:v>
                </c:pt>
                <c:pt idx="29">
                  <c:v>3.7594797189649576</c:v>
                </c:pt>
                <c:pt idx="30">
                  <c:v>4.2178326741048249</c:v>
                </c:pt>
                <c:pt idx="31">
                  <c:v>4.7002044288847795</c:v>
                </c:pt>
                <c:pt idx="32">
                  <c:v>5.2055911670601072</c:v>
                </c:pt>
                <c:pt idx="33">
                  <c:v>5.7329634562431675</c:v>
                </c:pt>
                <c:pt idx="34">
                  <c:v>6.2812787583328804</c:v>
                </c:pt>
                <c:pt idx="35">
                  <c:v>6.8494918492692074</c:v>
                </c:pt>
                <c:pt idx="36">
                  <c:v>7.4365634050344038</c:v>
                </c:pt>
                <c:pt idx="37">
                  <c:v>8.0414669936561367</c:v>
                </c:pt>
                <c:pt idx="38">
                  <c:v>8.6631946923459608</c:v>
                </c:pt>
                <c:pt idx="39">
                  <c:v>9.3007615269544939</c:v>
                </c:pt>
                <c:pt idx="40">
                  <c:v>9.9532089090341174</c:v>
                </c:pt>
                <c:pt idx="41">
                  <c:v>10.619607224839591</c:v>
                </c:pt>
                <c:pt idx="42">
                  <c:v>11.299057711074672</c:v>
                </c:pt>
                <c:pt idx="43">
                  <c:v>11.99069373436682</c:v>
                </c:pt>
                <c:pt idx="44">
                  <c:v>12.693681575412446</c:v>
                </c:pt>
                <c:pt idx="45">
                  <c:v>13.407220804469231</c:v>
                </c:pt>
                <c:pt idx="46">
                  <c:v>14.130544322293829</c:v>
                </c:pt>
                <c:pt idx="47">
                  <c:v>14.862918129616855</c:v>
                </c:pt>
                <c:pt idx="48">
                  <c:v>15.60364087866923</c:v>
                </c:pt>
                <c:pt idx="49">
                  <c:v>16.352043251983773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B2-4A2B-A95B-276FF2EDC4B4}"/>
            </c:ext>
          </c:extLst>
        </c:ser>
        <c:ser>
          <c:idx val="2"/>
          <c:order val="2"/>
          <c:tx>
            <c:strRef>
              <c:f>Vega!$B$5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Vega!$C$5:$AZ$5</c:f>
              <c:numCache>
                <c:formatCode>General</c:formatCode>
                <c:ptCount val="50"/>
                <c:pt idx="0">
                  <c:v>3.5731275340966639E-27</c:v>
                </c:pt>
                <c:pt idx="1">
                  <c:v>3.2770789744139771E-13</c:v>
                </c:pt>
                <c:pt idx="2">
                  <c:v>1.611318080490904E-8</c:v>
                </c:pt>
                <c:pt idx="3">
                  <c:v>3.7258960102381347E-6</c:v>
                </c:pt>
                <c:pt idx="4">
                  <c:v>1.001009852637357E-4</c:v>
                </c:pt>
                <c:pt idx="5">
                  <c:v>9.1278366359240934E-4</c:v>
                </c:pt>
                <c:pt idx="6">
                  <c:v>4.4780256387178217E-3</c:v>
                </c:pt>
                <c:pt idx="7">
                  <c:v>1.4889989640669957E-2</c:v>
                </c:pt>
                <c:pt idx="8">
                  <c:v>3.8164553510493908E-2</c:v>
                </c:pt>
                <c:pt idx="9">
                  <c:v>8.1469084911896736E-2</c:v>
                </c:pt>
                <c:pt idx="10">
                  <c:v>0.15217221515352261</c:v>
                </c:pt>
                <c:pt idx="11">
                  <c:v>0.25705143405843867</c:v>
                </c:pt>
                <c:pt idx="12">
                  <c:v>0.40178591467787333</c:v>
                </c:pt>
                <c:pt idx="13">
                  <c:v>0.59072209476208237</c:v>
                </c:pt>
                <c:pt idx="14">
                  <c:v>0.82684294691926774</c:v>
                </c:pt>
                <c:pt idx="15">
                  <c:v>1.1118654616929486</c:v>
                </c:pt>
                <c:pt idx="16">
                  <c:v>1.4464052203927722</c:v>
                </c:pt>
                <c:pt idx="17">
                  <c:v>1.8301656234561896</c:v>
                </c:pt>
                <c:pt idx="18">
                  <c:v>2.2621255201846759</c:v>
                </c:pt>
                <c:pt idx="19">
                  <c:v>2.7407108585812248</c:v>
                </c:pt>
                <c:pt idx="20">
                  <c:v>3.2639438508979706</c:v>
                </c:pt>
                <c:pt idx="21">
                  <c:v>3.8295679692905704</c:v>
                </c:pt>
                <c:pt idx="22">
                  <c:v>4.4351497905479444</c:v>
                </c:pt>
                <c:pt idx="23">
                  <c:v>5.0781600498016317</c:v>
                </c:pt>
                <c:pt idx="24">
                  <c:v>5.7560367751484227</c:v>
                </c:pt>
                <c:pt idx="25">
                  <c:v>6.4662334144269735</c:v>
                </c:pt>
                <c:pt idx="26">
                  <c:v>7.2062546576848074</c:v>
                </c:pt>
                <c:pt idx="27">
                  <c:v>7.9736823409372839</c:v>
                </c:pt>
                <c:pt idx="28">
                  <c:v>8.7661934675947304</c:v>
                </c:pt>
                <c:pt idx="29">
                  <c:v>9.5815720461128837</c:v>
                </c:pt>
                <c:pt idx="30">
                  <c:v>10.417716136752871</c:v>
                </c:pt>
                <c:pt idx="31">
                  <c:v>11.272641234781178</c:v>
                </c:pt>
                <c:pt idx="32">
                  <c:v>12.144480892869904</c:v>
                </c:pt>
                <c:pt idx="33">
                  <c:v>13.031485299108935</c:v>
                </c:pt>
                <c:pt idx="34">
                  <c:v>13.932018374543206</c:v>
                </c:pt>
                <c:pt idx="35">
                  <c:v>14.844553830664207</c:v>
                </c:pt>
                <c:pt idx="36">
                  <c:v>15.767670528127569</c:v>
                </c:pt>
                <c:pt idx="37">
                  <c:v>16.700047398889886</c:v>
                </c:pt>
                <c:pt idx="38">
                  <c:v>17.640458131262058</c:v>
                </c:pt>
                <c:pt idx="39">
                  <c:v>18.587765767931</c:v>
                </c:pt>
                <c:pt idx="40">
                  <c:v>19.540917328202259</c:v>
                </c:pt>
                <c:pt idx="41">
                  <c:v>20.498938535422127</c:v>
                </c:pt>
                <c:pt idx="42">
                  <c:v>21.460928707010098</c:v>
                </c:pt>
                <c:pt idx="43">
                  <c:v>22.426055846367113</c:v>
                </c:pt>
                <c:pt idx="44">
                  <c:v>23.393551961991388</c:v>
                </c:pt>
                <c:pt idx="45">
                  <c:v>24.362708628535</c:v>
                </c:pt>
                <c:pt idx="46">
                  <c:v>25.332872796547392</c:v>
                </c:pt>
                <c:pt idx="47">
                  <c:v>26.303442851711882</c:v>
                </c:pt>
                <c:pt idx="48">
                  <c:v>27.273864920031389</c:v>
                </c:pt>
                <c:pt idx="49">
                  <c:v>28.243629412307225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B2-4A2B-A95B-276FF2EDC4B4}"/>
            </c:ext>
          </c:extLst>
        </c:ser>
        <c:ser>
          <c:idx val="3"/>
          <c:order val="3"/>
          <c:tx>
            <c:strRef>
              <c:f>Vega!$B$6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Vega!$C$6:$AZ$6</c:f>
              <c:numCache>
                <c:formatCode>General</c:formatCode>
                <c:ptCount val="50"/>
                <c:pt idx="0">
                  <c:v>1.5544383929947457E-17</c:v>
                </c:pt>
                <c:pt idx="1">
                  <c:v>2.1245091218449448E-8</c:v>
                </c:pt>
                <c:pt idx="2">
                  <c:v>2.5706041526295668E-5</c:v>
                </c:pt>
                <c:pt idx="3">
                  <c:v>9.3245046528342434E-4</c:v>
                </c:pt>
                <c:pt idx="4">
                  <c:v>8.2443811591708625E-3</c:v>
                </c:pt>
                <c:pt idx="5">
                  <c:v>3.5834719979831717E-2</c:v>
                </c:pt>
                <c:pt idx="6">
                  <c:v>0.10355649356059825</c:v>
                </c:pt>
                <c:pt idx="7">
                  <c:v>0.23152671506101979</c:v>
                </c:pt>
                <c:pt idx="8">
                  <c:v>0.43580320477807988</c:v>
                </c:pt>
                <c:pt idx="9">
                  <c:v>0.7267112565693663</c:v>
                </c:pt>
                <c:pt idx="10">
                  <c:v>1.1090350218555134</c:v>
                </c:pt>
                <c:pt idx="11">
                  <c:v>1.5830597373487616</c:v>
                </c:pt>
                <c:pt idx="12">
                  <c:v>2.1458063564000582</c:v>
                </c:pt>
                <c:pt idx="13">
                  <c:v>2.7921438532895584</c:v>
                </c:pt>
                <c:pt idx="14">
                  <c:v>3.5156733889745202</c:v>
                </c:pt>
                <c:pt idx="15">
                  <c:v>4.3093799937730362</c:v>
                </c:pt>
                <c:pt idx="16">
                  <c:v>5.1660867994536339</c:v>
                </c:pt>
                <c:pt idx="17">
                  <c:v>6.0787559071853297</c:v>
                </c:pt>
                <c:pt idx="18">
                  <c:v>7.0406763806705985</c:v>
                </c:pt>
                <c:pt idx="19">
                  <c:v>8.0455722498671669</c:v>
                </c:pt>
                <c:pt idx="20">
                  <c:v>9.08765556363422</c:v>
                </c:pt>
                <c:pt idx="21">
                  <c:v>10.161642815378089</c:v>
                </c:pt>
                <c:pt idx="22">
                  <c:v>11.262747791632322</c:v>
                </c:pt>
                <c:pt idx="23">
                  <c:v>12.386659943151603</c:v>
                </c:pt>
                <c:pt idx="24">
                  <c:v>13.529514505776332</c:v>
                </c:pt>
                <c:pt idx="25">
                  <c:v>14.687858551677197</c:v>
                </c:pt>
                <c:pt idx="26">
                  <c:v>15.858615715165172</c:v>
                </c:pt>
                <c:pt idx="27">
                  <c:v>17.039051341745182</c:v>
                </c:pt>
                <c:pt idx="28">
                  <c:v>18.226739127328027</c:v>
                </c:pt>
                <c:pt idx="29">
                  <c:v>19.419529853530495</c:v>
                </c:pt>
                <c:pt idx="30">
                  <c:v>20.615522518002901</c:v>
                </c:pt>
                <c:pt idx="31">
                  <c:v>21.813037958306698</c:v>
                </c:pt>
                <c:pt idx="32">
                  <c:v>23.010594940630973</c:v>
                </c:pt>
                <c:pt idx="33">
                  <c:v>24.206888607220748</c:v>
                </c:pt>
                <c:pt idx="34">
                  <c:v>25.400771132527318</c:v>
                </c:pt>
                <c:pt idx="35">
                  <c:v>26.591234416517153</c:v>
                </c:pt>
                <c:pt idx="36">
                  <c:v>27.777394636526687</c:v>
                </c:pt>
                <c:pt idx="37">
                  <c:v>28.958478481210001</c:v>
                </c:pt>
                <c:pt idx="38">
                  <c:v>30.133810897880316</c:v>
                </c:pt>
                <c:pt idx="39">
                  <c:v>31.302804195460357</c:v>
                </c:pt>
                <c:pt idx="40">
                  <c:v>32.464948357718306</c:v>
                </c:pt>
                <c:pt idx="41">
                  <c:v>33.619802434420507</c:v>
                </c:pt>
                <c:pt idx="42">
                  <c:v>34.766986890812753</c:v>
                </c:pt>
                <c:pt idx="43">
                  <c:v>35.906176808047675</c:v>
                </c:pt>
                <c:pt idx="44">
                  <c:v>37.037095838571666</c:v>
                </c:pt>
                <c:pt idx="45">
                  <c:v>38.159510830970149</c:v>
                </c:pt>
                <c:pt idx="46">
                  <c:v>39.273227048299738</c:v>
                </c:pt>
                <c:pt idx="47">
                  <c:v>40.378083912534478</c:v>
                </c:pt>
                <c:pt idx="48">
                  <c:v>41.473951215457284</c:v>
                </c:pt>
                <c:pt idx="49">
                  <c:v>42.56072574319996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B2-4A2B-A95B-276FF2EDC4B4}"/>
            </c:ext>
          </c:extLst>
        </c:ser>
        <c:ser>
          <c:idx val="4"/>
          <c:order val="4"/>
          <c:tx>
            <c:strRef>
              <c:f>Vega!$B$7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Vega!$C$7:$AZ$7</c:f>
              <c:numCache>
                <c:formatCode>General</c:formatCode>
                <c:ptCount val="50"/>
                <c:pt idx="0">
                  <c:v>2.1699726533395633E-10</c:v>
                </c:pt>
                <c:pt idx="1">
                  <c:v>7.8107330033859321E-5</c:v>
                </c:pt>
                <c:pt idx="2">
                  <c:v>6.0578597213752057E-3</c:v>
                </c:pt>
                <c:pt idx="3">
                  <c:v>5.5633346565513928E-2</c:v>
                </c:pt>
                <c:pt idx="4">
                  <c:v>0.21573604959593176</c:v>
                </c:pt>
                <c:pt idx="5">
                  <c:v>0.54130101077600301</c:v>
                </c:pt>
                <c:pt idx="6">
                  <c:v>1.0564824233400865</c:v>
                </c:pt>
                <c:pt idx="7">
                  <c:v>1.7597405298560349</c:v>
                </c:pt>
                <c:pt idx="8">
                  <c:v>2.6345645732472471</c:v>
                </c:pt>
                <c:pt idx="9">
                  <c:v>3.6579438640896007</c:v>
                </c:pt>
                <c:pt idx="10">
                  <c:v>4.8055106625940036</c:v>
                </c:pt>
                <c:pt idx="11">
                  <c:v>6.0542107375036078</c:v>
                </c:pt>
                <c:pt idx="12">
                  <c:v>7.3834681318007167</c:v>
                </c:pt>
                <c:pt idx="13">
                  <c:v>8.7755244078076231</c:v>
                </c:pt>
                <c:pt idx="14">
                  <c:v>10.215363705976863</c:v>
                </c:pt>
                <c:pt idx="15">
                  <c:v>11.690453898423167</c:v>
                </c:pt>
                <c:pt idx="16">
                  <c:v>13.190425761886248</c:v>
                </c:pt>
                <c:pt idx="17">
                  <c:v>14.706750941484534</c:v>
                </c:pt>
                <c:pt idx="18">
                  <c:v>16.232446270376744</c:v>
                </c:pt>
                <c:pt idx="19">
                  <c:v>17.761814611091616</c:v>
                </c:pt>
                <c:pt idx="20">
                  <c:v>19.290223678106393</c:v>
                </c:pt>
                <c:pt idx="21">
                  <c:v>20.813920267769092</c:v>
                </c:pt>
                <c:pt idx="22">
                  <c:v>22.329875735574909</c:v>
                </c:pt>
                <c:pt idx="23">
                  <c:v>23.835658209134973</c:v>
                </c:pt>
                <c:pt idx="24">
                  <c:v>25.329327256841214</c:v>
                </c:pt>
                <c:pt idx="25">
                  <c:v>26.809347204871688</c:v>
                </c:pt>
                <c:pt idx="26">
                  <c:v>28.274515834476112</c:v>
                </c:pt>
                <c:pt idx="27">
                  <c:v>29.723905713547193</c:v>
                </c:pt>
                <c:pt idx="28">
                  <c:v>31.156815885262642</c:v>
                </c:pt>
                <c:pt idx="29">
                  <c:v>32.572732040617637</c:v>
                </c:pt>
                <c:pt idx="30">
                  <c:v>33.971293641529726</c:v>
                </c:pt>
                <c:pt idx="31">
                  <c:v>35.352266742804268</c:v>
                </c:pt>
                <c:pt idx="32">
                  <c:v>36.71552149238866</c:v>
                </c:pt>
                <c:pt idx="33">
                  <c:v>38.061013477952898</c:v>
                </c:pt>
                <c:pt idx="34">
                  <c:v>39.388768241210734</c:v>
                </c:pt>
                <c:pt idx="35">
                  <c:v>40.698868405898288</c:v>
                </c:pt>
                <c:pt idx="36">
                  <c:v>41.991442966330723</c:v>
                </c:pt>
                <c:pt idx="37">
                  <c:v>43.266658365415772</c:v>
                </c:pt>
                <c:pt idx="38">
                  <c:v>44.52471105756284</c:v>
                </c:pt>
                <c:pt idx="39">
                  <c:v>45.765821306048551</c:v>
                </c:pt>
                <c:pt idx="40">
                  <c:v>46.990228008479185</c:v>
                </c:pt>
                <c:pt idx="41">
                  <c:v>48.198184379954562</c:v>
                </c:pt>
                <c:pt idx="42">
                  <c:v>49.389954352938304</c:v>
                </c:pt>
                <c:pt idx="43">
                  <c:v>50.565809576925197</c:v>
                </c:pt>
                <c:pt idx="44">
                  <c:v>51.726026920767062</c:v>
                </c:pt>
                <c:pt idx="45">
                  <c:v>52.870886396786894</c:v>
                </c:pt>
                <c:pt idx="46">
                  <c:v>54.000669439221248</c:v>
                </c:pt>
                <c:pt idx="47">
                  <c:v>55.115657480614558</c:v>
                </c:pt>
                <c:pt idx="48">
                  <c:v>56.216130778964526</c:v>
                </c:pt>
                <c:pt idx="49">
                  <c:v>57.302367456033565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B2-4A2B-A95B-276FF2EDC4B4}"/>
            </c:ext>
          </c:extLst>
        </c:ser>
        <c:ser>
          <c:idx val="5"/>
          <c:order val="5"/>
          <c:tx>
            <c:strRef>
              <c:f>Vega!$B$8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Vega!$C$8:$AZ$8</c:f>
              <c:numCache>
                <c:formatCode>General</c:formatCode>
                <c:ptCount val="50"/>
                <c:pt idx="0">
                  <c:v>2.5138056835713343E-5</c:v>
                </c:pt>
                <c:pt idx="1">
                  <c:v>2.6184740803568227E-2</c:v>
                </c:pt>
                <c:pt idx="2">
                  <c:v>0.28940234587731306</c:v>
                </c:pt>
                <c:pt idx="3">
                  <c:v>1.0033008819090707</c:v>
                </c:pt>
                <c:pt idx="4">
                  <c:v>2.1685359940348929</c:v>
                </c:pt>
                <c:pt idx="5">
                  <c:v>3.6850893362287698</c:v>
                </c:pt>
                <c:pt idx="6">
                  <c:v>5.4448949916165557</c:v>
                </c:pt>
                <c:pt idx="7">
                  <c:v>7.3606201526075647</c:v>
                </c:pt>
                <c:pt idx="8">
                  <c:v>9.3682861219506925</c:v>
                </c:pt>
                <c:pt idx="9">
                  <c:v>11.422910084499065</c:v>
                </c:pt>
                <c:pt idx="10">
                  <c:v>13.493491524955594</c:v>
                </c:pt>
                <c:pt idx="11">
                  <c:v>15.558935866720065</c:v>
                </c:pt>
                <c:pt idx="12">
                  <c:v>17.605064516370977</c:v>
                </c:pt>
                <c:pt idx="13">
                  <c:v>19.622505523714572</c:v>
                </c:pt>
                <c:pt idx="14">
                  <c:v>21.605226580724796</c:v>
                </c:pt>
                <c:pt idx="15">
                  <c:v>23.549518060852794</c:v>
                </c:pt>
                <c:pt idx="16">
                  <c:v>25.453286673382276</c:v>
                </c:pt>
                <c:pt idx="17">
                  <c:v>27.315562761401633</c:v>
                </c:pt>
                <c:pt idx="18">
                  <c:v>29.136154869722606</c:v>
                </c:pt>
                <c:pt idx="19">
                  <c:v>30.91540633935762</c:v>
                </c:pt>
                <c:pt idx="20">
                  <c:v>32.654023031188579</c:v>
                </c:pt>
                <c:pt idx="21">
                  <c:v>34.352950973590559</c:v>
                </c:pt>
                <c:pt idx="22">
                  <c:v>36.013289285217944</c:v>
                </c:pt>
                <c:pt idx="23">
                  <c:v>37.636228179922504</c:v>
                </c:pt>
                <c:pt idx="24">
                  <c:v>39.223004908309086</c:v>
                </c:pt>
                <c:pt idx="25">
                  <c:v>40.774872590025311</c:v>
                </c:pt>
                <c:pt idx="26">
                  <c:v>42.293078348475902</c:v>
                </c:pt>
                <c:pt idx="27">
                  <c:v>43.778848179358882</c:v>
                </c:pt>
                <c:pt idx="28">
                  <c:v>45.233376703178656</c:v>
                </c:pt>
                <c:pt idx="29">
                  <c:v>46.657820462206047</c:v>
                </c:pt>
                <c:pt idx="30">
                  <c:v>48.053293787181111</c:v>
                </c:pt>
                <c:pt idx="31">
                  <c:v>49.420866521565671</c:v>
                </c:pt>
                <c:pt idx="32">
                  <c:v>50.761563081184711</c:v>
                </c:pt>
                <c:pt idx="33">
                  <c:v>52.076362465427458</c:v>
                </c:pt>
                <c:pt idx="34">
                  <c:v>53.366198937387779</c:v>
                </c:pt>
                <c:pt idx="35">
                  <c:v>54.631963164708807</c:v>
                </c:pt>
                <c:pt idx="36">
                  <c:v>55.874503667787209</c:v>
                </c:pt>
                <c:pt idx="37">
                  <c:v>57.094628462638489</c:v>
                </c:pt>
                <c:pt idx="38">
                  <c:v>58.293106815906789</c:v>
                </c:pt>
                <c:pt idx="39">
                  <c:v>59.470671051964622</c:v>
                </c:pt>
                <c:pt idx="40">
                  <c:v>60.628018368789895</c:v>
                </c:pt>
                <c:pt idx="41">
                  <c:v>61.765812631792826</c:v>
                </c:pt>
                <c:pt idx="42">
                  <c:v>62.884686124075138</c:v>
                </c:pt>
                <c:pt idx="43">
                  <c:v>63.98524123853732</c:v>
                </c:pt>
                <c:pt idx="44">
                  <c:v>65.068052102396592</c:v>
                </c:pt>
                <c:pt idx="45">
                  <c:v>66.133666128488088</c:v>
                </c:pt>
                <c:pt idx="46">
                  <c:v>67.18260549051783</c:v>
                </c:pt>
                <c:pt idx="47">
                  <c:v>68.215368521475582</c:v>
                </c:pt>
                <c:pt idx="48">
                  <c:v>69.232431035879785</c:v>
                </c:pt>
                <c:pt idx="49">
                  <c:v>70.234247577560907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B2-4A2B-A95B-276FF2EDC4B4}"/>
            </c:ext>
          </c:extLst>
        </c:ser>
        <c:ser>
          <c:idx val="6"/>
          <c:order val="6"/>
          <c:tx>
            <c:strRef>
              <c:f>Vega!$B$9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Vega!$C$9:$AZ$9</c:f>
              <c:numCache>
                <c:formatCode>General</c:formatCode>
                <c:ptCount val="50"/>
                <c:pt idx="0">
                  <c:v>5.161593864477447E-2</c:v>
                </c:pt>
                <c:pt idx="1">
                  <c:v>1.1696837223341141</c:v>
                </c:pt>
                <c:pt idx="2">
                  <c:v>3.6089280836016511</c:v>
                </c:pt>
                <c:pt idx="3">
                  <c:v>6.6105163163659935</c:v>
                </c:pt>
                <c:pt idx="4">
                  <c:v>9.7437835238203103</c:v>
                </c:pt>
                <c:pt idx="5">
                  <c:v>12.828628098948192</c:v>
                </c:pt>
                <c:pt idx="6">
                  <c:v>15.796405593882863</c:v>
                </c:pt>
                <c:pt idx="7">
                  <c:v>18.625614252560368</c:v>
                </c:pt>
                <c:pt idx="8">
                  <c:v>21.314624132838873</c:v>
                </c:pt>
                <c:pt idx="9">
                  <c:v>23.869941692283714</c:v>
                </c:pt>
                <c:pt idx="10">
                  <c:v>26.30103897762735</c:v>
                </c:pt>
                <c:pt idx="11">
                  <c:v>28.618053545414767</c:v>
                </c:pt>
                <c:pt idx="12">
                  <c:v>30.830785659159925</c:v>
                </c:pt>
                <c:pt idx="13">
                  <c:v>32.948295168271379</c:v>
                </c:pt>
                <c:pt idx="14">
                  <c:v>34.978777578326621</c:v>
                </c:pt>
                <c:pt idx="15">
                  <c:v>36.929567949432844</c:v>
                </c:pt>
                <c:pt idx="16">
                  <c:v>38.807199875330056</c:v>
                </c:pt>
                <c:pt idx="17">
                  <c:v>40.61748442388604</c:v>
                </c:pt>
                <c:pt idx="18">
                  <c:v>42.365592327205121</c:v>
                </c:pt>
                <c:pt idx="19">
                  <c:v>44.056131835136</c:v>
                </c:pt>
                <c:pt idx="20">
                  <c:v>45.693219181893703</c:v>
                </c:pt>
                <c:pt idx="21">
                  <c:v>47.280540842203052</c:v>
                </c:pt>
                <c:pt idx="22">
                  <c:v>48.821407806139739</c:v>
                </c:pt>
                <c:pt idx="23">
                  <c:v>50.318802556941918</c:v>
                </c:pt>
                <c:pt idx="24">
                  <c:v>51.775419590136742</c:v>
                </c:pt>
                <c:pt idx="25">
                  <c:v>53.193700319340437</c:v>
                </c:pt>
                <c:pt idx="26">
                  <c:v>54.575863154025932</c:v>
                </c:pt>
                <c:pt idx="27">
                  <c:v>55.923929448570632</c:v>
                </c:pt>
                <c:pt idx="28">
                  <c:v>57.239745930653008</c:v>
                </c:pt>
                <c:pt idx="29">
                  <c:v>58.525004130384147</c:v>
                </c:pt>
                <c:pt idx="30">
                  <c:v>59.781257253580584</c:v>
                </c:pt>
                <c:pt idx="31">
                  <c:v>61.009934874535865</c:v>
                </c:pt>
                <c:pt idx="32">
                  <c:v>62.21235576532419</c:v>
                </c:pt>
                <c:pt idx="33">
                  <c:v>63.389739129222136</c:v>
                </c:pt>
                <c:pt idx="34">
                  <c:v>64.543214464183336</c:v>
                </c:pt>
                <c:pt idx="35">
                  <c:v>65.673830247346118</c:v>
                </c:pt>
                <c:pt idx="36">
                  <c:v>66.782561602269311</c:v>
                </c:pt>
                <c:pt idx="37">
                  <c:v>67.870317086069704</c:v>
                </c:pt>
                <c:pt idx="38">
                  <c:v>68.937944713090332</c:v>
                </c:pt>
                <c:pt idx="39">
                  <c:v>69.986237314498325</c:v>
                </c:pt>
                <c:pt idx="40">
                  <c:v>71.015937318738565</c:v>
                </c:pt>
                <c:pt idx="41">
                  <c:v>72.027741025587659</c:v>
                </c:pt>
                <c:pt idx="42">
                  <c:v>73.022302436280611</c:v>
                </c:pt>
                <c:pt idx="43">
                  <c:v>74.000236693499573</c:v>
                </c:pt>
                <c:pt idx="44">
                  <c:v>74.962123177655172</c:v>
                </c:pt>
                <c:pt idx="45">
                  <c:v>75.908508299643842</c:v>
                </c:pt>
                <c:pt idx="46">
                  <c:v>76.839908024941792</c:v>
                </c:pt>
                <c:pt idx="47">
                  <c:v>77.756810159356135</c:v>
                </c:pt>
                <c:pt idx="48">
                  <c:v>78.659676422865985</c:v>
                </c:pt>
                <c:pt idx="49">
                  <c:v>79.548944334653157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B2-4A2B-A95B-276FF2EDC4B4}"/>
            </c:ext>
          </c:extLst>
        </c:ser>
        <c:ser>
          <c:idx val="7"/>
          <c:order val="7"/>
          <c:tx>
            <c:strRef>
              <c:f>Vega!$B$10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Vega!$C$10:$AZ$10</c:f>
              <c:numCache>
                <c:formatCode>General</c:formatCode>
                <c:ptCount val="50"/>
                <c:pt idx="0">
                  <c:v>3.4693238841801244</c:v>
                </c:pt>
                <c:pt idx="1">
                  <c:v>9.4608178373498504</c:v>
                </c:pt>
                <c:pt idx="2">
                  <c:v>14.411356711779723</c:v>
                </c:pt>
                <c:pt idx="3">
                  <c:v>18.547920454659685</c:v>
                </c:pt>
                <c:pt idx="4">
                  <c:v>22.122153003014301</c:v>
                </c:pt>
                <c:pt idx="5">
                  <c:v>25.291422770740375</c:v>
                </c:pt>
                <c:pt idx="6">
                  <c:v>28.155342127741203</c:v>
                </c:pt>
                <c:pt idx="7">
                  <c:v>30.780115974298614</c:v>
                </c:pt>
                <c:pt idx="8">
                  <c:v>33.21183411449131</c:v>
                </c:pt>
                <c:pt idx="9">
                  <c:v>35.483868952949415</c:v>
                </c:pt>
                <c:pt idx="10">
                  <c:v>37.621187447894798</c:v>
                </c:pt>
                <c:pt idx="11">
                  <c:v>39.642984351545465</c:v>
                </c:pt>
                <c:pt idx="12">
                  <c:v>41.564359019562545</c:v>
                </c:pt>
                <c:pt idx="13">
                  <c:v>43.397422910043034</c:v>
                </c:pt>
                <c:pt idx="14">
                  <c:v>45.152054636509035</c:v>
                </c:pt>
                <c:pt idx="15">
                  <c:v>46.83642914048496</c:v>
                </c:pt>
                <c:pt idx="16">
                  <c:v>48.457397618149542</c:v>
                </c:pt>
                <c:pt idx="17">
                  <c:v>50.020766148463288</c:v>
                </c:pt>
                <c:pt idx="18">
                  <c:v>51.531503909205441</c:v>
                </c:pt>
                <c:pt idx="19">
                  <c:v>52.993901401176288</c:v>
                </c:pt>
                <c:pt idx="20">
                  <c:v>54.411692499018621</c:v>
                </c:pt>
                <c:pt idx="21">
                  <c:v>55.788149877248394</c:v>
                </c:pt>
                <c:pt idx="22">
                  <c:v>57.126160535308848</c:v>
                </c:pt>
                <c:pt idx="23">
                  <c:v>58.428286238036669</c:v>
                </c:pt>
                <c:pt idx="24">
                  <c:v>59.696812375732556</c:v>
                </c:pt>
                <c:pt idx="25">
                  <c:v>60.933787829846494</c:v>
                </c:pt>
                <c:pt idx="26">
                  <c:v>62.141057777732406</c:v>
                </c:pt>
                <c:pt idx="27">
                  <c:v>63.320290899475886</c:v>
                </c:pt>
                <c:pt idx="28">
                  <c:v>64.473002106134402</c:v>
                </c:pt>
                <c:pt idx="29">
                  <c:v>65.600571654605972</c:v>
                </c:pt>
                <c:pt idx="30">
                  <c:v>66.704261324296979</c:v>
                </c:pt>
                <c:pt idx="31">
                  <c:v>67.785228187134834</c:v>
                </c:pt>
                <c:pt idx="32">
                  <c:v>68.84453639286275</c:v>
                </c:pt>
                <c:pt idx="33">
                  <c:v>69.883167307136887</c:v>
                </c:pt>
                <c:pt idx="34">
                  <c:v>70.90202827437426</c:v>
                </c:pt>
                <c:pt idx="35">
                  <c:v>71.901960225955406</c:v>
                </c:pt>
                <c:pt idx="36">
                  <c:v>72.883744313878196</c:v>
                </c:pt>
                <c:pt idx="37">
                  <c:v>73.848107717774937</c:v>
                </c:pt>
                <c:pt idx="38">
                  <c:v>74.795728747460444</c:v>
                </c:pt>
                <c:pt idx="39">
                  <c:v>75.727241342456978</c:v>
                </c:pt>
                <c:pt idx="40">
                  <c:v>76.643239053162489</c:v>
                </c:pt>
                <c:pt idx="41">
                  <c:v>77.544278574663721</c:v>
                </c:pt>
                <c:pt idx="42">
                  <c:v>78.430882893008302</c:v>
                </c:pt>
                <c:pt idx="43">
                  <c:v>79.303544094544449</c:v>
                </c:pt>
                <c:pt idx="44">
                  <c:v>80.162725881323198</c:v>
                </c:pt>
                <c:pt idx="45">
                  <c:v>81.00886582923556</c:v>
                </c:pt>
                <c:pt idx="46">
                  <c:v>81.842377420278837</c:v>
                </c:pt>
                <c:pt idx="47">
                  <c:v>82.663651875926917</c:v>
                </c:pt>
                <c:pt idx="48">
                  <c:v>83.473059814858161</c:v>
                </c:pt>
                <c:pt idx="49">
                  <c:v>84.27095275515498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B2-4A2B-A95B-276FF2EDC4B4}"/>
            </c:ext>
          </c:extLst>
        </c:ser>
        <c:ser>
          <c:idx val="8"/>
          <c:order val="8"/>
          <c:tx>
            <c:strRef>
              <c:f>Vega!$B$11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Vega!$C$11:$AZ$11</c:f>
              <c:numCache>
                <c:formatCode>General</c:formatCode>
                <c:ptCount val="50"/>
                <c:pt idx="0">
                  <c:v>12.60147797002052</c:v>
                </c:pt>
                <c:pt idx="1">
                  <c:v>17.80114349570453</c:v>
                </c:pt>
                <c:pt idx="2">
                  <c:v>21.777345900985232</c:v>
                </c:pt>
                <c:pt idx="3">
                  <c:v>25.118039341108513</c:v>
                </c:pt>
                <c:pt idx="4">
                  <c:v>28.051246304186257</c:v>
                </c:pt>
                <c:pt idx="5">
                  <c:v>30.694050496199523</c:v>
                </c:pt>
                <c:pt idx="6">
                  <c:v>33.116087146110289</c:v>
                </c:pt>
                <c:pt idx="7">
                  <c:v>35.362780796997576</c:v>
                </c:pt>
                <c:pt idx="8">
                  <c:v>37.465720501521851</c:v>
                </c:pt>
                <c:pt idx="9">
                  <c:v>39.447933090788894</c:v>
                </c:pt>
                <c:pt idx="10">
                  <c:v>41.326822430469605</c:v>
                </c:pt>
                <c:pt idx="11">
                  <c:v>43.115925549986159</c:v>
                </c:pt>
                <c:pt idx="12">
                  <c:v>44.826020476317296</c:v>
                </c:pt>
                <c:pt idx="13">
                  <c:v>46.465856361778023</c:v>
                </c:pt>
                <c:pt idx="14">
                  <c:v>48.04265234363627</c:v>
                </c:pt>
                <c:pt idx="15">
                  <c:v>49.562448852082476</c:v>
                </c:pt>
                <c:pt idx="16">
                  <c:v>51.030361458947127</c:v>
                </c:pt>
                <c:pt idx="17">
                  <c:v>52.450768418698225</c:v>
                </c:pt>
                <c:pt idx="18">
                  <c:v>53.827451925573257</c:v>
                </c:pt>
                <c:pt idx="19">
                  <c:v>55.163706332541203</c:v>
                </c:pt>
                <c:pt idx="20">
                  <c:v>56.462422317104412</c:v>
                </c:pt>
                <c:pt idx="21">
                  <c:v>57.726153225694702</c:v>
                </c:pt>
                <c:pt idx="22">
                  <c:v>58.957168005184727</c:v>
                </c:pt>
                <c:pt idx="23">
                  <c:v>60.157493896018295</c:v>
                </c:pt>
                <c:pt idx="24">
                  <c:v>61.32895120970376</c:v>
                </c:pt>
                <c:pt idx="25">
                  <c:v>62.47318191499771</c:v>
                </c:pt>
                <c:pt idx="26">
                  <c:v>63.591673329863738</c:v>
                </c:pt>
                <c:pt idx="27">
                  <c:v>64.685777906754865</c:v>
                </c:pt>
                <c:pt idx="28">
                  <c:v>65.756729871476693</c:v>
                </c:pt>
                <c:pt idx="29">
                  <c:v>66.805659306916709</c:v>
                </c:pt>
                <c:pt idx="30">
                  <c:v>67.833604145869359</c:v>
                </c:pt>
                <c:pt idx="31">
                  <c:v>68.841520440637069</c:v>
                </c:pt>
                <c:pt idx="32">
                  <c:v>69.83029120299814</c:v>
                </c:pt>
                <c:pt idx="33">
                  <c:v>70.800734050757285</c:v>
                </c:pt>
                <c:pt idx="34">
                  <c:v>71.753607852285924</c:v>
                </c:pt>
                <c:pt idx="35">
                  <c:v>72.689618525182638</c:v>
                </c:pt>
                <c:pt idx="36">
                  <c:v>73.609424117207041</c:v>
                </c:pt>
                <c:pt idx="37">
                  <c:v>74.513639275293571</c:v>
                </c:pt>
                <c:pt idx="38">
                  <c:v>75.40283919048666</c:v>
                </c:pt>
                <c:pt idx="39">
                  <c:v>76.277563092104828</c:v>
                </c:pt>
                <c:pt idx="40">
                  <c:v>77.138317352614195</c:v>
                </c:pt>
                <c:pt idx="41">
                  <c:v>77.985578255014715</c:v>
                </c:pt>
                <c:pt idx="42">
                  <c:v>78.819794466581271</c:v>
                </c:pt>
                <c:pt idx="43">
                  <c:v>79.641389256221743</c:v>
                </c:pt>
                <c:pt idx="44">
                  <c:v>80.450762487246323</c:v>
                </c:pt>
                <c:pt idx="45">
                  <c:v>81.248292412783059</c:v>
                </c:pt>
                <c:pt idx="46">
                  <c:v>82.034337297250886</c:v>
                </c:pt>
                <c:pt idx="47">
                  <c:v>82.809236884086985</c:v>
                </c:pt>
                <c:pt idx="48">
                  <c:v>83.573313727207818</c:v>
                </c:pt>
                <c:pt idx="49">
                  <c:v>84.326874401380636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B2-4A2B-A95B-276FF2EDC4B4}"/>
            </c:ext>
          </c:extLst>
        </c:ser>
        <c:ser>
          <c:idx val="9"/>
          <c:order val="9"/>
          <c:tx>
            <c:strRef>
              <c:f>Vega!$B$12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Vega!$C$12:$AZ$12</c:f>
              <c:numCache>
                <c:formatCode>General</c:formatCode>
                <c:ptCount val="50"/>
                <c:pt idx="0">
                  <c:v>3.7403491562746805</c:v>
                </c:pt>
                <c:pt idx="1">
                  <c:v>9.5806705523719611</c:v>
                </c:pt>
                <c:pt idx="2">
                  <c:v>14.29240792467272</c:v>
                </c:pt>
                <c:pt idx="3">
                  <c:v>18.203815041877494</c:v>
                </c:pt>
                <c:pt idx="4">
                  <c:v>21.576180864022362</c:v>
                </c:pt>
                <c:pt idx="5">
                  <c:v>24.564453432089614</c:v>
                </c:pt>
                <c:pt idx="6">
                  <c:v>27.264617640732549</c:v>
                </c:pt>
                <c:pt idx="7">
                  <c:v>29.739757516778266</c:v>
                </c:pt>
                <c:pt idx="8">
                  <c:v>32.033505994229877</c:v>
                </c:pt>
                <c:pt idx="9">
                  <c:v>34.177330202865704</c:v>
                </c:pt>
                <c:pt idx="10">
                  <c:v>36.194711565080681</c:v>
                </c:pt>
                <c:pt idx="11">
                  <c:v>38.103672838318381</c:v>
                </c:pt>
                <c:pt idx="12">
                  <c:v>39.918376239486889</c:v>
                </c:pt>
                <c:pt idx="13">
                  <c:v>41.650173816850952</c:v>
                </c:pt>
                <c:pt idx="14">
                  <c:v>43.30832099928277</c:v>
                </c:pt>
                <c:pt idx="15">
                  <c:v>44.900475351333995</c:v>
                </c:pt>
                <c:pt idx="16">
                  <c:v>46.433053942256869</c:v>
                </c:pt>
                <c:pt idx="17">
                  <c:v>47.911495030242243</c:v>
                </c:pt>
                <c:pt idx="18">
                  <c:v>49.340453387732701</c:v>
                </c:pt>
                <c:pt idx="19">
                  <c:v>50.723948597035545</c:v>
                </c:pt>
                <c:pt idx="20">
                  <c:v>52.065479364344668</c:v>
                </c:pt>
                <c:pt idx="21">
                  <c:v>53.368112850587266</c:v>
                </c:pt>
                <c:pt idx="22">
                  <c:v>54.634555345268737</c:v>
                </c:pt>
                <c:pt idx="23">
                  <c:v>55.867208808878146</c:v>
                </c:pt>
                <c:pt idx="24">
                  <c:v>57.068216572877994</c:v>
                </c:pt>
                <c:pt idx="25">
                  <c:v>58.239500622328421</c:v>
                </c:pt>
                <c:pt idx="26">
                  <c:v>59.382792272920554</c:v>
                </c:pt>
                <c:pt idx="27">
                  <c:v>60.499657612518391</c:v>
                </c:pt>
                <c:pt idx="28">
                  <c:v>61.591518754945547</c:v>
                </c:pt>
                <c:pt idx="29">
                  <c:v>62.659671715556563</c:v>
                </c:pt>
                <c:pt idx="30">
                  <c:v>63.705301540107264</c:v>
                </c:pt>
                <c:pt idx="31">
                  <c:v>64.729495183969419</c:v>
                </c:pt>
                <c:pt idx="32">
                  <c:v>65.733252536157295</c:v>
                </c:pt>
                <c:pt idx="33">
                  <c:v>66.717495903661558</c:v>
                </c:pt>
                <c:pt idx="34">
                  <c:v>67.683078210262011</c:v>
                </c:pt>
                <c:pt idx="35">
                  <c:v>68.630790115984411</c:v>
                </c:pt>
                <c:pt idx="36">
                  <c:v>69.561366225500592</c:v>
                </c:pt>
                <c:pt idx="37">
                  <c:v>70.475490523690794</c:v>
                </c:pt>
                <c:pt idx="38">
                  <c:v>71.373801152528742</c:v>
                </c:pt>
                <c:pt idx="39">
                  <c:v>72.256894624086911</c:v>
                </c:pt>
                <c:pt idx="40">
                  <c:v>73.125329548782361</c:v>
                </c:pt>
                <c:pt idx="41">
                  <c:v>73.979629945215763</c:v>
                </c:pt>
                <c:pt idx="42">
                  <c:v>74.820288187504744</c:v>
                </c:pt>
                <c:pt idx="43">
                  <c:v>75.647767637412372</c:v>
                </c:pt>
                <c:pt idx="44">
                  <c:v>76.462505001458112</c:v>
                </c:pt>
                <c:pt idx="45">
                  <c:v>77.264912447292318</c:v>
                </c:pt>
                <c:pt idx="46">
                  <c:v>78.055379508683174</c:v>
                </c:pt>
                <c:pt idx="47">
                  <c:v>78.834274804336602</c:v>
                </c:pt>
                <c:pt idx="48">
                  <c:v>79.601947592292063</c:v>
                </c:pt>
                <c:pt idx="49">
                  <c:v>80.358729178703996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9B2-4A2B-A95B-276FF2EDC4B4}"/>
            </c:ext>
          </c:extLst>
        </c:ser>
        <c:ser>
          <c:idx val="10"/>
          <c:order val="10"/>
          <c:tx>
            <c:strRef>
              <c:f>Vega!$B$13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Vega!$C$13:$AZ$13</c:f>
              <c:numCache>
                <c:formatCode>General</c:formatCode>
                <c:ptCount val="50"/>
                <c:pt idx="0">
                  <c:v>0.12798321316875713</c:v>
                </c:pt>
                <c:pt idx="1">
                  <c:v>1.7517232418946884</c:v>
                </c:pt>
                <c:pt idx="2">
                  <c:v>4.5686150128548206</c:v>
                </c:pt>
                <c:pt idx="3">
                  <c:v>7.6938968689493707</c:v>
                </c:pt>
                <c:pt idx="4">
                  <c:v>10.783044375026945</c:v>
                </c:pt>
                <c:pt idx="5">
                  <c:v>13.727638643411781</c:v>
                </c:pt>
                <c:pt idx="6">
                  <c:v>16.502382731650936</c:v>
                </c:pt>
                <c:pt idx="7">
                  <c:v>19.11078602147531</c:v>
                </c:pt>
                <c:pt idx="8">
                  <c:v>21.56567544412437</c:v>
                </c:pt>
                <c:pt idx="9">
                  <c:v>23.882000168449917</c:v>
                </c:pt>
                <c:pt idx="10">
                  <c:v>26.07419638964485</c:v>
                </c:pt>
                <c:pt idx="11">
                  <c:v>28.155313000155548</c:v>
                </c:pt>
                <c:pt idx="12">
                  <c:v>30.136826976248095</c:v>
                </c:pt>
                <c:pt idx="13">
                  <c:v>32.028720790413502</c:v>
                </c:pt>
                <c:pt idx="14">
                  <c:v>33.839647041150556</c:v>
                </c:pt>
                <c:pt idx="15">
                  <c:v>35.577109102568514</c:v>
                </c:pt>
                <c:pt idx="16">
                  <c:v>37.247630216817946</c:v>
                </c:pt>
                <c:pt idx="17">
                  <c:v>38.856901983503526</c:v>
                </c:pt>
                <c:pt idx="18">
                  <c:v>40.409910935390435</c:v>
                </c:pt>
                <c:pt idx="19">
                  <c:v>41.911044907526829</c:v>
                </c:pt>
                <c:pt idx="20">
                  <c:v>43.36418186738365</c:v>
                </c:pt>
                <c:pt idx="21">
                  <c:v>44.772763962619067</c:v>
                </c:pt>
                <c:pt idx="22">
                  <c:v>46.139859292688108</c:v>
                </c:pt>
                <c:pt idx="23">
                  <c:v>47.468213556957721</c:v>
                </c:pt>
                <c:pt idx="24">
                  <c:v>48.760293376081911</c:v>
                </c:pt>
                <c:pt idx="25">
                  <c:v>50.018322764053721</c:v>
                </c:pt>
                <c:pt idx="26">
                  <c:v>51.244313956671846</c:v>
                </c:pt>
                <c:pt idx="27">
                  <c:v>52.440093577336398</c:v>
                </c:pt>
                <c:pt idx="28">
                  <c:v>53.607324937792804</c:v>
                </c:pt>
                <c:pt idx="29">
                  <c:v>54.747527123167757</c:v>
                </c:pt>
                <c:pt idx="30">
                  <c:v>55.86209139112588</c:v>
                </c:pt>
                <c:pt idx="31">
                  <c:v>56.952295318731039</c:v>
                </c:pt>
                <c:pt idx="32">
                  <c:v>58.019315053034433</c:v>
                </c:pt>
                <c:pt idx="33">
                  <c:v>59.064235958786874</c:v>
                </c:pt>
                <c:pt idx="34">
                  <c:v>60.088061905980013</c:v>
                </c:pt>
                <c:pt idx="35">
                  <c:v>61.091723398757445</c:v>
                </c:pt>
                <c:pt idx="36">
                  <c:v>62.076084713700979</c:v>
                </c:pt>
                <c:pt idx="37">
                  <c:v>63.041950188075973</c:v>
                </c:pt>
                <c:pt idx="38">
                  <c:v>63.990069776117934</c:v>
                </c:pt>
                <c:pt idx="39">
                  <c:v>64.921143972907117</c:v>
                </c:pt>
                <c:pt idx="40">
                  <c:v>65.835828190055594</c:v>
                </c:pt>
                <c:pt idx="41">
                  <c:v>66.734736654716301</c:v>
                </c:pt>
                <c:pt idx="42">
                  <c:v>67.618445892834899</c:v>
                </c:pt>
                <c:pt idx="43">
                  <c:v>68.487497848717595</c:v>
                </c:pt>
                <c:pt idx="44">
                  <c:v>69.342402685565105</c:v>
                </c:pt>
                <c:pt idx="45">
                  <c:v>70.183641305380377</c:v>
                </c:pt>
                <c:pt idx="46">
                  <c:v>71.011667621383737</c:v>
                </c:pt>
                <c:pt idx="47">
                  <c:v>71.826910611605072</c:v>
                </c:pt>
                <c:pt idx="48">
                  <c:v>72.629776178527749</c:v>
                </c:pt>
                <c:pt idx="49">
                  <c:v>73.420648836426437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9B2-4A2B-A95B-276FF2EDC4B4}"/>
            </c:ext>
          </c:extLst>
        </c:ser>
        <c:ser>
          <c:idx val="11"/>
          <c:order val="11"/>
          <c:tx>
            <c:strRef>
              <c:f>Vega!$B$14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Vega!$C$14:$AZ$14</c:f>
              <c:numCache>
                <c:formatCode>General</c:formatCode>
                <c:ptCount val="50"/>
                <c:pt idx="0">
                  <c:v>6.7367205338682626E-4</c:v>
                </c:pt>
                <c:pt idx="1">
                  <c:v>0.12568601723670436</c:v>
                </c:pt>
                <c:pt idx="2">
                  <c:v>0.78303531906443402</c:v>
                </c:pt>
                <c:pt idx="3">
                  <c:v>2.0381249613524028</c:v>
                </c:pt>
                <c:pt idx="4">
                  <c:v>3.7091844871351078</c:v>
                </c:pt>
                <c:pt idx="5">
                  <c:v>5.6204093069575212</c:v>
                </c:pt>
                <c:pt idx="6">
                  <c:v>7.6514510849957471</c:v>
                </c:pt>
                <c:pt idx="7">
                  <c:v>9.7273487048199279</c:v>
                </c:pt>
                <c:pt idx="8">
                  <c:v>11.803032678147581</c:v>
                </c:pt>
                <c:pt idx="9">
                  <c:v>13.852014243074303</c:v>
                </c:pt>
                <c:pt idx="10">
                  <c:v>15.859186604663719</c:v>
                </c:pt>
                <c:pt idx="11">
                  <c:v>17.816406940221793</c:v>
                </c:pt>
                <c:pt idx="12">
                  <c:v>19.71979942173666</c:v>
                </c:pt>
                <c:pt idx="13">
                  <c:v>21.568099589288472</c:v>
                </c:pt>
                <c:pt idx="14">
                  <c:v>23.361628867219324</c:v>
                </c:pt>
                <c:pt idx="15">
                  <c:v>25.101653725708925</c:v>
                </c:pt>
                <c:pt idx="16">
                  <c:v>26.78998240127396</c:v>
                </c:pt>
                <c:pt idx="17">
                  <c:v>28.428710132794841</c:v>
                </c:pt>
                <c:pt idx="18">
                  <c:v>30.02005830651083</c:v>
                </c:pt>
                <c:pt idx="19">
                  <c:v>31.566273567519069</c:v>
                </c:pt>
                <c:pt idx="20">
                  <c:v>33.069565522997095</c:v>
                </c:pt>
                <c:pt idx="21">
                  <c:v>34.532069413572508</c:v>
                </c:pt>
                <c:pt idx="22">
                  <c:v>35.9558249757835</c:v>
                </c:pt>
                <c:pt idx="23">
                  <c:v>37.342765788450286</c:v>
                </c:pt>
                <c:pt idx="24">
                  <c:v>38.6947153637593</c:v>
                </c:pt>
                <c:pt idx="25">
                  <c:v>40.013387519278972</c:v>
                </c:pt>
                <c:pt idx="26">
                  <c:v>41.300389401760327</c:v>
                </c:pt>
                <c:pt idx="27">
                  <c:v>42.557226084391417</c:v>
                </c:pt>
                <c:pt idx="28">
                  <c:v>43.785306025274295</c:v>
                </c:pt>
                <c:pt idx="29">
                  <c:v>44.985946919602924</c:v>
                </c:pt>
                <c:pt idx="30">
                  <c:v>46.160381642256802</c:v>
                </c:pt>
                <c:pt idx="31">
                  <c:v>47.309764088003746</c:v>
                </c:pt>
                <c:pt idx="32">
                  <c:v>48.435174790831724</c:v>
                </c:pt>
                <c:pt idx="33">
                  <c:v>49.537626253812817</c:v>
                </c:pt>
                <c:pt idx="34">
                  <c:v>50.61806795418557</c:v>
                </c:pt>
                <c:pt idx="35">
                  <c:v>51.677391010320413</c:v>
                </c:pt>
                <c:pt idx="36">
                  <c:v>52.716432511499939</c:v>
                </c:pt>
                <c:pt idx="37">
                  <c:v>53.735979520456866</c:v>
                </c:pt>
                <c:pt idx="38">
                  <c:v>54.736772764048467</c:v>
                </c:pt>
                <c:pt idx="39">
                  <c:v>55.719510030463624</c:v>
                </c:pt>
                <c:pt idx="40">
                  <c:v>56.684849292757477</c:v>
                </c:pt>
                <c:pt idx="41">
                  <c:v>57.63341157883518</c:v>
                </c:pt>
                <c:pt idx="42">
                  <c:v>58.565783607643269</c:v>
                </c:pt>
                <c:pt idx="43">
                  <c:v>59.482520210533906</c:v>
                </c:pt>
                <c:pt idx="44">
                  <c:v>60.384146555720676</c:v>
                </c:pt>
                <c:pt idx="45">
                  <c:v>61.271160192570157</c:v>
                </c:pt>
                <c:pt idx="46">
                  <c:v>62.144032931245839</c:v>
                </c:pt>
                <c:pt idx="47">
                  <c:v>63.003212572001203</c:v>
                </c:pt>
                <c:pt idx="48">
                  <c:v>63.849124497232545</c:v>
                </c:pt>
                <c:pt idx="49">
                  <c:v>64.682173138278301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9B2-4A2B-A95B-276FF2EDC4B4}"/>
            </c:ext>
          </c:extLst>
        </c:ser>
        <c:ser>
          <c:idx val="12"/>
          <c:order val="12"/>
          <c:tx>
            <c:strRef>
              <c:f>Vega!$B$15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Vega!$C$15:$AZ$15</c:f>
              <c:numCache>
                <c:formatCode>General</c:formatCode>
                <c:ptCount val="50"/>
                <c:pt idx="0">
                  <c:v>6.9599615016725046E-7</c:v>
                </c:pt>
                <c:pt idx="1">
                  <c:v>3.9971023224294197E-3</c:v>
                </c:pt>
                <c:pt idx="2">
                  <c:v>7.8044023598122875E-2</c:v>
                </c:pt>
                <c:pt idx="3">
                  <c:v>0.3596160837798813</c:v>
                </c:pt>
                <c:pt idx="4">
                  <c:v>0.92196988092317333</c:v>
                </c:pt>
                <c:pt idx="5">
                  <c:v>1.7556027112756589</c:v>
                </c:pt>
                <c:pt idx="6">
                  <c:v>2.8136724172845149</c:v>
                </c:pt>
                <c:pt idx="7">
                  <c:v>4.0427583513910763</c:v>
                </c:pt>
                <c:pt idx="8">
                  <c:v>5.3953369730765104</c:v>
                </c:pt>
                <c:pt idx="9">
                  <c:v>6.8329969593104831</c:v>
                </c:pt>
                <c:pt idx="10">
                  <c:v>8.3260536913593359</c:v>
                </c:pt>
                <c:pt idx="11">
                  <c:v>9.8520911596772116</c:v>
                </c:pt>
                <c:pt idx="12">
                  <c:v>11.394402597818072</c:v>
                </c:pt>
                <c:pt idx="13">
                  <c:v>12.940644072043922</c:v>
                </c:pt>
                <c:pt idx="14">
                  <c:v>14.481762406610269</c:v>
                </c:pt>
                <c:pt idx="15">
                  <c:v>16.011172331267801</c:v>
                </c:pt>
                <c:pt idx="16">
                  <c:v>17.52413573270298</c:v>
                </c:pt>
                <c:pt idx="17">
                  <c:v>19.017296878528782</c:v>
                </c:pt>
                <c:pt idx="18">
                  <c:v>20.488335215587796</c:v>
                </c:pt>
                <c:pt idx="19">
                  <c:v>21.935705841356853</c:v>
                </c:pt>
                <c:pt idx="20">
                  <c:v>23.358445086374903</c:v>
                </c:pt>
                <c:pt idx="21">
                  <c:v>24.756024440177889</c:v>
                </c:pt>
                <c:pt idx="22">
                  <c:v>26.128240441765367</c:v>
                </c:pt>
                <c:pt idx="23">
                  <c:v>27.475131411731976</c:v>
                </c:pt>
                <c:pt idx="24">
                  <c:v>28.79691429560728</c:v>
                </c:pt>
                <c:pt idx="25">
                  <c:v>30.09393663919229</c:v>
                </c:pt>
                <c:pt idx="26">
                  <c:v>31.366639998343121</c:v>
                </c:pt>
                <c:pt idx="27">
                  <c:v>32.615532025490417</c:v>
                </c:pt>
                <c:pt idx="28">
                  <c:v>33.84116516662602</c:v>
                </c:pt>
                <c:pt idx="29">
                  <c:v>35.044120413266619</c:v>
                </c:pt>
                <c:pt idx="30">
                  <c:v>36.224994932937349</c:v>
                </c:pt>
                <c:pt idx="31">
                  <c:v>37.384392684336028</c:v>
                </c:pt>
                <c:pt idx="32">
                  <c:v>38.522917335092387</c:v>
                </c:pt>
                <c:pt idx="33">
                  <c:v>39.641166959466624</c:v>
                </c:pt>
                <c:pt idx="34">
                  <c:v>40.73973011393997</c:v>
                </c:pt>
                <c:pt idx="35">
                  <c:v>41.819182980312902</c:v>
                </c:pt>
                <c:pt idx="36">
                  <c:v>42.880087335902076</c:v>
                </c:pt>
                <c:pt idx="37">
                  <c:v>43.922989164075119</c:v>
                </c:pt>
                <c:pt idx="38">
                  <c:v>44.948417759659009</c:v>
                </c:pt>
                <c:pt idx="39">
                  <c:v>45.956885215668855</c:v>
                </c:pt>
                <c:pt idx="40">
                  <c:v>46.948886202551655</c:v>
                </c:pt>
                <c:pt idx="41">
                  <c:v>47.924897970395499</c:v>
                </c:pt>
                <c:pt idx="42">
                  <c:v>48.88538051958421</c:v>
                </c:pt>
                <c:pt idx="43">
                  <c:v>49.830776897143188</c:v>
                </c:pt>
                <c:pt idx="44">
                  <c:v>50.761513585252125</c:v>
                </c:pt>
                <c:pt idx="45">
                  <c:v>51.678000955664004</c:v>
                </c:pt>
                <c:pt idx="46">
                  <c:v>52.580633769490447</c:v>
                </c:pt>
                <c:pt idx="47">
                  <c:v>53.469791706333211</c:v>
                </c:pt>
                <c:pt idx="48">
                  <c:v>54.345839910310794</c:v>
                </c:pt>
                <c:pt idx="49">
                  <c:v>55.209129543356326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9B2-4A2B-A95B-276FF2EDC4B4}"/>
            </c:ext>
          </c:extLst>
        </c:ser>
        <c:ser>
          <c:idx val="13"/>
          <c:order val="13"/>
          <c:tx>
            <c:strRef>
              <c:f>Vega!$B$16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Vega!$C$16:$AZ$16</c:f>
              <c:numCache>
                <c:formatCode>General</c:formatCode>
                <c:ptCount val="50"/>
                <c:pt idx="0">
                  <c:v>1.7359781226716246E-10</c:v>
                </c:pt>
                <c:pt idx="1">
                  <c:v>6.2485864027086947E-5</c:v>
                </c:pt>
                <c:pt idx="2">
                  <c:v>4.8462877771001354E-3</c:v>
                </c:pt>
                <c:pt idx="3">
                  <c:v>4.4506677252410989E-2</c:v>
                </c:pt>
                <c:pt idx="4">
                  <c:v>0.17258883967674485</c:v>
                </c:pt>
                <c:pt idx="5">
                  <c:v>0.43304080862080169</c:v>
                </c:pt>
                <c:pt idx="6">
                  <c:v>0.8451859386720677</c:v>
                </c:pt>
                <c:pt idx="7">
                  <c:v>1.4077924238848247</c:v>
                </c:pt>
                <c:pt idx="8">
                  <c:v>2.1076516585977934</c:v>
                </c:pt>
                <c:pt idx="9">
                  <c:v>2.9263550912716783</c:v>
                </c:pt>
                <c:pt idx="10">
                  <c:v>3.8444085300751998</c:v>
                </c:pt>
                <c:pt idx="11">
                  <c:v>4.8433685900028802</c:v>
                </c:pt>
                <c:pt idx="12">
                  <c:v>5.9067745054405689</c:v>
                </c:pt>
                <c:pt idx="13">
                  <c:v>7.0204195262460933</c:v>
                </c:pt>
                <c:pt idx="14">
                  <c:v>8.1722909647814852</c:v>
                </c:pt>
                <c:pt idx="15">
                  <c:v>9.352363118738527</c:v>
                </c:pt>
                <c:pt idx="16">
                  <c:v>10.55234060950899</c:v>
                </c:pt>
                <c:pt idx="17">
                  <c:v>11.765400753187622</c:v>
                </c:pt>
                <c:pt idx="18">
                  <c:v>12.98595701630139</c:v>
                </c:pt>
                <c:pt idx="19">
                  <c:v>14.20945168887329</c:v>
                </c:pt>
                <c:pt idx="20">
                  <c:v>15.432178942485105</c:v>
                </c:pt>
                <c:pt idx="21">
                  <c:v>16.651136214215271</c:v>
                </c:pt>
                <c:pt idx="22">
                  <c:v>17.863900588459924</c:v>
                </c:pt>
                <c:pt idx="23">
                  <c:v>19.06852656730797</c:v>
                </c:pt>
                <c:pt idx="24">
                  <c:v>20.263461805472964</c:v>
                </c:pt>
                <c:pt idx="25">
                  <c:v>21.447477763897343</c:v>
                </c:pt>
                <c:pt idx="26">
                  <c:v>22.619612667580878</c:v>
                </c:pt>
                <c:pt idx="27">
                  <c:v>23.779124570837745</c:v>
                </c:pt>
                <c:pt idx="28">
                  <c:v>24.925452708210102</c:v>
                </c:pt>
                <c:pt idx="29">
                  <c:v>26.058185632494091</c:v>
                </c:pt>
                <c:pt idx="30">
                  <c:v>27.177034913223771</c:v>
                </c:pt>
                <c:pt idx="31">
                  <c:v>28.281813394243404</c:v>
                </c:pt>
                <c:pt idx="32">
                  <c:v>29.372417193910913</c:v>
                </c:pt>
                <c:pt idx="33">
                  <c:v>30.448810782362322</c:v>
                </c:pt>
                <c:pt idx="34">
                  <c:v>31.511014592968571</c:v>
                </c:pt>
                <c:pt idx="35">
                  <c:v>32.559094724718612</c:v>
                </c:pt>
                <c:pt idx="36">
                  <c:v>33.593154373064571</c:v>
                </c:pt>
                <c:pt idx="37">
                  <c:v>34.613326692332606</c:v>
                </c:pt>
                <c:pt idx="38">
                  <c:v>35.619768846050256</c:v>
                </c:pt>
                <c:pt idx="39">
                  <c:v>36.612657044838834</c:v>
                </c:pt>
                <c:pt idx="40">
                  <c:v>37.59218240678333</c:v>
                </c:pt>
                <c:pt idx="41">
                  <c:v>38.558547503963645</c:v>
                </c:pt>
                <c:pt idx="42">
                  <c:v>39.51196348235063</c:v>
                </c:pt>
                <c:pt idx="43">
                  <c:v>40.452647661540155</c:v>
                </c:pt>
                <c:pt idx="44">
                  <c:v>41.380821536613631</c:v>
                </c:pt>
                <c:pt idx="45">
                  <c:v>42.296709117429508</c:v>
                </c:pt>
                <c:pt idx="46">
                  <c:v>43.200535551376994</c:v>
                </c:pt>
                <c:pt idx="47">
                  <c:v>44.09252598449163</c:v>
                </c:pt>
                <c:pt idx="48">
                  <c:v>44.972904623171615</c:v>
                </c:pt>
                <c:pt idx="49">
                  <c:v>45.841893964826845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9B2-4A2B-A95B-276FF2EDC4B4}"/>
            </c:ext>
          </c:extLst>
        </c:ser>
        <c:ser>
          <c:idx val="14"/>
          <c:order val="14"/>
          <c:tx>
            <c:strRef>
              <c:f>Vega!$B$17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Vega!$C$17:$AZ$17</c:f>
              <c:numCache>
                <c:formatCode>General</c:formatCode>
                <c:ptCount val="50"/>
                <c:pt idx="0">
                  <c:v>1.2477221902307152E-14</c:v>
                </c:pt>
                <c:pt idx="1">
                  <c:v>5.2457823818334003E-7</c:v>
                </c:pt>
                <c:pt idx="2">
                  <c:v>1.9887917206308568E-4</c:v>
                </c:pt>
                <c:pt idx="3">
                  <c:v>4.0381373145575378E-3</c:v>
                </c:pt>
                <c:pt idx="4">
                  <c:v>2.5206590353608994E-2</c:v>
                </c:pt>
                <c:pt idx="5">
                  <c:v>8.6868143918896412E-2</c:v>
                </c:pt>
                <c:pt idx="6">
                  <c:v>0.21268370180965993</c:v>
                </c:pt>
                <c:pt idx="7">
                  <c:v>0.41991195969349748</c:v>
                </c:pt>
                <c:pt idx="8">
                  <c:v>0.71754270940931397</c:v>
                </c:pt>
                <c:pt idx="9">
                  <c:v>1.1074379087941753</c:v>
                </c:pt>
                <c:pt idx="10">
                  <c:v>1.5863973751921021</c:v>
                </c:pt>
                <c:pt idx="11">
                  <c:v>2.1481027185301191</c:v>
                </c:pt>
                <c:pt idx="12">
                  <c:v>2.7846059498378364</c:v>
                </c:pt>
                <c:pt idx="13">
                  <c:v>3.4873513482802201</c:v>
                </c:pt>
                <c:pt idx="14">
                  <c:v>4.2478239170198897</c:v>
                </c:pt>
                <c:pt idx="15">
                  <c:v>5.0579302494003882</c:v>
                </c:pt>
                <c:pt idx="16">
                  <c:v>5.9101996273475628</c:v>
                </c:pt>
                <c:pt idx="17">
                  <c:v>6.7978699314465025</c:v>
                </c:pt>
                <c:pt idx="18">
                  <c:v>7.7149029312157689</c:v>
                </c:pt>
                <c:pt idx="19">
                  <c:v>8.6559585117731039</c:v>
                </c:pt>
                <c:pt idx="20">
                  <c:v>9.6163468612222029</c:v>
                </c:pt>
                <c:pt idx="21">
                  <c:v>10.591970534557545</c:v>
                </c:pt>
                <c:pt idx="22">
                  <c:v>11.57926363222289</c:v>
                </c:pt>
                <c:pt idx="23">
                  <c:v>12.575132312224143</c:v>
                </c:pt>
                <c:pt idx="24">
                  <c:v>13.576898939667819</c:v>
                </c:pt>
                <c:pt idx="25">
                  <c:v>14.582250985790861</c:v>
                </c:pt>
                <c:pt idx="26">
                  <c:v>15.589195064513387</c:v>
                </c:pt>
                <c:pt idx="27">
                  <c:v>16.596016069657271</c:v>
                </c:pt>
                <c:pt idx="28">
                  <c:v>17.601241140088202</c:v>
                </c:pt>
                <c:pt idx="29">
                  <c:v>18.603608061799036</c:v>
                </c:pt>
                <c:pt idx="30">
                  <c:v>19.602037669459797</c:v>
                </c:pt>
                <c:pt idx="31">
                  <c:v>20.595609805918933</c:v>
                </c:pt>
                <c:pt idx="32">
                  <c:v>21.583542418028113</c:v>
                </c:pt>
                <c:pt idx="33">
                  <c:v>22.565173399415233</c:v>
                </c:pt>
                <c:pt idx="34">
                  <c:v>23.539944828357218</c:v>
                </c:pt>
                <c:pt idx="35">
                  <c:v>24.507389287473689</c:v>
                </c:pt>
                <c:pt idx="36">
                  <c:v>25.467117989157323</c:v>
                </c:pt>
                <c:pt idx="37">
                  <c:v>26.418810465194621</c:v>
                </c:pt>
                <c:pt idx="38">
                  <c:v>27.362205610331646</c:v>
                </c:pt>
                <c:pt idx="39">
                  <c:v>28.297093897443329</c:v>
                </c:pt>
                <c:pt idx="40">
                  <c:v>29.223310606559266</c:v>
                </c:pt>
                <c:pt idx="41">
                  <c:v>30.140729931498949</c:v>
                </c:pt>
                <c:pt idx="42">
                  <c:v>31.049259846557081</c:v>
                </c:pt>
                <c:pt idx="43">
                  <c:v>31.94883763185544</c:v>
                </c:pt>
                <c:pt idx="44">
                  <c:v>32.839425969937516</c:v>
                </c:pt>
                <c:pt idx="45">
                  <c:v>33.721009538208556</c:v>
                </c:pt>
                <c:pt idx="46">
                  <c:v>34.593592032166065</c:v>
                </c:pt>
                <c:pt idx="47">
                  <c:v>35.4571935632598</c:v>
                </c:pt>
                <c:pt idx="48">
                  <c:v>36.311848382860006</c:v>
                </c:pt>
                <c:pt idx="49">
                  <c:v>37.157602890379685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9B2-4A2B-A95B-276FF2EDC4B4}"/>
            </c:ext>
          </c:extLst>
        </c:ser>
        <c:ser>
          <c:idx val="15"/>
          <c:order val="15"/>
          <c:tx>
            <c:strRef>
              <c:f>Vega!$B$18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Vega!$C$18:$AZ$18</c:f>
              <c:numCache>
                <c:formatCode>General</c:formatCode>
                <c:ptCount val="50"/>
                <c:pt idx="0">
                  <c:v>3.0086617304103603E-19</c:v>
                </c:pt>
                <c:pt idx="1">
                  <c:v>2.5517633623765734E-9</c:v>
                </c:pt>
                <c:pt idx="2">
                  <c:v>5.673847415003242E-6</c:v>
                </c:pt>
                <c:pt idx="3">
                  <c:v>2.7899636340967843E-4</c:v>
                </c:pt>
                <c:pt idx="4">
                  <c:v>2.9607997104108257E-3</c:v>
                </c:pt>
                <c:pt idx="5">
                  <c:v>1.4534734818581387E-2</c:v>
                </c:pt>
                <c:pt idx="6">
                  <c:v>4.5817559828766861E-2</c:v>
                </c:pt>
                <c:pt idx="7">
                  <c:v>0.10933755800638401</c:v>
                </c:pt>
                <c:pt idx="8">
                  <c:v>0.21651121661498729</c:v>
                </c:pt>
                <c:pt idx="9">
                  <c:v>0.3759838968894918</c:v>
                </c:pt>
                <c:pt idx="10">
                  <c:v>0.59315314239828842</c:v>
                </c:pt>
                <c:pt idx="11">
                  <c:v>0.87042373679435603</c:v>
                </c:pt>
                <c:pt idx="12">
                  <c:v>1.2077799647907281</c:v>
                </c:pt>
                <c:pt idx="13">
                  <c:v>1.6034188055297109</c:v>
                </c:pt>
                <c:pt idx="14">
                  <c:v>2.0543195973688433</c:v>
                </c:pt>
                <c:pt idx="15">
                  <c:v>2.5567060247164042</c:v>
                </c:pt>
                <c:pt idx="16">
                  <c:v>3.1063971677367914</c:v>
                </c:pt>
                <c:pt idx="17">
                  <c:v>3.6990616435204879</c:v>
                </c:pt>
                <c:pt idx="18">
                  <c:v>4.3303938633354155</c:v>
                </c:pt>
                <c:pt idx="19">
                  <c:v>4.9962307922047984</c:v>
                </c:pt>
                <c:pt idx="20">
                  <c:v>5.6926248309594163</c:v>
                </c:pt>
                <c:pt idx="21">
                  <c:v>6.4158852278226215</c:v>
                </c:pt>
                <c:pt idx="22">
                  <c:v>7.1625974800343037</c:v>
                </c:pt>
                <c:pt idx="23">
                  <c:v>7.9296277432243691</c:v>
                </c:pt>
                <c:pt idx="24">
                  <c:v>8.71411734878094</c:v>
                </c:pt>
                <c:pt idx="25">
                  <c:v>9.5134710738897823</c:v>
                </c:pt>
                <c:pt idx="26">
                  <c:v>10.325341728336111</c:v>
                </c:pt>
                <c:pt idx="27">
                  <c:v>11.147612832671498</c:v>
                </c:pt>
                <c:pt idx="28">
                  <c:v>11.978380592648342</c:v>
                </c:pt>
                <c:pt idx="29">
                  <c:v>12.815935968047906</c:v>
                </c:pt>
                <c:pt idx="30">
                  <c:v>13.65874734647465</c:v>
                </c:pt>
                <c:pt idx="31">
                  <c:v>14.505444131548403</c:v>
                </c:pt>
                <c:pt idx="32">
                  <c:v>15.354801415936322</c:v>
                </c:pt>
                <c:pt idx="33">
                  <c:v>16.205725815081035</c:v>
                </c:pt>
                <c:pt idx="34">
                  <c:v>17.057242474415357</c:v>
                </c:pt>
                <c:pt idx="35">
                  <c:v>17.90848322200749</c:v>
                </c:pt>
                <c:pt idx="36">
                  <c:v>18.758675813272102</c:v>
                </c:pt>
                <c:pt idx="37">
                  <c:v>19.607134199833613</c:v>
                </c:pt>
                <c:pt idx="38">
                  <c:v>20.453249747432885</c:v>
                </c:pt>
                <c:pt idx="39">
                  <c:v>21.296483325512209</c:v>
                </c:pt>
                <c:pt idx="40">
                  <c:v>22.136358192093887</c:v>
                </c:pt>
                <c:pt idx="41">
                  <c:v>22.972453600589866</c:v>
                </c:pt>
                <c:pt idx="42">
                  <c:v>23.804399059413846</c:v>
                </c:pt>
                <c:pt idx="43">
                  <c:v>24.631869180146499</c:v>
                </c:pt>
                <c:pt idx="44">
                  <c:v>25.454579055136705</c:v>
                </c:pt>
                <c:pt idx="45">
                  <c:v>26.272280110560548</c:v>
                </c:pt>
                <c:pt idx="46">
                  <c:v>27.08475638593254</c:v>
                </c:pt>
                <c:pt idx="47">
                  <c:v>27.891821195778448</c:v>
                </c:pt>
                <c:pt idx="48">
                  <c:v>28.693314133573928</c:v>
                </c:pt>
                <c:pt idx="49">
                  <c:v>29.489098382107919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9B2-4A2B-A95B-276FF2EDC4B4}"/>
            </c:ext>
          </c:extLst>
        </c:ser>
        <c:ser>
          <c:idx val="16"/>
          <c:order val="16"/>
          <c:tx>
            <c:strRef>
              <c:f>Vega!$B$19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Vega!$C$19:$AZ$19</c:f>
              <c:numCache>
                <c:formatCode>General</c:formatCode>
                <c:ptCount val="50"/>
                <c:pt idx="0">
                  <c:v>2.775517486382491E-24</c:v>
                </c:pt>
                <c:pt idx="1">
                  <c:v>7.6802814218935164E-12</c:v>
                </c:pt>
                <c:pt idx="2">
                  <c:v>1.1756275778131188E-7</c:v>
                </c:pt>
                <c:pt idx="3">
                  <c:v>1.5167651578010572E-5</c:v>
                </c:pt>
                <c:pt idx="4">
                  <c:v>2.8713454403848714E-4</c:v>
                </c:pt>
                <c:pt idx="5">
                  <c:v>2.0732639788992959E-3</c:v>
                </c:pt>
                <c:pt idx="6">
                  <c:v>8.6094036586961634E-3</c:v>
                </c:pt>
                <c:pt idx="7">
                  <c:v>2.5262754622349434E-2</c:v>
                </c:pt>
                <c:pt idx="8">
                  <c:v>5.8750695962987917E-2</c:v>
                </c:pt>
                <c:pt idx="9">
                  <c:v>0.116026952425216</c:v>
                </c:pt>
                <c:pt idx="10">
                  <c:v>0.20335632192814179</c:v>
                </c:pt>
                <c:pt idx="11">
                  <c:v>0.3257661114972753</c:v>
                </c:pt>
                <c:pt idx="12">
                  <c:v>0.48684218832936027</c:v>
                </c:pt>
                <c:pt idx="13">
                  <c:v>0.68876165914736542</c:v>
                </c:pt>
                <c:pt idx="14">
                  <c:v>0.93245680955385046</c:v>
                </c:pt>
                <c:pt idx="15">
                  <c:v>1.217833439878055</c:v>
                </c:pt>
                <c:pt idx="16">
                  <c:v>1.5439960523041736</c:v>
                </c:pt>
                <c:pt idx="17">
                  <c:v>1.9094544799601063</c:v>
                </c:pt>
                <c:pt idx="18">
                  <c:v>2.3123009446115605</c:v>
                </c:pt>
                <c:pt idx="19">
                  <c:v>2.7503549451983313</c:v>
                </c:pt>
                <c:pt idx="20">
                  <c:v>3.2212777937511232</c:v>
                </c:pt>
                <c:pt idx="21">
                  <c:v>3.7226605838725733</c:v>
                </c:pt>
                <c:pt idx="22">
                  <c:v>4.2520899598047119</c:v>
                </c:pt>
                <c:pt idx="23">
                  <c:v>4.807195915935135</c:v>
                </c:pt>
                <c:pt idx="24">
                  <c:v>5.3856853896768113</c:v>
                </c:pt>
                <c:pt idx="25">
                  <c:v>5.9853648334585365</c:v>
                </c:pt>
                <c:pt idx="26">
                  <c:v>6.6041543774956892</c:v>
                </c:pt>
                <c:pt idx="27">
                  <c:v>7.2400956767669431</c:v>
                </c:pt>
                <c:pt idx="28">
                  <c:v>7.891355092386223</c:v>
                </c:pt>
                <c:pt idx="29">
                  <c:v>8.5562234911034274</c:v>
                </c:pt>
                <c:pt idx="30">
                  <c:v>9.2331136505373568</c:v>
                </c:pt>
                <c:pt idx="31">
                  <c:v>9.9205560223078901</c:v>
                </c:pt>
                <c:pt idx="32">
                  <c:v>10.617193420311686</c:v>
                </c:pt>
                <c:pt idx="33">
                  <c:v>11.321775057510788</c:v>
                </c:pt>
                <c:pt idx="34">
                  <c:v>12.033150243537415</c:v>
                </c:pt>
                <c:pt idx="35">
                  <c:v>12.750261970260983</c:v>
                </c:pt>
                <c:pt idx="36">
                  <c:v>13.472140547585303</c:v>
                </c:pt>
                <c:pt idx="37">
                  <c:v>14.197897402628854</c:v>
                </c:pt>
                <c:pt idx="38">
                  <c:v>14.926719118508881</c:v>
                </c:pt>
                <c:pt idx="39">
                  <c:v>15.657861761389585</c:v>
                </c:pt>
                <c:pt idx="40">
                  <c:v>16.390645524074944</c:v>
                </c:pt>
                <c:pt idx="41">
                  <c:v>17.124449699521453</c:v>
                </c:pt>
                <c:pt idx="42">
                  <c:v>17.858707986903486</c:v>
                </c:pt>
                <c:pt idx="43">
                  <c:v>18.592904125268181</c:v>
                </c:pt>
                <c:pt idx="44">
                  <c:v>19.326567844587149</c:v>
                </c:pt>
                <c:pt idx="45">
                  <c:v>20.059271120556957</c:v>
                </c:pt>
                <c:pt idx="46">
                  <c:v>20.790624717356469</c:v>
                </c:pt>
                <c:pt idx="47">
                  <c:v>21.520275001396129</c:v>
                </c:pt>
                <c:pt idx="48">
                  <c:v>22.247901008621341</c:v>
                </c:pt>
                <c:pt idx="49">
                  <c:v>22.973211747964488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9B2-4A2B-A95B-276FF2EDC4B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763875808"/>
        <c:axId val="763876288"/>
        <c:axId val="903771328"/>
      </c:surface3DChart>
      <c:catAx>
        <c:axId val="76387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876288"/>
        <c:crosses val="autoZero"/>
        <c:auto val="1"/>
        <c:lblAlgn val="ctr"/>
        <c:lblOffset val="100"/>
        <c:noMultiLvlLbl val="0"/>
      </c:catAx>
      <c:valAx>
        <c:axId val="76387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875808"/>
        <c:crosses val="autoZero"/>
        <c:crossBetween val="midCat"/>
      </c:valAx>
      <c:serAx>
        <c:axId val="9037713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87628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Vega, vol=20%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Vega!$B$24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Vega!$C$24:$AZ$24</c:f>
              <c:numCache>
                <c:formatCode>General</c:formatCode>
                <c:ptCount val="50"/>
                <c:pt idx="0">
                  <c:v>7.5719207361530399E-14</c:v>
                </c:pt>
                <c:pt idx="1">
                  <c:v>1.2945209838663301E-6</c:v>
                </c:pt>
                <c:pt idx="2">
                  <c:v>3.6360095554575423E-4</c:v>
                </c:pt>
                <c:pt idx="3">
                  <c:v>6.3545564110513127E-3</c:v>
                </c:pt>
                <c:pt idx="4">
                  <c:v>3.6252613967393113E-2</c:v>
                </c:pt>
                <c:pt idx="5">
                  <c:v>0.11766116464443548</c:v>
                </c:pt>
                <c:pt idx="6">
                  <c:v>0.27599282724645025</c:v>
                </c:pt>
                <c:pt idx="7">
                  <c:v>0.52767323580423287</c:v>
                </c:pt>
                <c:pt idx="8">
                  <c:v>0.87942603690305643</c:v>
                </c:pt>
                <c:pt idx="9">
                  <c:v>1.3304138019690321</c:v>
                </c:pt>
                <c:pt idx="10">
                  <c:v>1.8748825968944356</c:v>
                </c:pt>
                <c:pt idx="11">
                  <c:v>2.5043561414966375</c:v>
                </c:pt>
                <c:pt idx="12">
                  <c:v>3.2091843952606669</c:v>
                </c:pt>
                <c:pt idx="13">
                  <c:v>3.9795341981090879</c:v>
                </c:pt>
                <c:pt idx="14">
                  <c:v>4.8059720345238039</c:v>
                </c:pt>
                <c:pt idx="15">
                  <c:v>5.6797731675944894</c:v>
                </c:pt>
                <c:pt idx="16">
                  <c:v>6.5930573714195218</c:v>
                </c:pt>
                <c:pt idx="17">
                  <c:v>7.538820046281546</c:v>
                </c:pt>
                <c:pt idx="18">
                  <c:v>8.5109036588219933</c:v>
                </c:pt>
                <c:pt idx="19">
                  <c:v>9.503937869249075</c:v>
                </c:pt>
                <c:pt idx="20">
                  <c:v>10.513265705856911</c:v>
                </c:pt>
                <c:pt idx="21">
                  <c:v>11.534866059385207</c:v>
                </c:pt>
                <c:pt idx="22">
                  <c:v>12.565278302115333</c:v>
                </c:pt>
                <c:pt idx="23">
                  <c:v>13.601532075094449</c:v>
                </c:pt>
                <c:pt idx="24">
                  <c:v>14.64108361627944</c:v>
                </c:pt>
                <c:pt idx="25">
                  <c:v>15.681759019712322</c:v>
                </c:pt>
                <c:pt idx="26">
                  <c:v>16.721704261490761</c:v>
                </c:pt>
                <c:pt idx="27">
                  <c:v>17.759341536946337</c:v>
                </c:pt>
                <c:pt idx="28">
                  <c:v>18.793331320696328</c:v>
                </c:pt>
                <c:pt idx="29">
                  <c:v>19.822539521715424</c:v>
                </c:pt>
                <c:pt idx="30">
                  <c:v>20.846009118709055</c:v>
                </c:pt>
                <c:pt idx="31">
                  <c:v>21.862935701975683</c:v>
                </c:pt>
                <c:pt idx="32">
                  <c:v>22.872646401607753</c:v>
                </c:pt>
                <c:pt idx="33">
                  <c:v>23.874581739463569</c:v>
                </c:pt>
                <c:pt idx="34">
                  <c:v>24.868279998842571</c:v>
                </c:pt>
                <c:pt idx="35">
                  <c:v>25.853363758565663</c:v>
                </c:pt>
                <c:pt idx="36">
                  <c:v>26.829528285976657</c:v>
                </c:pt>
                <c:pt idx="37">
                  <c:v>27.796531525854977</c:v>
                </c:pt>
                <c:pt idx="38">
                  <c:v>28.754185459455467</c:v>
                </c:pt>
                <c:pt idx="39">
                  <c:v>29.702348640212861</c:v>
                </c:pt>
                <c:pt idx="40">
                  <c:v>30.640919740529409</c:v>
                </c:pt>
                <c:pt idx="41">
                  <c:v>31.569831968003299</c:v>
                </c:pt>
                <c:pt idx="42">
                  <c:v>32.489048229946164</c:v>
                </c:pt>
                <c:pt idx="43">
                  <c:v>33.398556942539614</c:v>
                </c:pt>
                <c:pt idx="44">
                  <c:v>34.298368395908859</c:v>
                </c:pt>
                <c:pt idx="45">
                  <c:v>35.188511599117916</c:v>
                </c:pt>
                <c:pt idx="46">
                  <c:v>36.06903153993381</c:v>
                </c:pt>
                <c:pt idx="47">
                  <c:v>36.93998680345117</c:v>
                </c:pt>
                <c:pt idx="48">
                  <c:v>37.80144750154809</c:v>
                </c:pt>
                <c:pt idx="49">
                  <c:v>38.653493471867854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AB-41D2-B05E-CE0C852B9600}"/>
            </c:ext>
          </c:extLst>
        </c:ser>
        <c:ser>
          <c:idx val="1"/>
          <c:order val="1"/>
          <c:tx>
            <c:strRef>
              <c:f>Vega!$B$25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Vega!$C$25:$AZ$25</c:f>
              <c:numCache>
                <c:formatCode>General</c:formatCode>
                <c:ptCount val="50"/>
                <c:pt idx="0">
                  <c:v>9.5374791219905339E-10</c:v>
                </c:pt>
                <c:pt idx="1">
                  <c:v>1.4674662728048757E-4</c:v>
                </c:pt>
                <c:pt idx="2">
                  <c:v>8.5735604439262144E-3</c:v>
                </c:pt>
                <c:pt idx="3">
                  <c:v>6.8337646766849849E-2</c:v>
                </c:pt>
                <c:pt idx="4">
                  <c:v>0.24340934965576361</c:v>
                </c:pt>
                <c:pt idx="5">
                  <c:v>0.57709392847973573</c:v>
                </c:pt>
                <c:pt idx="6">
                  <c:v>1.0816670734477618</c:v>
                </c:pt>
                <c:pt idx="7">
                  <c:v>1.7478240873614233</c:v>
                </c:pt>
                <c:pt idx="8">
                  <c:v>2.5556717355709901</c:v>
                </c:pt>
                <c:pt idx="9">
                  <c:v>3.4820176623168346</c:v>
                </c:pt>
                <c:pt idx="10">
                  <c:v>4.5042502866328498</c:v>
                </c:pt>
                <c:pt idx="11">
                  <c:v>5.6020635850180929</c:v>
                </c:pt>
                <c:pt idx="12">
                  <c:v>6.7580097629702482</c:v>
                </c:pt>
                <c:pt idx="13">
                  <c:v>7.9574773591914489</c:v>
                </c:pt>
                <c:pt idx="14">
                  <c:v>9.1884213071291327</c:v>
                </c:pt>
                <c:pt idx="15">
                  <c:v>10.441011681895494</c:v>
                </c:pt>
                <c:pt idx="16">
                  <c:v>11.707280646911745</c:v>
                </c:pt>
                <c:pt idx="17">
                  <c:v>12.980801690611436</c:v>
                </c:pt>
                <c:pt idx="18">
                  <c:v>14.256412549550996</c:v>
                </c:pt>
                <c:pt idx="19">
                  <c:v>15.529982480581038</c:v>
                </c:pt>
                <c:pt idx="20">
                  <c:v>16.79821993782414</c:v>
                </c:pt>
                <c:pt idx="21">
                  <c:v>18.058515144316484</c:v>
                </c:pt>
                <c:pt idx="22">
                  <c:v>19.3088119195125</c:v>
                </c:pt>
                <c:pt idx="23">
                  <c:v>20.547503614546901</c:v>
                </c:pt>
                <c:pt idx="24">
                  <c:v>21.773348711357155</c:v>
                </c:pt>
                <c:pt idx="25">
                  <c:v>22.985402367237597</c:v>
                </c:pt>
                <c:pt idx="26">
                  <c:v>24.182960849858414</c:v>
                </c:pt>
                <c:pt idx="27">
                  <c:v>25.365516380185209</c:v>
                </c:pt>
                <c:pt idx="28">
                  <c:v>26.532720378796991</c:v>
                </c:pt>
                <c:pt idx="29">
                  <c:v>27.684353502761887</c:v>
                </c:pt>
                <c:pt idx="30">
                  <c:v>28.820301177387346</c:v>
                </c:pt>
                <c:pt idx="31">
                  <c:v>29.940533582198725</c:v>
                </c:pt>
                <c:pt idx="32">
                  <c:v>31.045089254775352</c:v>
                </c:pt>
                <c:pt idx="33">
                  <c:v>32.134061639372852</c:v>
                </c:pt>
                <c:pt idx="34">
                  <c:v>33.207588037735881</c:v>
                </c:pt>
                <c:pt idx="35">
                  <c:v>34.265840523799298</c:v>
                </c:pt>
                <c:pt idx="36">
                  <c:v>35.309018467435116</c:v>
                </c:pt>
                <c:pt idx="37">
                  <c:v>36.337342379298605</c:v>
                </c:pt>
                <c:pt idx="38">
                  <c:v>37.351048842549083</c:v>
                </c:pt>
                <c:pt idx="39">
                  <c:v>38.350386340459224</c:v>
                </c:pt>
                <c:pt idx="40">
                  <c:v>39.335611823807682</c:v>
                </c:pt>
                <c:pt idx="41">
                  <c:v>40.306987890157572</c:v>
                </c:pt>
                <c:pt idx="42">
                  <c:v>41.264780469990392</c:v>
                </c:pt>
                <c:pt idx="43">
                  <c:v>42.209256933251318</c:v>
                </c:pt>
                <c:pt idx="44">
                  <c:v>43.14068454500223</c:v>
                </c:pt>
                <c:pt idx="45">
                  <c:v>44.059329211248674</c:v>
                </c:pt>
                <c:pt idx="46">
                  <c:v>44.965454466131249</c:v>
                </c:pt>
                <c:pt idx="47">
                  <c:v>45.859320659984178</c:v>
                </c:pt>
                <c:pt idx="48">
                  <c:v>46.741184314599202</c:v>
                </c:pt>
                <c:pt idx="49">
                  <c:v>47.611297617669926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AB-41D2-B05E-CE0C852B9600}"/>
            </c:ext>
          </c:extLst>
        </c:ser>
        <c:ser>
          <c:idx val="2"/>
          <c:order val="2"/>
          <c:tx>
            <c:strRef>
              <c:f>Vega!$B$26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Vega!$C$26:$AZ$26</c:f>
              <c:numCache>
                <c:formatCode>General</c:formatCode>
                <c:ptCount val="50"/>
                <c:pt idx="0">
                  <c:v>1.4305070674681115E-6</c:v>
                </c:pt>
                <c:pt idx="1">
                  <c:v>5.7361357105493501E-3</c:v>
                </c:pt>
                <c:pt idx="2">
                  <c:v>9.9359820227649873E-2</c:v>
                </c:pt>
                <c:pt idx="3">
                  <c:v>0.43122978474392237</c:v>
                </c:pt>
                <c:pt idx="4">
                  <c:v>1.0665604474636925</c:v>
                </c:pt>
                <c:pt idx="5">
                  <c:v>1.9828706392671891</c:v>
                </c:pt>
                <c:pt idx="6">
                  <c:v>3.124011842549157</c:v>
                </c:pt>
                <c:pt idx="7">
                  <c:v>4.4314430319658937</c:v>
                </c:pt>
                <c:pt idx="8">
                  <c:v>5.8553435054060303</c:v>
                </c:pt>
                <c:pt idx="9">
                  <c:v>7.3566173019582477</c:v>
                </c:pt>
                <c:pt idx="10">
                  <c:v>8.9057318877747544</c:v>
                </c:pt>
                <c:pt idx="11">
                  <c:v>10.480815062534839</c:v>
                </c:pt>
                <c:pt idx="12">
                  <c:v>12.065854413421338</c:v>
                </c:pt>
                <c:pt idx="13">
                  <c:v>13.649226100562165</c:v>
                </c:pt>
                <c:pt idx="14">
                  <c:v>15.222562068420235</c:v>
                </c:pt>
                <c:pt idx="15">
                  <c:v>16.779900926881471</c:v>
                </c:pt>
                <c:pt idx="16">
                  <c:v>18.31705896894757</c:v>
                </c:pt>
                <c:pt idx="17">
                  <c:v>19.831166221954575</c:v>
                </c:pt>
                <c:pt idx="18">
                  <c:v>21.320324287460689</c:v>
                </c:pt>
                <c:pt idx="19">
                  <c:v>22.783353493544926</c:v>
                </c:pt>
                <c:pt idx="20">
                  <c:v>24.219605468173892</c:v>
                </c:pt>
                <c:pt idx="21">
                  <c:v>25.628823716119584</c:v>
                </c:pt>
                <c:pt idx="22">
                  <c:v>27.011039536738156</c:v>
                </c:pt>
                <c:pt idx="23">
                  <c:v>28.366494069422391</c:v>
                </c:pt>
                <c:pt idx="24">
                  <c:v>29.69557974409884</c:v>
                </c:pt>
                <c:pt idx="25">
                  <c:v>30.998796211459091</c:v>
                </c:pt>
                <c:pt idx="26">
                  <c:v>32.276717127327771</c:v>
                </c:pt>
                <c:pt idx="27">
                  <c:v>33.529965108820782</c:v>
                </c:pt>
                <c:pt idx="28">
                  <c:v>34.759192867575116</c:v>
                </c:pt>
                <c:pt idx="29">
                  <c:v>35.965069029119618</c:v>
                </c:pt>
                <c:pt idx="30">
                  <c:v>37.148267518491366</c:v>
                </c:pt>
                <c:pt idx="31">
                  <c:v>38.309459666923864</c:v>
                </c:pt>
                <c:pt idx="32">
                  <c:v>39.449308398918156</c:v>
                </c:pt>
                <c:pt idx="33">
                  <c:v>40.56846401200216</c:v>
                </c:pt>
                <c:pt idx="34">
                  <c:v>41.667561176525147</c:v>
                </c:pt>
                <c:pt idx="35">
                  <c:v>42.747216869755398</c:v>
                </c:pt>
                <c:pt idx="36">
                  <c:v>43.808029024521524</c:v>
                </c:pt>
                <c:pt idx="37">
                  <c:v>44.850575722929094</c:v>
                </c:pt>
                <c:pt idx="38">
                  <c:v>45.875414804175861</c:v>
                </c:pt>
                <c:pt idx="39">
                  <c:v>46.883083785060741</c:v>
                </c:pt>
                <c:pt idx="40">
                  <c:v>47.874100014581792</c:v>
                </c:pt>
                <c:pt idx="41">
                  <c:v>48.848961001651752</c:v>
                </c:pt>
                <c:pt idx="42">
                  <c:v>49.80814486863796</c:v>
                </c:pt>
                <c:pt idx="43">
                  <c:v>50.752110894071684</c:v>
                </c:pt>
                <c:pt idx="44">
                  <c:v>51.681300116161317</c:v>
                </c:pt>
                <c:pt idx="45">
                  <c:v>52.596135975220548</c:v>
                </c:pt>
                <c:pt idx="46">
                  <c:v>53.497024978184079</c:v>
                </c:pt>
                <c:pt idx="47">
                  <c:v>54.384357372350145</c:v>
                </c:pt>
                <c:pt idx="48">
                  <c:v>55.258507818593969</c:v>
                </c:pt>
                <c:pt idx="49">
                  <c:v>56.119836056730868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AB-41D2-B05E-CE0C852B9600}"/>
            </c:ext>
          </c:extLst>
        </c:ser>
        <c:ser>
          <c:idx val="3"/>
          <c:order val="3"/>
          <c:tx>
            <c:strRef>
              <c:f>Vega!$B$27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Vega!$C$27:$AZ$27</c:f>
              <c:numCache>
                <c:formatCode>General</c:formatCode>
                <c:ptCount val="50"/>
                <c:pt idx="0">
                  <c:v>3.770139897571843E-4</c:v>
                </c:pt>
                <c:pt idx="1">
                  <c:v>9.3928751471449773E-2</c:v>
                </c:pt>
                <c:pt idx="2">
                  <c:v>0.64440735249376047</c:v>
                </c:pt>
                <c:pt idx="3">
                  <c:v>1.76012583898282</c:v>
                </c:pt>
                <c:pt idx="4">
                  <c:v>3.2972479768503953</c:v>
                </c:pt>
                <c:pt idx="5">
                  <c:v>5.0934802908825016</c:v>
                </c:pt>
                <c:pt idx="6">
                  <c:v>7.0302629740001548</c:v>
                </c:pt>
                <c:pt idx="7">
                  <c:v>9.0304222542602286</c:v>
                </c:pt>
                <c:pt idx="8">
                  <c:v>11.045773801093517</c:v>
                </c:pt>
                <c:pt idx="9">
                  <c:v>13.04687901912169</c:v>
                </c:pt>
                <c:pt idx="10">
                  <c:v>15.016139686175775</c:v>
                </c:pt>
                <c:pt idx="11">
                  <c:v>16.943400813190056</c:v>
                </c:pt>
                <c:pt idx="12">
                  <c:v>18.823190802535411</c:v>
                </c:pt>
                <c:pt idx="13">
                  <c:v>20.652987413754325</c:v>
                </c:pt>
                <c:pt idx="14">
                  <c:v>22.432120859181026</c:v>
                </c:pt>
                <c:pt idx="15">
                  <c:v>24.16107419010094</c:v>
                </c:pt>
                <c:pt idx="16">
                  <c:v>25.841033667205465</c:v>
                </c:pt>
                <c:pt idx="17">
                  <c:v>27.473598126491964</c:v>
                </c:pt>
                <c:pt idx="18">
                  <c:v>29.060590568531996</c:v>
                </c:pt>
                <c:pt idx="19">
                  <c:v>30.603936130050933</c:v>
                </c:pt>
                <c:pt idx="20">
                  <c:v>32.105583537073763</c:v>
                </c:pt>
                <c:pt idx="21">
                  <c:v>33.567455236646303</c:v>
                </c:pt>
                <c:pt idx="22">
                  <c:v>34.99141653519402</c:v>
                </c:pt>
                <c:pt idx="23">
                  <c:v>36.379257362797354</c:v>
                </c:pt>
                <c:pt idx="24">
                  <c:v>37.73268241841393</c:v>
                </c:pt>
                <c:pt idx="25">
                  <c:v>39.053306852092625</c:v>
                </c:pt>
                <c:pt idx="26">
                  <c:v>40.342655568408432</c:v>
                </c:pt>
                <c:pt idx="27">
                  <c:v>41.602164855785595</c:v>
                </c:pt>
                <c:pt idx="28">
                  <c:v>42.833185464380641</c:v>
                </c:pt>
                <c:pt idx="29">
                  <c:v>44.036986538728897</c:v>
                </c:pt>
                <c:pt idx="30">
                  <c:v>45.214760004758176</c:v>
                </c:pt>
                <c:pt idx="31">
                  <c:v>46.367625143262551</c:v>
                </c:pt>
                <c:pt idx="32">
                  <c:v>47.496633172958113</c:v>
                </c:pt>
                <c:pt idx="33">
                  <c:v>48.602771728864155</c:v>
                </c:pt>
                <c:pt idx="34">
                  <c:v>49.686969164807088</c:v>
                </c:pt>
                <c:pt idx="35">
                  <c:v>50.750098638355453</c:v>
                </c:pt>
                <c:pt idx="36">
                  <c:v>51.792981956601317</c:v>
                </c:pt>
                <c:pt idx="37">
                  <c:v>52.816393174763832</c:v>
                </c:pt>
                <c:pt idx="38">
                  <c:v>53.821061948590248</c:v>
                </c:pt>
                <c:pt idx="39">
                  <c:v>54.807676647351535</c:v>
                </c:pt>
                <c:pt idx="40">
                  <c:v>55.776887237845955</c:v>
                </c:pt>
                <c:pt idx="41">
                  <c:v>56.729307951913036</c:v>
                </c:pt>
                <c:pt idx="42">
                  <c:v>57.665519751002883</c:v>
                </c:pt>
                <c:pt idx="43">
                  <c:v>58.586072601679923</c:v>
                </c:pt>
                <c:pt idx="44">
                  <c:v>59.491487575800676</c:v>
                </c:pt>
                <c:pt idx="45">
                  <c:v>60.382258788663385</c:v>
                </c:pt>
                <c:pt idx="46">
                  <c:v>61.258855187795142</c:v>
                </c:pt>
                <c:pt idx="47">
                  <c:v>62.121722204305385</c:v>
                </c:pt>
                <c:pt idx="48">
                  <c:v>62.971283277945844</c:v>
                </c:pt>
                <c:pt idx="49">
                  <c:v>63.807941266216019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AB-41D2-B05E-CE0C852B9600}"/>
            </c:ext>
          </c:extLst>
        </c:ser>
        <c:ser>
          <c:idx val="4"/>
          <c:order val="4"/>
          <c:tx>
            <c:strRef>
              <c:f>Vega!$B$28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Vega!$C$28:$AZ$28</c:f>
              <c:numCache>
                <c:formatCode>General</c:formatCode>
                <c:ptCount val="50"/>
                <c:pt idx="0">
                  <c:v>2.3609588828415632E-2</c:v>
                </c:pt>
                <c:pt idx="1">
                  <c:v>0.74932050826936902</c:v>
                </c:pt>
                <c:pt idx="2">
                  <c:v>2.5866773497556821</c:v>
                </c:pt>
                <c:pt idx="3">
                  <c:v>5.0116628118720099</c:v>
                </c:pt>
                <c:pt idx="4">
                  <c:v>7.6401792301498652</c:v>
                </c:pt>
                <c:pt idx="5">
                  <c:v>10.287482444006042</c:v>
                </c:pt>
                <c:pt idx="6">
                  <c:v>12.872223646374943</c:v>
                </c:pt>
                <c:pt idx="7">
                  <c:v>15.361396923011617</c:v>
                </c:pt>
                <c:pt idx="8">
                  <c:v>17.74440836712964</c:v>
                </c:pt>
                <c:pt idx="9">
                  <c:v>20.021019742744606</c:v>
                </c:pt>
                <c:pt idx="10">
                  <c:v>22.195638459741112</c:v>
                </c:pt>
                <c:pt idx="11">
                  <c:v>24.274562625999884</c:v>
                </c:pt>
                <c:pt idx="12">
                  <c:v>26.264641979245415</c:v>
                </c:pt>
                <c:pt idx="13">
                  <c:v>28.172635341529858</c:v>
                </c:pt>
                <c:pt idx="14">
                  <c:v>30.004917400094147</c:v>
                </c:pt>
                <c:pt idx="15">
                  <c:v>31.767362284332687</c:v>
                </c:pt>
                <c:pt idx="16">
                  <c:v>33.465316137921405</c:v>
                </c:pt>
                <c:pt idx="17">
                  <c:v>35.103613230151815</c:v>
                </c:pt>
                <c:pt idx="18">
                  <c:v>36.686611858437928</c:v>
                </c:pt>
                <c:pt idx="19">
                  <c:v>38.218237653015329</c:v>
                </c:pt>
                <c:pt idx="20">
                  <c:v>39.702027928766384</c:v>
                </c:pt>
                <c:pt idx="21">
                  <c:v>41.141173962410981</c:v>
                </c:pt>
                <c:pt idx="22">
                  <c:v>42.53855980737341</c:v>
                </c:pt>
                <c:pt idx="23">
                  <c:v>43.896797179382837</c:v>
                </c:pt>
                <c:pt idx="24">
                  <c:v>45.218256421705874</c:v>
                </c:pt>
                <c:pt idx="25">
                  <c:v>46.505093790821128</c:v>
                </c:pt>
                <c:pt idx="26">
                  <c:v>47.759275402280146</c:v>
                </c:pt>
                <c:pt idx="27">
                  <c:v>48.98259820419397</c:v>
                </c:pt>
                <c:pt idx="28">
                  <c:v>50.176708336704607</c:v>
                </c:pt>
                <c:pt idx="29">
                  <c:v>51.343117209127108</c:v>
                </c:pt>
                <c:pt idx="30">
                  <c:v>52.483215592739043</c:v>
                </c:pt>
                <c:pt idx="31">
                  <c:v>53.598285992118143</c:v>
                </c:pt>
                <c:pt idx="32">
                  <c:v>54.689513524387621</c:v>
                </c:pt>
                <c:pt idx="33">
                  <c:v>55.75799550507066</c:v>
                </c:pt>
                <c:pt idx="34">
                  <c:v>56.804749911968003</c:v>
                </c:pt>
                <c:pt idx="35">
                  <c:v>57.830722874583266</c:v>
                </c:pt>
                <c:pt idx="36">
                  <c:v>58.836795315926508</c:v>
                </c:pt>
                <c:pt idx="37">
                  <c:v>59.823788855719087</c:v>
                </c:pt>
                <c:pt idx="38">
                  <c:v>60.792471068764669</c:v>
                </c:pt>
                <c:pt idx="39">
                  <c:v>61.743560179207314</c:v>
                </c:pt>
                <c:pt idx="40">
                  <c:v>62.677729260261927</c:v>
                </c:pt>
                <c:pt idx="41">
                  <c:v>63.595609999496659</c:v>
                </c:pt>
                <c:pt idx="42">
                  <c:v>64.497796081631407</c:v>
                </c:pt>
                <c:pt idx="43">
                  <c:v>65.384846233882072</c:v>
                </c:pt>
                <c:pt idx="44">
                  <c:v>66.257286972946247</c:v>
                </c:pt>
                <c:pt idx="45">
                  <c:v>67.115615087644883</c:v>
                </c:pt>
                <c:pt idx="46">
                  <c:v>67.960299886871582</c:v>
                </c:pt>
                <c:pt idx="47">
                  <c:v>68.791785238753263</c:v>
                </c:pt>
                <c:pt idx="48">
                  <c:v>69.610491423696729</c:v>
                </c:pt>
                <c:pt idx="49">
                  <c:v>70.416816821210716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AB-41D2-B05E-CE0C852B9600}"/>
            </c:ext>
          </c:extLst>
        </c:ser>
        <c:ser>
          <c:idx val="5"/>
          <c:order val="5"/>
          <c:tx>
            <c:strRef>
              <c:f>Vega!$B$29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Vega!$C$29:$AZ$29</c:f>
              <c:numCache>
                <c:formatCode>General</c:formatCode>
                <c:ptCount val="50"/>
                <c:pt idx="0">
                  <c:v>0.44558558892443589</c:v>
                </c:pt>
                <c:pt idx="1">
                  <c:v>3.2800471961839519</c:v>
                </c:pt>
                <c:pt idx="2">
                  <c:v>6.956828879095827</c:v>
                </c:pt>
                <c:pt idx="3">
                  <c:v>10.565235887329333</c:v>
                </c:pt>
                <c:pt idx="4">
                  <c:v>13.91675164727925</c:v>
                </c:pt>
                <c:pt idx="5">
                  <c:v>16.99944547238977</c:v>
                </c:pt>
                <c:pt idx="6">
                  <c:v>19.84077978526323</c:v>
                </c:pt>
                <c:pt idx="7">
                  <c:v>22.473489195639605</c:v>
                </c:pt>
                <c:pt idx="8">
                  <c:v>24.927154208382689</c:v>
                </c:pt>
                <c:pt idx="9">
                  <c:v>27.226666793458268</c:v>
                </c:pt>
                <c:pt idx="10">
                  <c:v>29.392545078583208</c:v>
                </c:pt>
                <c:pt idx="11">
                  <c:v>31.441651872963554</c:v>
                </c:pt>
                <c:pt idx="12">
                  <c:v>33.387902858698276</c:v>
                </c:pt>
                <c:pt idx="13">
                  <c:v>35.2428621617332</c:v>
                </c:pt>
                <c:pt idx="14">
                  <c:v>37.016217253063189</c:v>
                </c:pt>
                <c:pt idx="15">
                  <c:v>38.716150591697151</c:v>
                </c:pt>
                <c:pt idx="16">
                  <c:v>40.349629173744361</c:v>
                </c:pt>
                <c:pt idx="17">
                  <c:v>41.922630622185721</c:v>
                </c:pt>
                <c:pt idx="18">
                  <c:v>43.440320688712987</c:v>
                </c:pt>
                <c:pt idx="19">
                  <c:v>44.907193585775438</c:v>
                </c:pt>
                <c:pt idx="20">
                  <c:v>46.327183783313615</c:v>
                </c:pt>
                <c:pt idx="21">
                  <c:v>47.703755771993485</c:v>
                </c:pt>
                <c:pt idx="22">
                  <c:v>49.03997669551373</c:v>
                </c:pt>
                <c:pt idx="23">
                  <c:v>50.338575564804657</c:v>
                </c:pt>
                <c:pt idx="24">
                  <c:v>51.601991882708646</c:v>
                </c:pt>
                <c:pt idx="25">
                  <c:v>52.832415848753136</c:v>
                </c:pt>
                <c:pt idx="26">
                  <c:v>54.031821820121252</c:v>
                </c:pt>
                <c:pt idx="27">
                  <c:v>55.201996333106152</c:v>
                </c:pt>
                <c:pt idx="28">
                  <c:v>56.344561707331771</c:v>
                </c:pt>
                <c:pt idx="29">
                  <c:v>57.460996039653594</c:v>
                </c:pt>
                <c:pt idx="30">
                  <c:v>58.552650229020919</c:v>
                </c:pt>
                <c:pt idx="31">
                  <c:v>59.620762545314847</c:v>
                </c:pt>
                <c:pt idx="32">
                  <c:v>60.666471155167272</c:v>
                </c:pt>
                <c:pt idx="33">
                  <c:v>61.690824939274606</c:v>
                </c:pt>
                <c:pt idx="34">
                  <c:v>62.694792873720068</c:v>
                </c:pt>
                <c:pt idx="35">
                  <c:v>63.679272198543629</c:v>
                </c:pt>
                <c:pt idx="36">
                  <c:v>64.645095557403593</c:v>
                </c:pt>
                <c:pt idx="37">
                  <c:v>65.593037260498761</c:v>
                </c:pt>
                <c:pt idx="38">
                  <c:v>66.523818797311748</c:v>
                </c:pt>
                <c:pt idx="39">
                  <c:v>67.4381137049225</c:v>
                </c:pt>
                <c:pt idx="40">
                  <c:v>68.336551880642631</c:v>
                </c:pt>
                <c:pt idx="41">
                  <c:v>69.219723413769444</c:v>
                </c:pt>
                <c:pt idx="42">
                  <c:v>70.088181999755619</c:v>
                </c:pt>
                <c:pt idx="43">
                  <c:v>70.942447990564276</c:v>
                </c:pt>
                <c:pt idx="44">
                  <c:v>71.783011127054266</c:v>
                </c:pt>
                <c:pt idx="45">
                  <c:v>72.610332992625999</c:v>
                </c:pt>
                <c:pt idx="46">
                  <c:v>73.424849221808188</c:v>
                </c:pt>
                <c:pt idx="47">
                  <c:v>74.22697149279989</c:v>
                </c:pt>
                <c:pt idx="48">
                  <c:v>75.017089329037816</c:v>
                </c:pt>
                <c:pt idx="49">
                  <c:v>75.795571731518351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AB-41D2-B05E-CE0C852B9600}"/>
            </c:ext>
          </c:extLst>
        </c:ser>
        <c:ser>
          <c:idx val="6"/>
          <c:order val="6"/>
          <c:tx>
            <c:strRef>
              <c:f>Vega!$B$30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Vega!$C$30:$AZ$30</c:f>
              <c:numCache>
                <c:formatCode>General</c:formatCode>
                <c:ptCount val="50"/>
                <c:pt idx="0">
                  <c:v>3.0644533309865167</c:v>
                </c:pt>
                <c:pt idx="1">
                  <c:v>8.6635119422354201</c:v>
                </c:pt>
                <c:pt idx="2">
                  <c:v>13.356393635672962</c:v>
                </c:pt>
                <c:pt idx="3">
                  <c:v>17.293746502576173</c:v>
                </c:pt>
                <c:pt idx="4">
                  <c:v>20.700792345453848</c:v>
                </c:pt>
                <c:pt idx="5">
                  <c:v>23.723384471393917</c:v>
                </c:pt>
                <c:pt idx="6">
                  <c:v>26.455122246358705</c:v>
                </c:pt>
                <c:pt idx="7">
                  <c:v>28.958655791598929</c:v>
                </c:pt>
                <c:pt idx="8">
                  <c:v>31.277780487504984</c:v>
                </c:pt>
                <c:pt idx="9">
                  <c:v>33.444289202725912</c:v>
                </c:pt>
                <c:pt idx="10">
                  <c:v>35.482007054464084</c:v>
                </c:pt>
                <c:pt idx="11">
                  <c:v>37.409271336395364</c:v>
                </c:pt>
                <c:pt idx="12">
                  <c:v>39.240517656926102</c:v>
                </c:pt>
                <c:pt idx="13">
                  <c:v>40.987330832238811</c:v>
                </c:pt>
                <c:pt idx="14">
                  <c:v>42.659162992667959</c:v>
                </c:pt>
                <c:pt idx="15">
                  <c:v>44.263837728130284</c:v>
                </c:pt>
                <c:pt idx="16">
                  <c:v>45.807912521064679</c:v>
                </c:pt>
                <c:pt idx="17">
                  <c:v>47.296944813873438</c:v>
                </c:pt>
                <c:pt idx="18">
                  <c:v>48.735690994592076</c:v>
                </c:pt>
                <c:pt idx="19">
                  <c:v>50.128257699490838</c:v>
                </c:pt>
                <c:pt idx="20">
                  <c:v>51.47821858052334</c:v>
                </c:pt>
                <c:pt idx="21">
                  <c:v>52.788705634540349</c:v>
                </c:pt>
                <c:pt idx="22">
                  <c:v>54.062481506776059</c:v>
                </c:pt>
                <c:pt idx="23">
                  <c:v>55.301997365992385</c:v>
                </c:pt>
                <c:pt idx="24">
                  <c:v>56.509439698548192</c:v>
                </c:pt>
                <c:pt idx="25">
                  <c:v>57.686768493078979</c:v>
                </c:pt>
                <c:pt idx="26">
                  <c:v>58.835748664691536</c:v>
                </c:pt>
                <c:pt idx="27">
                  <c:v>59.95797611828575</c:v>
                </c:pt>
                <c:pt idx="28">
                  <c:v>61.0548995222169</c:v>
                </c:pt>
                <c:pt idx="29">
                  <c:v>62.127838620556737</c:v>
                </c:pt>
                <c:pt idx="30">
                  <c:v>63.17799973044076</c:v>
                </c:pt>
                <c:pt idx="31">
                  <c:v>64.206488933569076</c:v>
                </c:pt>
                <c:pt idx="32">
                  <c:v>65.214323366021574</c:v>
                </c:pt>
                <c:pt idx="33">
                  <c:v>66.202440929732049</c:v>
                </c:pt>
                <c:pt idx="34">
                  <c:v>67.17170868617643</c:v>
                </c:pt>
                <c:pt idx="35">
                  <c:v>68.122930143655182</c:v>
                </c:pt>
                <c:pt idx="36">
                  <c:v>69.056851610748211</c:v>
                </c:pt>
                <c:pt idx="37">
                  <c:v>69.974167757686203</c:v>
                </c:pt>
                <c:pt idx="38">
                  <c:v>70.875526502716866</c:v>
                </c:pt>
                <c:pt idx="39">
                  <c:v>71.761533320686937</c:v>
                </c:pt>
                <c:pt idx="40">
                  <c:v>72.632755054982098</c:v>
                </c:pt>
                <c:pt idx="41">
                  <c:v>73.48972330087058</c:v>
                </c:pt>
                <c:pt idx="42">
                  <c:v>74.3329374175743</c:v>
                </c:pt>
                <c:pt idx="43">
                  <c:v>75.162867217568348</c:v>
                </c:pt>
                <c:pt idx="44">
                  <c:v>75.979955374312468</c:v>
                </c:pt>
                <c:pt idx="45">
                  <c:v>76.784619583557642</c:v>
                </c:pt>
                <c:pt idx="46">
                  <c:v>77.577254508312706</c:v>
                </c:pt>
                <c:pt idx="47">
                  <c:v>78.358233533318739</c:v>
                </c:pt>
                <c:pt idx="48">
                  <c:v>79.127910351313915</c:v>
                </c:pt>
                <c:pt idx="49">
                  <c:v>79.886620400360513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AB-41D2-B05E-CE0C852B9600}"/>
            </c:ext>
          </c:extLst>
        </c:ser>
        <c:ser>
          <c:idx val="7"/>
          <c:order val="7"/>
          <c:tx>
            <c:strRef>
              <c:f>Vega!$B$31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Vega!$C$31:$AZ$31</c:f>
              <c:numCache>
                <c:formatCode>General</c:formatCode>
                <c:ptCount val="50"/>
                <c:pt idx="0">
                  <c:v>8.9541358039279721</c:v>
                </c:pt>
                <c:pt idx="1">
                  <c:v>14.909546983266303</c:v>
                </c:pt>
                <c:pt idx="2">
                  <c:v>19.267540519079148</c:v>
                </c:pt>
                <c:pt idx="3">
                  <c:v>22.840702670307461</c:v>
                </c:pt>
                <c:pt idx="4">
                  <c:v>25.930883920219031</c:v>
                </c:pt>
                <c:pt idx="5">
                  <c:v>28.686682039024308</c:v>
                </c:pt>
                <c:pt idx="6">
                  <c:v>31.193622839956397</c:v>
                </c:pt>
                <c:pt idx="7">
                  <c:v>33.506087760385846</c:v>
                </c:pt>
                <c:pt idx="8">
                  <c:v>35.661132714949467</c:v>
                </c:pt>
                <c:pt idx="9">
                  <c:v>37.685326590063859</c:v>
                </c:pt>
                <c:pt idx="10">
                  <c:v>39.598477419963061</c:v>
                </c:pt>
                <c:pt idx="11">
                  <c:v>41.415815974162442</c:v>
                </c:pt>
                <c:pt idx="12">
                  <c:v>43.14935047935645</c:v>
                </c:pt>
                <c:pt idx="13">
                  <c:v>44.808746635886649</c:v>
                </c:pt>
                <c:pt idx="14">
                  <c:v>46.401921321438202</c:v>
                </c:pt>
                <c:pt idx="15">
                  <c:v>47.935456044812298</c:v>
                </c:pt>
                <c:pt idx="16">
                  <c:v>49.414892749160856</c:v>
                </c:pt>
                <c:pt idx="17">
                  <c:v>50.844950417561527</c:v>
                </c:pt>
                <c:pt idx="18">
                  <c:v>52.229686924765474</c:v>
                </c:pt>
                <c:pt idx="19">
                  <c:v>53.572622142458151</c:v>
                </c:pt>
                <c:pt idx="20">
                  <c:v>54.876833057170032</c:v>
                </c:pt>
                <c:pt idx="21">
                  <c:v>56.145028300738147</c:v>
                </c:pt>
                <c:pt idx="22">
                  <c:v>57.379607288080599</c:v>
                </c:pt>
                <c:pt idx="23">
                  <c:v>58.582707676532422</c:v>
                </c:pt>
                <c:pt idx="24">
                  <c:v>59.756243846681137</c:v>
                </c:pt>
                <c:pt idx="25">
                  <c:v>60.901938396929275</c:v>
                </c:pt>
                <c:pt idx="26">
                  <c:v>62.021348141972638</c:v>
                </c:pt>
                <c:pt idx="27">
                  <c:v>63.115885743828528</c:v>
                </c:pt>
                <c:pt idx="28">
                  <c:v>64.186837840039502</c:v>
                </c:pt>
                <c:pt idx="29">
                  <c:v>65.235380338435675</c:v>
                </c:pt>
                <c:pt idx="30">
                  <c:v>66.262591401747301</c:v>
                </c:pt>
                <c:pt idx="31">
                  <c:v>67.269462534856629</c:v>
                </c:pt>
                <c:pt idx="32">
                  <c:v>68.256908103048232</c:v>
                </c:pt>
                <c:pt idx="33">
                  <c:v>69.225773544502687</c:v>
                </c:pt>
                <c:pt idx="34">
                  <c:v>70.17684248962118</c:v>
                </c:pt>
                <c:pt idx="35">
                  <c:v>71.110842960034176</c:v>
                </c:pt>
                <c:pt idx="36">
                  <c:v>72.028452788743223</c:v>
                </c:pt>
                <c:pt idx="37">
                  <c:v>72.93030437784445</c:v>
                </c:pt>
                <c:pt idx="38">
                  <c:v>73.816988890246321</c:v>
                </c:pt>
                <c:pt idx="39">
                  <c:v>74.689059955632018</c:v>
                </c:pt>
                <c:pt idx="40">
                  <c:v>75.547036957804721</c:v>
                </c:pt>
                <c:pt idx="41">
                  <c:v>76.391407959851136</c:v>
                </c:pt>
                <c:pt idx="42">
                  <c:v>77.222632314779148</c:v>
                </c:pt>
                <c:pt idx="43">
                  <c:v>78.041143002045018</c:v>
                </c:pt>
                <c:pt idx="44">
                  <c:v>78.847348724384545</c:v>
                </c:pt>
                <c:pt idx="45">
                  <c:v>79.641635794369066</c:v>
                </c:pt>
                <c:pt idx="46">
                  <c:v>80.424369835928644</c:v>
                </c:pt>
                <c:pt idx="47">
                  <c:v>81.195897322580095</c:v>
                </c:pt>
                <c:pt idx="48">
                  <c:v>81.956546971139105</c:v>
                </c:pt>
                <c:pt idx="49">
                  <c:v>82.706631007195014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AB-41D2-B05E-CE0C852B9600}"/>
            </c:ext>
          </c:extLst>
        </c:ser>
        <c:ser>
          <c:idx val="8"/>
          <c:order val="8"/>
          <c:tx>
            <c:strRef>
              <c:f>Vega!$B$32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Vega!$C$32:$AZ$32</c:f>
              <c:numCache>
                <c:formatCode>General</c:formatCode>
                <c:ptCount val="50"/>
                <c:pt idx="0">
                  <c:v>12.60147797002052</c:v>
                </c:pt>
                <c:pt idx="1">
                  <c:v>17.80114349570453</c:v>
                </c:pt>
                <c:pt idx="2">
                  <c:v>21.777345900985232</c:v>
                </c:pt>
                <c:pt idx="3">
                  <c:v>25.118039341108513</c:v>
                </c:pt>
                <c:pt idx="4">
                  <c:v>28.051246304186257</c:v>
                </c:pt>
                <c:pt idx="5">
                  <c:v>30.694050496199523</c:v>
                </c:pt>
                <c:pt idx="6">
                  <c:v>33.116087146110289</c:v>
                </c:pt>
                <c:pt idx="7">
                  <c:v>35.362780796997576</c:v>
                </c:pt>
                <c:pt idx="8">
                  <c:v>37.465720501521851</c:v>
                </c:pt>
                <c:pt idx="9">
                  <c:v>39.447933090788894</c:v>
                </c:pt>
                <c:pt idx="10">
                  <c:v>41.326822430469605</c:v>
                </c:pt>
                <c:pt idx="11">
                  <c:v>43.115925549986159</c:v>
                </c:pt>
                <c:pt idx="12">
                  <c:v>44.826020476317296</c:v>
                </c:pt>
                <c:pt idx="13">
                  <c:v>46.465856361778023</c:v>
                </c:pt>
                <c:pt idx="14">
                  <c:v>48.04265234363627</c:v>
                </c:pt>
                <c:pt idx="15">
                  <c:v>49.562448852082476</c:v>
                </c:pt>
                <c:pt idx="16">
                  <c:v>51.030361458947127</c:v>
                </c:pt>
                <c:pt idx="17">
                  <c:v>52.450768418698225</c:v>
                </c:pt>
                <c:pt idx="18">
                  <c:v>53.827451925573257</c:v>
                </c:pt>
                <c:pt idx="19">
                  <c:v>55.163706332541203</c:v>
                </c:pt>
                <c:pt idx="20">
                  <c:v>56.462422317104412</c:v>
                </c:pt>
                <c:pt idx="21">
                  <c:v>57.726153225694702</c:v>
                </c:pt>
                <c:pt idx="22">
                  <c:v>58.957168005184727</c:v>
                </c:pt>
                <c:pt idx="23">
                  <c:v>60.157493896018295</c:v>
                </c:pt>
                <c:pt idx="24">
                  <c:v>61.32895120970376</c:v>
                </c:pt>
                <c:pt idx="25">
                  <c:v>62.47318191499771</c:v>
                </c:pt>
                <c:pt idx="26">
                  <c:v>63.591673329863738</c:v>
                </c:pt>
                <c:pt idx="27">
                  <c:v>64.685777906754865</c:v>
                </c:pt>
                <c:pt idx="28">
                  <c:v>65.756729871476693</c:v>
                </c:pt>
                <c:pt idx="29">
                  <c:v>66.805659306916709</c:v>
                </c:pt>
                <c:pt idx="30">
                  <c:v>67.833604145869359</c:v>
                </c:pt>
                <c:pt idx="31">
                  <c:v>68.841520440637069</c:v>
                </c:pt>
                <c:pt idx="32">
                  <c:v>69.83029120299814</c:v>
                </c:pt>
                <c:pt idx="33">
                  <c:v>70.800734050757285</c:v>
                </c:pt>
                <c:pt idx="34">
                  <c:v>71.753607852285924</c:v>
                </c:pt>
                <c:pt idx="35">
                  <c:v>72.689618525182638</c:v>
                </c:pt>
                <c:pt idx="36">
                  <c:v>73.609424117207041</c:v>
                </c:pt>
                <c:pt idx="37">
                  <c:v>74.513639275293571</c:v>
                </c:pt>
                <c:pt idx="38">
                  <c:v>75.40283919048666</c:v>
                </c:pt>
                <c:pt idx="39">
                  <c:v>76.277563092104828</c:v>
                </c:pt>
                <c:pt idx="40">
                  <c:v>77.138317352614195</c:v>
                </c:pt>
                <c:pt idx="41">
                  <c:v>77.985578255014715</c:v>
                </c:pt>
                <c:pt idx="42">
                  <c:v>78.819794466581271</c:v>
                </c:pt>
                <c:pt idx="43">
                  <c:v>79.641389256221743</c:v>
                </c:pt>
                <c:pt idx="44">
                  <c:v>80.450762487246323</c:v>
                </c:pt>
                <c:pt idx="45">
                  <c:v>81.248292412783059</c:v>
                </c:pt>
                <c:pt idx="46">
                  <c:v>82.034337297250886</c:v>
                </c:pt>
                <c:pt idx="47">
                  <c:v>82.809236884086985</c:v>
                </c:pt>
                <c:pt idx="48">
                  <c:v>83.573313727207818</c:v>
                </c:pt>
                <c:pt idx="49">
                  <c:v>84.326874401380636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AB-41D2-B05E-CE0C852B9600}"/>
            </c:ext>
          </c:extLst>
        </c:ser>
        <c:ser>
          <c:idx val="9"/>
          <c:order val="9"/>
          <c:tx>
            <c:strRef>
              <c:f>Vega!$B$33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Vega!$C$33:$AZ$33</c:f>
              <c:numCache>
                <c:formatCode>General</c:formatCode>
                <c:ptCount val="50"/>
                <c:pt idx="0">
                  <c:v>9.4730567005775885</c:v>
                </c:pt>
                <c:pt idx="1">
                  <c:v>15.52854945654148</c:v>
                </c:pt>
                <c:pt idx="2">
                  <c:v>19.963011175668893</c:v>
                </c:pt>
                <c:pt idx="3">
                  <c:v>23.603472101352114</c:v>
                </c:pt>
                <c:pt idx="4">
                  <c:v>26.754925856393445</c:v>
                </c:pt>
                <c:pt idx="5">
                  <c:v>29.56741901392941</c:v>
                </c:pt>
                <c:pt idx="6">
                  <c:v>32.127364650068387</c:v>
                </c:pt>
                <c:pt idx="7">
                  <c:v>34.489758203526328</c:v>
                </c:pt>
                <c:pt idx="8">
                  <c:v>36.692108772311308</c:v>
                </c:pt>
                <c:pt idx="9">
                  <c:v>38.761333572648297</c:v>
                </c:pt>
                <c:pt idx="10">
                  <c:v>40.71751619789093</c:v>
                </c:pt>
                <c:pt idx="11">
                  <c:v>42.57611027513709</c:v>
                </c:pt>
                <c:pt idx="12">
                  <c:v>44.349307497184007</c:v>
                </c:pt>
                <c:pt idx="13">
                  <c:v>46.046926847682386</c:v>
                </c:pt>
                <c:pt idx="14">
                  <c:v>47.677014886415947</c:v>
                </c:pt>
                <c:pt idx="15">
                  <c:v>49.246264031562895</c:v>
                </c:pt>
                <c:pt idx="16">
                  <c:v>50.760311983030597</c:v>
                </c:pt>
                <c:pt idx="17">
                  <c:v>52.223961092767425</c:v>
                </c:pt>
                <c:pt idx="18">
                  <c:v>53.641342362063249</c:v>
                </c:pt>
                <c:pt idx="19">
                  <c:v>55.016040235427909</c:v>
                </c:pt>
                <c:pt idx="20">
                  <c:v>56.351189064194635</c:v>
                </c:pt>
                <c:pt idx="21">
                  <c:v>57.649548721451239</c:v>
                </c:pt>
                <c:pt idx="22">
                  <c:v>58.913564622632222</c:v>
                </c:pt>
                <c:pt idx="23">
                  <c:v>60.145415910128939</c:v>
                </c:pt>
                <c:pt idx="24">
                  <c:v>61.347054534971548</c:v>
                </c:pt>
                <c:pt idx="25">
                  <c:v>62.520237252985346</c:v>
                </c:pt>
                <c:pt idx="26">
                  <c:v>63.666552044969286</c:v>
                </c:pt>
                <c:pt idx="27">
                  <c:v>64.787440104573619</c:v>
                </c:pt>
                <c:pt idx="28">
                  <c:v>65.884214270304426</c:v>
                </c:pt>
                <c:pt idx="29">
                  <c:v>66.958074580380114</c:v>
                </c:pt>
                <c:pt idx="30">
                  <c:v>68.01012148118771</c:v>
                </c:pt>
                <c:pt idx="31">
                  <c:v>69.041367108124916</c:v>
                </c:pt>
                <c:pt idx="32">
                  <c:v>70.052744972044337</c:v>
                </c:pt>
                <c:pt idx="33">
                  <c:v>71.045118318506397</c:v>
                </c:pt>
                <c:pt idx="34">
                  <c:v>72.019287375678815</c:v>
                </c:pt>
                <c:pt idx="35">
                  <c:v>72.975995666419081</c:v>
                </c:pt>
                <c:pt idx="36">
                  <c:v>73.915935528216323</c:v>
                </c:pt>
                <c:pt idx="37">
                  <c:v>74.839752959299247</c:v>
                </c:pt>
                <c:pt idx="38">
                  <c:v>75.748051888881278</c:v>
                </c:pt>
                <c:pt idx="39">
                  <c:v>76.641397953105823</c:v>
                </c:pt>
                <c:pt idx="40">
                  <c:v>77.520321844941193</c:v>
                </c:pt>
                <c:pt idx="41">
                  <c:v>78.385322295404151</c:v>
                </c:pt>
                <c:pt idx="42">
                  <c:v>79.236868734573775</c:v>
                </c:pt>
                <c:pt idx="43">
                  <c:v>80.075403673500787</c:v>
                </c:pt>
                <c:pt idx="44">
                  <c:v>80.901344842019455</c:v>
                </c:pt>
                <c:pt idx="45">
                  <c:v>81.715087112394784</c:v>
                </c:pt>
                <c:pt idx="46">
                  <c:v>82.517004234489718</c:v>
                </c:pt>
                <c:pt idx="47">
                  <c:v>83.30745040457424</c:v>
                </c:pt>
                <c:pt idx="48">
                  <c:v>84.086761686890284</c:v>
                </c:pt>
                <c:pt idx="49">
                  <c:v>84.855257304543272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AB-41D2-B05E-CE0C852B9600}"/>
            </c:ext>
          </c:extLst>
        </c:ser>
        <c:ser>
          <c:idx val="10"/>
          <c:order val="10"/>
          <c:tx>
            <c:strRef>
              <c:f>Vega!$B$34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Vega!$C$34:$AZ$34</c:f>
              <c:numCache>
                <c:formatCode>General</c:formatCode>
                <c:ptCount val="50"/>
                <c:pt idx="0">
                  <c:v>4.1459744625109485</c:v>
                </c:pt>
                <c:pt idx="1">
                  <c:v>10.332955422391688</c:v>
                </c:pt>
                <c:pt idx="2">
                  <c:v>15.274679608962336</c:v>
                </c:pt>
                <c:pt idx="3">
                  <c:v>19.366366629160026</c:v>
                </c:pt>
                <c:pt idx="4">
                  <c:v>22.891366897286513</c:v>
                </c:pt>
                <c:pt idx="5">
                  <c:v>26.014283512817951</c:v>
                </c:pt>
                <c:pt idx="6">
                  <c:v>28.836210247206257</c:v>
                </c:pt>
                <c:pt idx="7">
                  <c:v>31.423293448931332</c:v>
                </c:pt>
                <c:pt idx="8">
                  <c:v>33.821167077407694</c:v>
                </c:pt>
                <c:pt idx="9">
                  <c:v>36.062690186445991</c:v>
                </c:pt>
                <c:pt idx="10">
                  <c:v>38.172359093003351</c:v>
                </c:pt>
                <c:pt idx="11">
                  <c:v>40.168964083728333</c:v>
                </c:pt>
                <c:pt idx="12">
                  <c:v>42.067264969228447</c:v>
                </c:pt>
                <c:pt idx="13">
                  <c:v>43.87909022702911</c:v>
                </c:pt>
                <c:pt idx="14">
                  <c:v>45.614082640107419</c:v>
                </c:pt>
                <c:pt idx="15">
                  <c:v>47.280219945182772</c:v>
                </c:pt>
                <c:pt idx="16">
                  <c:v>48.884187602588959</c:v>
                </c:pt>
                <c:pt idx="17">
                  <c:v>50.431651601008184</c:v>
                </c:pt>
                <c:pt idx="18">
                  <c:v>51.927461995662988</c:v>
                </c:pt>
                <c:pt idx="19">
                  <c:v>53.375807389774842</c:v>
                </c:pt>
                <c:pt idx="20">
                  <c:v>54.780333988829192</c:v>
                </c:pt>
                <c:pt idx="21">
                  <c:v>56.144238619845282</c:v>
                </c:pt>
                <c:pt idx="22">
                  <c:v>57.470342314586972</c:v>
                </c:pt>
                <c:pt idx="23">
                  <c:v>58.761149175040934</c:v>
                </c:pt>
                <c:pt idx="24">
                  <c:v>60.018893948888618</c:v>
                </c:pt>
                <c:pt idx="25">
                  <c:v>61.245580841456629</c:v>
                </c:pt>
                <c:pt idx="26">
                  <c:v>62.443015451200225</c:v>
                </c:pt>
                <c:pt idx="27">
                  <c:v>63.612831255440852</c:v>
                </c:pt>
                <c:pt idx="28">
                  <c:v>64.756511737206509</c:v>
                </c:pt>
                <c:pt idx="29">
                  <c:v>65.875408995911101</c:v>
                </c:pt>
                <c:pt idx="30">
                  <c:v>66.97075949921485</c:v>
                </c:pt>
                <c:pt idx="31">
                  <c:v>68.043697493397147</c:v>
                </c:pt>
                <c:pt idx="32">
                  <c:v>69.095266482785547</c:v>
                </c:pt>
                <c:pt idx="33">
                  <c:v>70.126429106580972</c:v>
                </c:pt>
                <c:pt idx="34">
                  <c:v>71.13807567759153</c:v>
                </c:pt>
                <c:pt idx="35">
                  <c:v>72.131031597426286</c:v>
                </c:pt>
                <c:pt idx="36">
                  <c:v>73.106063823293937</c:v>
                </c:pt>
                <c:pt idx="37">
                  <c:v>74.063886530248212</c:v>
                </c:pt>
                <c:pt idx="38">
                  <c:v>75.005166087687996</c:v>
                </c:pt>
                <c:pt idx="39">
                  <c:v>75.930525448770609</c:v>
                </c:pt>
                <c:pt idx="40">
                  <c:v>76.84054803508343</c:v>
                </c:pt>
                <c:pt idx="41">
                  <c:v>77.73578118563438</c:v>
                </c:pt>
                <c:pt idx="42">
                  <c:v>78.616739228345139</c:v>
                </c:pt>
                <c:pt idx="43">
                  <c:v>79.483906223282304</c:v>
                </c:pt>
                <c:pt idx="44">
                  <c:v>80.337738419459043</c:v>
                </c:pt>
                <c:pt idx="45">
                  <c:v>81.178666460893353</c:v>
                </c:pt>
                <c:pt idx="46">
                  <c:v>82.007097372477062</c:v>
                </c:pt>
                <c:pt idx="47">
                  <c:v>82.823416351912172</c:v>
                </c:pt>
                <c:pt idx="48">
                  <c:v>83.62798839035294</c:v>
                </c:pt>
                <c:pt idx="49">
                  <c:v>84.421159741338528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AB-41D2-B05E-CE0C852B9600}"/>
            </c:ext>
          </c:extLst>
        </c:ser>
        <c:ser>
          <c:idx val="11"/>
          <c:order val="11"/>
          <c:tx>
            <c:strRef>
              <c:f>Vega!$B$35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Vega!$C$35:$AZ$35</c:f>
              <c:numCache>
                <c:formatCode>General</c:formatCode>
                <c:ptCount val="50"/>
                <c:pt idx="0">
                  <c:v>1.1355073152064603</c:v>
                </c:pt>
                <c:pt idx="1">
                  <c:v>5.4377515022381848</c:v>
                </c:pt>
                <c:pt idx="2">
                  <c:v>9.9933417595957987</c:v>
                </c:pt>
                <c:pt idx="3">
                  <c:v>14.127284601816148</c:v>
                </c:pt>
                <c:pt idx="4">
                  <c:v>17.825651843380044</c:v>
                </c:pt>
                <c:pt idx="5">
                  <c:v>21.158960540408653</c:v>
                </c:pt>
                <c:pt idx="6">
                  <c:v>24.195071188978147</c:v>
                </c:pt>
                <c:pt idx="7">
                  <c:v>26.987963743602148</c:v>
                </c:pt>
                <c:pt idx="8">
                  <c:v>29.579147918734403</c:v>
                </c:pt>
                <c:pt idx="9">
                  <c:v>32.000599329500922</c:v>
                </c:pt>
                <c:pt idx="10">
                  <c:v>34.277246532155587</c:v>
                </c:pt>
                <c:pt idx="11">
                  <c:v>36.428811800236765</c:v>
                </c:pt>
                <c:pt idx="12">
                  <c:v>38.471130836198277</c:v>
                </c:pt>
                <c:pt idx="13">
                  <c:v>40.417097252182607</c:v>
                </c:pt>
                <c:pt idx="14">
                  <c:v>42.277344629864679</c:v>
                </c:pt>
                <c:pt idx="15">
                  <c:v>44.060745498627611</c:v>
                </c:pt>
                <c:pt idx="16">
                  <c:v>45.77478157259209</c:v>
                </c:pt>
                <c:pt idx="17">
                  <c:v>47.425822364717959</c:v>
                </c:pt>
                <c:pt idx="18">
                  <c:v>49.019337710335918</c:v>
                </c:pt>
                <c:pt idx="19">
                  <c:v>50.560061959578547</c:v>
                </c:pt>
                <c:pt idx="20">
                  <c:v>52.052122350391066</c:v>
                </c:pt>
                <c:pt idx="21">
                  <c:v>53.499140493906488</c:v>
                </c:pt>
                <c:pt idx="22">
                  <c:v>54.904313432133293</c:v>
                </c:pt>
                <c:pt idx="23">
                  <c:v>56.270478999371932</c:v>
                </c:pt>
                <c:pt idx="24">
                  <c:v>57.600168994619061</c:v>
                </c:pt>
                <c:pt idx="25">
                  <c:v>58.895652794495298</c:v>
                </c:pt>
                <c:pt idx="26">
                  <c:v>60.158973399395329</c:v>
                </c:pt>
                <c:pt idx="27">
                  <c:v>61.391977438246165</c:v>
                </c:pt>
                <c:pt idx="28">
                  <c:v>62.596340310646831</c:v>
                </c:pt>
                <c:pt idx="29">
                  <c:v>63.773587385453702</c:v>
                </c:pt>
                <c:pt idx="30">
                  <c:v>64.925111978406903</c:v>
                </c:pt>
                <c:pt idx="31">
                  <c:v>66.052190681414316</c:v>
                </c:pt>
                <c:pt idx="32">
                  <c:v>67.15599650063605</c:v>
                </c:pt>
                <c:pt idx="33">
                  <c:v>68.237610170884651</c:v>
                </c:pt>
                <c:pt idx="34">
                  <c:v>69.298029943756873</c:v>
                </c:pt>
                <c:pt idx="35">
                  <c:v>70.338180091688301</c:v>
                </c:pt>
                <c:pt idx="36">
                  <c:v>71.358918326318019</c:v>
                </c:pt>
                <c:pt idx="37">
                  <c:v>72.361042294579207</c:v>
                </c:pt>
                <c:pt idx="38">
                  <c:v>73.345295287839704</c:v>
                </c:pt>
                <c:pt idx="39">
                  <c:v>74.312371276717002</c:v>
                </c:pt>
                <c:pt idx="40">
                  <c:v>75.262919365751415</c:v>
                </c:pt>
                <c:pt idx="41">
                  <c:v>76.197547747056191</c:v>
                </c:pt>
                <c:pt idx="42">
                  <c:v>77.116827219697313</c:v>
                </c:pt>
                <c:pt idx="43">
                  <c:v>78.021294331356231</c:v>
                </c:pt>
                <c:pt idx="44">
                  <c:v>78.911454190373988</c:v>
                </c:pt>
                <c:pt idx="45">
                  <c:v>79.787782989242316</c:v>
                </c:pt>
                <c:pt idx="46">
                  <c:v>80.650730274724935</c:v>
                </c:pt>
                <c:pt idx="47">
                  <c:v>81.500720994860202</c:v>
                </c:pt>
                <c:pt idx="48">
                  <c:v>82.338157348938438</c:v>
                </c:pt>
                <c:pt idx="49">
                  <c:v>83.163420463033958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AB-41D2-B05E-CE0C852B9600}"/>
            </c:ext>
          </c:extLst>
        </c:ser>
        <c:ser>
          <c:idx val="12"/>
          <c:order val="12"/>
          <c:tx>
            <c:strRef>
              <c:f>Vega!$B$36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Vega!$C$36:$AZ$36</c:f>
              <c:numCache>
                <c:formatCode>General</c:formatCode>
                <c:ptCount val="50"/>
                <c:pt idx="0">
                  <c:v>0.20685250757256843</c:v>
                </c:pt>
                <c:pt idx="1">
                  <c:v>2.3332711412433973</c:v>
                </c:pt>
                <c:pt idx="2">
                  <c:v>5.7053408088958326</c:v>
                </c:pt>
                <c:pt idx="3">
                  <c:v>9.3034075502440565</c:v>
                </c:pt>
                <c:pt idx="4">
                  <c:v>12.788990708238194</c:v>
                </c:pt>
                <c:pt idx="5">
                  <c:v>16.072749659884916</c:v>
                </c:pt>
                <c:pt idx="6">
                  <c:v>19.144349454685663</c:v>
                </c:pt>
                <c:pt idx="7">
                  <c:v>22.017713675499852</c:v>
                </c:pt>
                <c:pt idx="8">
                  <c:v>24.712869597243458</c:v>
                </c:pt>
                <c:pt idx="9">
                  <c:v>27.249840451049845</c:v>
                </c:pt>
                <c:pt idx="10">
                  <c:v>29.646728739290456</c:v>
                </c:pt>
                <c:pt idx="11">
                  <c:v>31.919299934502128</c:v>
                </c:pt>
                <c:pt idx="12">
                  <c:v>34.081091574550697</c:v>
                </c:pt>
                <c:pt idx="13">
                  <c:v>36.143682576949637</c:v>
                </c:pt>
                <c:pt idx="14">
                  <c:v>38.116986097254774</c:v>
                </c:pt>
                <c:pt idx="15">
                  <c:v>40.009517834390095</c:v>
                </c:pt>
                <c:pt idx="16">
                  <c:v>41.828626364796939</c:v>
                </c:pt>
                <c:pt idx="17">
                  <c:v>43.580685299739272</c:v>
                </c:pt>
                <c:pt idx="18">
                  <c:v>45.271251589397984</c:v>
                </c:pt>
                <c:pt idx="19">
                  <c:v>46.905195347320529</c:v>
                </c:pt>
                <c:pt idx="20">
                  <c:v>48.486806297115216</c:v>
                </c:pt>
                <c:pt idx="21">
                  <c:v>50.019881245269673</c:v>
                </c:pt>
                <c:pt idx="22">
                  <c:v>51.507796221096086</c:v>
                </c:pt>
                <c:pt idx="23">
                  <c:v>52.9535662313343</c:v>
                </c:pt>
                <c:pt idx="24">
                  <c:v>54.359894991649256</c:v>
                </c:pt>
                <c:pt idx="25">
                  <c:v>55.729216520580913</c:v>
                </c:pt>
                <c:pt idx="26">
                  <c:v>57.063730100248399</c:v>
                </c:pt>
                <c:pt idx="27">
                  <c:v>58.365429805879714</c:v>
                </c:pt>
                <c:pt idx="28">
                  <c:v>59.636129567526417</c:v>
                </c:pt>
                <c:pt idx="29">
                  <c:v>60.877484538879088</c:v>
                </c:pt>
                <c:pt idx="30">
                  <c:v>62.091009399123713</c:v>
                </c:pt>
                <c:pt idx="31">
                  <c:v>63.27809409569231</c:v>
                </c:pt>
                <c:pt idx="32">
                  <c:v>64.440017441834968</c:v>
                </c:pt>
                <c:pt idx="33">
                  <c:v>65.577958907939788</c:v>
                </c:pt>
                <c:pt idx="34">
                  <c:v>66.693008885386163</c:v>
                </c:pt>
                <c:pt idx="35">
                  <c:v>67.786177653280404</c:v>
                </c:pt>
                <c:pt idx="36">
                  <c:v>68.858403239240928</c:v>
                </c:pt>
                <c:pt idx="37">
                  <c:v>69.910558333564779</c:v>
                </c:pt>
                <c:pt idx="38">
                  <c:v>70.943456390126542</c:v>
                </c:pt>
                <c:pt idx="39">
                  <c:v>71.957857026067131</c:v>
                </c:pt>
                <c:pt idx="40">
                  <c:v>72.954470814804822</c:v>
                </c:pt>
                <c:pt idx="41">
                  <c:v>73.933963552416785</c:v>
                </c:pt>
                <c:pt idx="42">
                  <c:v>74.896960065421041</c:v>
                </c:pt>
                <c:pt idx="43">
                  <c:v>75.844047617979399</c:v>
                </c:pt>
                <c:pt idx="44">
                  <c:v>76.775778968170087</c:v>
                </c:pt>
                <c:pt idx="45">
                  <c:v>77.692675115957471</c:v>
                </c:pt>
                <c:pt idx="46">
                  <c:v>78.595227779568276</c:v>
                </c:pt>
                <c:pt idx="47">
                  <c:v>79.483901631988999</c:v>
                </c:pt>
                <c:pt idx="48">
                  <c:v>80.359136325058927</c:v>
                </c:pt>
                <c:pt idx="49">
                  <c:v>81.221348325030689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AB-41D2-B05E-CE0C852B9600}"/>
            </c:ext>
          </c:extLst>
        </c:ser>
        <c:ser>
          <c:idx val="13"/>
          <c:order val="13"/>
          <c:tx>
            <c:strRef>
              <c:f>Vega!$B$37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Vega!$C$37:$AZ$37</c:f>
              <c:numCache>
                <c:formatCode>General</c:formatCode>
                <c:ptCount val="50"/>
                <c:pt idx="0">
                  <c:v>2.6396322770578431E-2</c:v>
                </c:pt>
                <c:pt idx="1">
                  <c:v>0.83776579671249973</c:v>
                </c:pt>
                <c:pt idx="2">
                  <c:v>2.8919931949563504</c:v>
                </c:pt>
                <c:pt idx="3">
                  <c:v>5.6032093638267746</c:v>
                </c:pt>
                <c:pt idx="4">
                  <c:v>8.5419800594485515</c:v>
                </c:pt>
                <c:pt idx="5">
                  <c:v>11.501755031066587</c:v>
                </c:pt>
                <c:pt idx="6">
                  <c:v>14.391583547437287</c:v>
                </c:pt>
                <c:pt idx="7">
                  <c:v>17.174563874605038</c:v>
                </c:pt>
                <c:pt idx="8">
                  <c:v>19.838851664708951</c:v>
                </c:pt>
                <c:pt idx="9">
                  <c:v>22.384180561821143</c:v>
                </c:pt>
                <c:pt idx="10">
                  <c:v>24.815478199994924</c:v>
                </c:pt>
                <c:pt idx="11">
                  <c:v>27.139786077905764</c:v>
                </c:pt>
                <c:pt idx="12">
                  <c:v>29.364762435143678</c:v>
                </c:pt>
                <c:pt idx="13">
                  <c:v>31.497963864486877</c:v>
                </c:pt>
                <c:pt idx="14">
                  <c:v>33.546517482938377</c:v>
                </c:pt>
                <c:pt idx="15">
                  <c:v>35.516990766815447</c:v>
                </c:pt>
                <c:pt idx="16">
                  <c:v>37.415360886456483</c:v>
                </c:pt>
                <c:pt idx="17">
                  <c:v>39.24703271924021</c:v>
                </c:pt>
                <c:pt idx="18">
                  <c:v>41.016878989808532</c:v>
                </c:pt>
                <c:pt idx="19">
                  <c:v>42.729288686192156</c:v>
                </c:pt>
                <c:pt idx="20">
                  <c:v>44.3882166466584</c:v>
                </c:pt>
                <c:pt idx="21">
                  <c:v>45.997230827047666</c:v>
                </c:pt>
                <c:pt idx="22">
                  <c:v>47.559555697113645</c:v>
                </c:pt>
                <c:pt idx="23">
                  <c:v>49.078111243810525</c:v>
                </c:pt>
                <c:pt idx="24">
                  <c:v>50.55554759147536</c:v>
                </c:pt>
                <c:pt idx="25">
                  <c:v>51.994275508139715</c:v>
                </c:pt>
                <c:pt idx="26">
                  <c:v>53.396493177816005</c:v>
                </c:pt>
                <c:pt idx="27">
                  <c:v>54.764209649568421</c:v>
                </c:pt>
                <c:pt idx="28">
                  <c:v>56.099265364025946</c:v>
                </c:pt>
                <c:pt idx="29">
                  <c:v>57.403350128173734</c:v>
                </c:pt>
                <c:pt idx="30">
                  <c:v>58.6780188715707</c:v>
                </c:pt>
                <c:pt idx="31">
                  <c:v>59.924705477925464</c:v>
                </c:pt>
                <c:pt idx="32">
                  <c:v>61.1447349484624</c:v>
                </c:pt>
                <c:pt idx="33">
                  <c:v>62.339334119232852</c:v>
                </c:pt>
                <c:pt idx="34">
                  <c:v>63.509641124017818</c:v>
                </c:pt>
                <c:pt idx="35">
                  <c:v>64.656713767760124</c:v>
                </c:pt>
                <c:pt idx="36">
                  <c:v>65.781536952326448</c:v>
                </c:pt>
                <c:pt idx="37">
                  <c:v>66.885029276491125</c:v>
                </c:pt>
                <c:pt idx="38">
                  <c:v>67.968048914973537</c:v>
                </c:pt>
                <c:pt idx="39">
                  <c:v>69.031398866778318</c:v>
                </c:pt>
                <c:pt idx="40">
                  <c:v>70.07583165063663</c:v>
                </c:pt>
                <c:pt idx="41">
                  <c:v>71.102053514719941</c:v>
                </c:pt>
                <c:pt idx="42">
                  <c:v>72.110728218723693</c:v>
                </c:pt>
                <c:pt idx="43">
                  <c:v>73.102480438665708</c:v>
                </c:pt>
                <c:pt idx="44">
                  <c:v>74.077898838109519</c:v>
                </c:pt>
                <c:pt idx="45">
                  <c:v>75.037538843842228</c:v>
                </c:pt>
                <c:pt idx="46">
                  <c:v>75.981925159158067</c:v>
                </c:pt>
                <c:pt idx="47">
                  <c:v>76.911554043709444</c:v>
                </c:pt>
                <c:pt idx="48">
                  <c:v>77.826895385275989</c:v>
                </c:pt>
                <c:pt idx="49">
                  <c:v>78.728394585688889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AB-41D2-B05E-CE0C852B9600}"/>
            </c:ext>
          </c:extLst>
        </c:ser>
        <c:ser>
          <c:idx val="14"/>
          <c:order val="14"/>
          <c:tx>
            <c:strRef>
              <c:f>Vega!$B$38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Vega!$C$38:$AZ$38</c:f>
              <c:numCache>
                <c:formatCode>General</c:formatCode>
                <c:ptCount val="50"/>
                <c:pt idx="0">
                  <c:v>2.466461525361167E-3</c:v>
                </c:pt>
                <c:pt idx="1">
                  <c:v>0.25734589818730608</c:v>
                </c:pt>
                <c:pt idx="2">
                  <c:v>1.3209299733984305</c:v>
                </c:pt>
                <c:pt idx="3">
                  <c:v>3.1207812645797253</c:v>
                </c:pt>
                <c:pt idx="4">
                  <c:v>5.3588475727461455</c:v>
                </c:pt>
                <c:pt idx="5">
                  <c:v>7.8115019427058465</c:v>
                </c:pt>
                <c:pt idx="6">
                  <c:v>10.34407289521341</c:v>
                </c:pt>
                <c:pt idx="7">
                  <c:v>12.880363658795959</c:v>
                </c:pt>
                <c:pt idx="8">
                  <c:v>15.378580943041788</c:v>
                </c:pt>
                <c:pt idx="9">
                  <c:v>17.816680549913194</c:v>
                </c:pt>
                <c:pt idx="10">
                  <c:v>20.183931490858175</c:v>
                </c:pt>
                <c:pt idx="11">
                  <c:v>22.476092114088743</c:v>
                </c:pt>
                <c:pt idx="12">
                  <c:v>24.692629078756443</c:v>
                </c:pt>
                <c:pt idx="13">
                  <c:v>26.835095328542575</c:v>
                </c:pt>
                <c:pt idx="14">
                  <c:v>28.90617419813999</c:v>
                </c:pt>
                <c:pt idx="15">
                  <c:v>30.90911237292207</c:v>
                </c:pt>
                <c:pt idx="16">
                  <c:v>32.847383278668474</c:v>
                </c:pt>
                <c:pt idx="17">
                  <c:v>34.724488813374215</c:v>
                </c:pt>
                <c:pt idx="18">
                  <c:v>36.543844981469341</c:v>
                </c:pt>
                <c:pt idx="19">
                  <c:v>38.30871874473663</c:v>
                </c:pt>
                <c:pt idx="20">
                  <c:v>40.022196197018879</c:v>
                </c:pt>
                <c:pt idx="21">
                  <c:v>41.687169817830373</c:v>
                </c:pt>
                <c:pt idx="22">
                  <c:v>43.306337201388416</c:v>
                </c:pt>
                <c:pt idx="23">
                  <c:v>44.882206512140556</c:v>
                </c:pt>
                <c:pt idx="24">
                  <c:v>46.417105693833555</c:v>
                </c:pt>
                <c:pt idx="25">
                  <c:v>47.913193574750842</c:v>
                </c:pt>
                <c:pt idx="26">
                  <c:v>49.372471717784528</c:v>
                </c:pt>
                <c:pt idx="27">
                  <c:v>50.796796313179669</c:v>
                </c:pt>
                <c:pt idx="28">
                  <c:v>52.187889698261245</c:v>
                </c:pt>
                <c:pt idx="29">
                  <c:v>53.547351271025079</c:v>
                </c:pt>
                <c:pt idx="30">
                  <c:v>54.876667680254116</c:v>
                </c:pt>
                <c:pt idx="31">
                  <c:v>56.177222247466034</c:v>
                </c:pt>
                <c:pt idx="32">
                  <c:v>57.450303620712553</c:v>
                </c:pt>
                <c:pt idx="33">
                  <c:v>58.697113686876719</c:v>
                </c:pt>
                <c:pt idx="34">
                  <c:v>59.918774784064588</c:v>
                </c:pt>
                <c:pt idx="35">
                  <c:v>61.116336263151581</c:v>
                </c:pt>
                <c:pt idx="36">
                  <c:v>62.29078045027093</c:v>
                </c:pt>
                <c:pt idx="37">
                  <c:v>63.443028061826446</c:v>
                </c:pt>
                <c:pt idx="38">
                  <c:v>64.573943121653656</c:v>
                </c:pt>
                <c:pt idx="39">
                  <c:v>65.684337427013233</c:v>
                </c:pt>
                <c:pt idx="40">
                  <c:v>66.774974606676494</c:v>
                </c:pt>
                <c:pt idx="41">
                  <c:v>67.846573810770479</c:v>
                </c:pt>
                <c:pt idx="42">
                  <c:v>68.899813068485301</c:v>
                </c:pt>
                <c:pt idx="43">
                  <c:v>69.935332346331975</c:v>
                </c:pt>
                <c:pt idx="44">
                  <c:v>70.953736336431177</c:v>
                </c:pt>
                <c:pt idx="45">
                  <c:v>71.955597001356821</c:v>
                </c:pt>
                <c:pt idx="46">
                  <c:v>72.941455899349208</c:v>
                </c:pt>
                <c:pt idx="47">
                  <c:v>73.91182631126172</c:v>
                </c:pt>
                <c:pt idx="48">
                  <c:v>74.867195188389132</c:v>
                </c:pt>
                <c:pt idx="49">
                  <c:v>75.808024938338065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5AB-41D2-B05E-CE0C852B9600}"/>
            </c:ext>
          </c:extLst>
        </c:ser>
        <c:ser>
          <c:idx val="15"/>
          <c:order val="15"/>
          <c:tx>
            <c:strRef>
              <c:f>Vega!$B$39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Vega!$C$39:$AZ$39</c:f>
              <c:numCache>
                <c:formatCode>General</c:formatCode>
                <c:ptCount val="50"/>
                <c:pt idx="0">
                  <c:v>1.753010902314504E-4</c:v>
                </c:pt>
                <c:pt idx="1">
                  <c:v>6.8932049054116401E-2</c:v>
                </c:pt>
                <c:pt idx="2">
                  <c:v>0.55061531676659159</c:v>
                </c:pt>
                <c:pt idx="3">
                  <c:v>1.6227966445448343</c:v>
                </c:pt>
                <c:pt idx="4">
                  <c:v>3.1819367439192572</c:v>
                </c:pt>
                <c:pt idx="5">
                  <c:v>5.0671947233936754</c:v>
                </c:pt>
                <c:pt idx="6">
                  <c:v>7.1476357882319839</c:v>
                </c:pt>
                <c:pt idx="7">
                  <c:v>9.3320554875542943</c:v>
                </c:pt>
                <c:pt idx="8">
                  <c:v>11.560345928134989</c:v>
                </c:pt>
                <c:pt idx="9">
                  <c:v>13.793855243276576</c:v>
                </c:pt>
                <c:pt idx="10">
                  <c:v>16.008140328869402</c:v>
                </c:pt>
                <c:pt idx="11">
                  <c:v>18.188049590770667</c:v>
                </c:pt>
                <c:pt idx="12">
                  <c:v>20.324494709306865</c:v>
                </c:pt>
                <c:pt idx="13">
                  <c:v>22.412348432190452</c:v>
                </c:pt>
                <c:pt idx="14">
                  <c:v>24.449073010843861</c:v>
                </c:pt>
                <c:pt idx="15">
                  <c:v>26.433820053981218</c:v>
                </c:pt>
                <c:pt idx="16">
                  <c:v>28.36683561661167</c:v>
                </c:pt>
                <c:pt idx="17">
                  <c:v>30.249064412959363</c:v>
                </c:pt>
                <c:pt idx="18">
                  <c:v>32.081885105682971</c:v>
                </c:pt>
                <c:pt idx="19">
                  <c:v>33.866932678137182</c:v>
                </c:pt>
                <c:pt idx="20">
                  <c:v>35.605979169844161</c:v>
                </c:pt>
                <c:pt idx="21">
                  <c:v>37.300853834240748</c:v>
                </c:pt>
                <c:pt idx="22">
                  <c:v>38.953390101254008</c:v>
                </c:pt>
                <c:pt idx="23">
                  <c:v>40.565390859516484</c:v>
                </c:pt>
                <c:pt idx="24">
                  <c:v>42.138606301885602</c:v>
                </c:pt>
                <c:pt idx="25">
                  <c:v>43.674720398427667</c:v>
                </c:pt>
                <c:pt idx="26">
                  <c:v>45.175343287290623</c:v>
                </c:pt>
                <c:pt idx="27">
                  <c:v>46.642007707350174</c:v>
                </c:pt>
                <c:pt idx="28">
                  <c:v>48.076168167697915</c:v>
                </c:pt>
                <c:pt idx="29">
                  <c:v>49.479201943433772</c:v>
                </c:pt>
                <c:pt idx="30">
                  <c:v>50.852411261374968</c:v>
                </c:pt>
                <c:pt idx="31">
                  <c:v>52.197026230979326</c:v>
                </c:pt>
                <c:pt idx="32">
                  <c:v>53.514208210471146</c:v>
                </c:pt>
                <c:pt idx="33">
                  <c:v>54.805053393177936</c:v>
                </c:pt>
                <c:pt idx="34">
                  <c:v>56.070596466317895</c:v>
                </c:pt>
                <c:pt idx="35">
                  <c:v>57.311814242129543</c:v>
                </c:pt>
                <c:pt idx="36">
                  <c:v>58.529629195024206</c:v>
                </c:pt>
                <c:pt idx="37">
                  <c:v>59.724912862370608</c:v>
                </c:pt>
                <c:pt idx="38">
                  <c:v>60.898489083414468</c:v>
                </c:pt>
                <c:pt idx="39">
                  <c:v>62.051137062691957</c:v>
                </c:pt>
                <c:pt idx="40">
                  <c:v>63.183594252544523</c:v>
                </c:pt>
                <c:pt idx="41">
                  <c:v>64.29655905499844</c:v>
                </c:pt>
                <c:pt idx="42">
                  <c:v>65.390693347072656</c:v>
                </c:pt>
                <c:pt idx="43">
                  <c:v>66.466624836049775</c:v>
                </c:pt>
                <c:pt idx="44">
                  <c:v>67.524949252764927</c:v>
                </c:pt>
                <c:pt idx="45">
                  <c:v>68.566232391820677</c:v>
                </c:pt>
                <c:pt idx="46">
                  <c:v>69.591012008011148</c:v>
                </c:pt>
                <c:pt idx="47">
                  <c:v>70.599799578292362</c:v>
                </c:pt>
                <c:pt idx="48">
                  <c:v>71.593081938462191</c:v>
                </c:pt>
                <c:pt idx="49">
                  <c:v>72.571322803396555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5AB-41D2-B05E-CE0C852B9600}"/>
            </c:ext>
          </c:extLst>
        </c:ser>
        <c:ser>
          <c:idx val="16"/>
          <c:order val="16"/>
          <c:tx>
            <c:strRef>
              <c:f>Vega!$B$40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Vega!$C$40:$AZ$40</c:f>
              <c:numCache>
                <c:formatCode>General</c:formatCode>
                <c:ptCount val="50"/>
                <c:pt idx="0">
                  <c:v>9.7937749170318685E-6</c:v>
                </c:pt>
                <c:pt idx="1">
                  <c:v>1.6367344465552196E-2</c:v>
                </c:pt>
                <c:pt idx="2">
                  <c:v>0.21177230646577411</c:v>
                </c:pt>
                <c:pt idx="3">
                  <c:v>0.79435914841497812</c:v>
                </c:pt>
                <c:pt idx="4">
                  <c:v>1.8000455519786431</c:v>
                </c:pt>
                <c:pt idx="5">
                  <c:v>3.1568381504252208</c:v>
                </c:pt>
                <c:pt idx="6">
                  <c:v>4.7705729750376964</c:v>
                </c:pt>
                <c:pt idx="7">
                  <c:v>6.5588544899120951</c:v>
                </c:pt>
                <c:pt idx="8">
                  <c:v>8.4581782621465393</c:v>
                </c:pt>
                <c:pt idx="9">
                  <c:v>10.422116521119738</c:v>
                </c:pt>
                <c:pt idx="10">
                  <c:v>12.417565045458458</c:v>
                </c:pt>
                <c:pt idx="11">
                  <c:v>14.421245640944534</c:v>
                </c:pt>
                <c:pt idx="12">
                  <c:v>16.416958628038874</c:v>
                </c:pt>
                <c:pt idx="13">
                  <c:v>18.393556616204599</c:v>
                </c:pt>
                <c:pt idx="14">
                  <c:v>20.343488444324425</c:v>
                </c:pt>
                <c:pt idx="15">
                  <c:v>22.261762977384244</c:v>
                </c:pt>
                <c:pt idx="16">
                  <c:v>24.145213125081817</c:v>
                </c:pt>
                <c:pt idx="17">
                  <c:v>25.99197209659723</c:v>
                </c:pt>
                <c:pt idx="18">
                  <c:v>27.801099292447692</c:v>
                </c:pt>
                <c:pt idx="19">
                  <c:v>29.572311895113678</c:v>
                </c:pt>
                <c:pt idx="20">
                  <c:v>31.305791437848995</c:v>
                </c:pt>
                <c:pt idx="21">
                  <c:v>33.002043846719118</c:v>
                </c:pt>
                <c:pt idx="22">
                  <c:v>34.661797842173847</c:v>
                </c:pt>
                <c:pt idx="23">
                  <c:v>36.285931020250494</c:v>
                </c:pt>
                <c:pt idx="24">
                  <c:v>37.875416019840181</c:v>
                </c:pt>
                <c:pt idx="25">
                  <c:v>39.431281341928958</c:v>
                </c:pt>
                <c:pt idx="26">
                  <c:v>40.95458290692337</c:v>
                </c:pt>
                <c:pt idx="27">
                  <c:v>42.44638351336944</c:v>
                </c:pt>
                <c:pt idx="28">
                  <c:v>43.907738129798695</c:v>
                </c:pt>
                <c:pt idx="29">
                  <c:v>45.339683503257277</c:v>
                </c:pt>
                <c:pt idx="30">
                  <c:v>46.743230966930106</c:v>
                </c:pt>
                <c:pt idx="31">
                  <c:v>48.119361619371112</c:v>
                </c:pt>
                <c:pt idx="32">
                  <c:v>49.469023260104109</c:v>
                </c:pt>
                <c:pt idx="33">
                  <c:v>50.793128622528876</c:v>
                </c:pt>
                <c:pt idx="34">
                  <c:v>52.092554560576538</c:v>
                </c:pt>
                <c:pt idx="35">
                  <c:v>53.368141931408168</c:v>
                </c:pt>
                <c:pt idx="36">
                  <c:v>54.620695980541889</c:v>
                </c:pt>
                <c:pt idx="37">
                  <c:v>55.850987083835541</c:v>
                </c:pt>
                <c:pt idx="38">
                  <c:v>57.059751736891819</c:v>
                </c:pt>
                <c:pt idx="39">
                  <c:v>58.247693709726128</c:v>
                </c:pt>
                <c:pt idx="40">
                  <c:v>59.41548530517462</c:v>
                </c:pt>
                <c:pt idx="41">
                  <c:v>60.563768675168973</c:v>
                </c:pt>
                <c:pt idx="42">
                  <c:v>61.693157160889612</c:v>
                </c:pt>
                <c:pt idx="43">
                  <c:v>62.804236631847168</c:v>
                </c:pt>
                <c:pt idx="44">
                  <c:v>63.89756680581182</c:v>
                </c:pt>
                <c:pt idx="45">
                  <c:v>64.973682536737357</c:v>
                </c:pt>
                <c:pt idx="46">
                  <c:v>66.03309506178843</c:v>
                </c:pt>
                <c:pt idx="47">
                  <c:v>67.076293201585344</c:v>
                </c:pt>
                <c:pt idx="48">
                  <c:v>68.103744510043043</c:v>
                </c:pt>
                <c:pt idx="49">
                  <c:v>69.115896371880396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5AB-41D2-B05E-CE0C852B960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313691696"/>
        <c:axId val="313687376"/>
        <c:axId val="320050672"/>
      </c:surface3DChart>
      <c:catAx>
        <c:axId val="313691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87376"/>
        <c:crosses val="autoZero"/>
        <c:auto val="1"/>
        <c:lblAlgn val="ctr"/>
        <c:lblOffset val="100"/>
        <c:noMultiLvlLbl val="0"/>
      </c:catAx>
      <c:valAx>
        <c:axId val="31368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91696"/>
        <c:crosses val="autoZero"/>
        <c:crossBetween val="midCat"/>
      </c:valAx>
      <c:serAx>
        <c:axId val="3200506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87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Vega, vol=40%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/>
      <c:surface3DChart>
        <c:wireframe val="0"/>
        <c:ser>
          <c:idx val="0"/>
          <c:order val="0"/>
          <c:tx>
            <c:strRef>
              <c:f>Vega!$B$45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Vega!$C$45:$AZ$45</c:f>
              <c:numCache>
                <c:formatCode>General</c:formatCode>
                <c:ptCount val="50"/>
                <c:pt idx="0">
                  <c:v>2.8927681053429895E-3</c:v>
                </c:pt>
                <c:pt idx="1">
                  <c:v>0.24068468973762946</c:v>
                </c:pt>
                <c:pt idx="2">
                  <c:v>1.1445493023792699</c:v>
                </c:pt>
                <c:pt idx="3">
                  <c:v>2.6009046105173712</c:v>
                </c:pt>
                <c:pt idx="4">
                  <c:v>4.3606581170885557</c:v>
                </c:pt>
                <c:pt idx="5">
                  <c:v>6.2530413035552028</c:v>
                </c:pt>
                <c:pt idx="6">
                  <c:v>8.180603506862747</c:v>
                </c:pt>
                <c:pt idx="7">
                  <c:v>10.090715910465395</c:v>
                </c:pt>
                <c:pt idx="8">
                  <c:v>11.955990902775312</c:v>
                </c:pt>
                <c:pt idx="9">
                  <c:v>13.76303859788765</c:v>
                </c:pt>
                <c:pt idx="10">
                  <c:v>15.506231241512264</c:v>
                </c:pt>
                <c:pt idx="11">
                  <c:v>17.184239103030748</c:v>
                </c:pt>
                <c:pt idx="12">
                  <c:v>18.798083731151003</c:v>
                </c:pt>
                <c:pt idx="13">
                  <c:v>20.350030559998647</c:v>
                </c:pt>
                <c:pt idx="14">
                  <c:v>21.842953512525479</c:v>
                </c:pt>
                <c:pt idx="15">
                  <c:v>23.279969571720645</c:v>
                </c:pt>
                <c:pt idx="16">
                  <c:v>24.664230109540355</c:v>
                </c:pt>
                <c:pt idx="17">
                  <c:v>25.998804321336614</c:v>
                </c:pt>
                <c:pt idx="18">
                  <c:v>27.286617190518637</c:v>
                </c:pt>
                <c:pt idx="19">
                  <c:v>28.530419807145872</c:v>
                </c:pt>
                <c:pt idx="20">
                  <c:v>29.732778785273464</c:v>
                </c:pt>
                <c:pt idx="21">
                  <c:v>30.896076779677227</c:v>
                </c:pt>
                <c:pt idx="22">
                  <c:v>32.022519245176319</c:v>
                </c:pt>
                <c:pt idx="23">
                  <c:v>33.114144484711616</c:v>
                </c:pt>
                <c:pt idx="24">
                  <c:v>34.17283519656327</c:v>
                </c:pt>
                <c:pt idx="25">
                  <c:v>35.200330448908943</c:v>
                </c:pt>
                <c:pt idx="26">
                  <c:v>36.198237454655093</c:v>
                </c:pt>
                <c:pt idx="27">
                  <c:v>37.168042795400233</c:v>
                </c:pt>
                <c:pt idx="28">
                  <c:v>38.111122914083509</c:v>
                </c:pt>
                <c:pt idx="29">
                  <c:v>39.028753800546461</c:v>
                </c:pt>
                <c:pt idx="30">
                  <c:v>39.922119857324525</c:v>
                </c:pt>
                <c:pt idx="31">
                  <c:v>40.792321969846839</c:v>
                </c:pt>
                <c:pt idx="32">
                  <c:v>41.640384825580547</c:v>
                </c:pt>
                <c:pt idx="33">
                  <c:v>42.467263536697857</c:v>
                </c:pt>
                <c:pt idx="34">
                  <c:v>43.273849624522306</c:v>
                </c:pt>
                <c:pt idx="35">
                  <c:v>44.060976423851962</c:v>
                </c:pt>
                <c:pt idx="36">
                  <c:v>44.829423962873925</c:v>
                </c:pt>
                <c:pt idx="37">
                  <c:v>45.579923370801723</c:v>
                </c:pt>
                <c:pt idx="38">
                  <c:v>46.313160861227267</c:v>
                </c:pt>
                <c:pt idx="39">
                  <c:v>47.029781334880965</c:v>
                </c:pt>
                <c:pt idx="40">
                  <c:v>47.730391641275148</c:v>
                </c:pt>
                <c:pt idx="41">
                  <c:v>48.415563534704113</c:v>
                </c:pt>
                <c:pt idx="42">
                  <c:v>49.085836356359287</c:v>
                </c:pt>
                <c:pt idx="43">
                  <c:v>49.741719470921844</c:v>
                </c:pt>
                <c:pt idx="44">
                  <c:v>50.383694482919374</c:v>
                </c:pt>
                <c:pt idx="45">
                  <c:v>51.012217255371269</c:v>
                </c:pt>
                <c:pt idx="46">
                  <c:v>51.627719750776635</c:v>
                </c:pt>
                <c:pt idx="47">
                  <c:v>52.23061171229908</c:v>
                </c:pt>
                <c:pt idx="48">
                  <c:v>52.82128220104763</c:v>
                </c:pt>
                <c:pt idx="49">
                  <c:v>53.400101003619127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60-4723-A3EE-4E8078BC5C26}"/>
            </c:ext>
          </c:extLst>
        </c:ser>
        <c:ser>
          <c:idx val="1"/>
          <c:order val="1"/>
          <c:tx>
            <c:strRef>
              <c:f>Vega!$B$46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Vega!$C$46:$AZ$46</c:f>
              <c:numCache>
                <c:formatCode>General</c:formatCode>
                <c:ptCount val="50"/>
                <c:pt idx="0">
                  <c:v>3.1579576064734875E-2</c:v>
                </c:pt>
                <c:pt idx="1">
                  <c:v>0.80928038345433906</c:v>
                </c:pt>
                <c:pt idx="2">
                  <c:v>2.5989884194033275</c:v>
                </c:pt>
                <c:pt idx="3">
                  <c:v>4.8534874326461397</c:v>
                </c:pt>
                <c:pt idx="4">
                  <c:v>7.2333138746273917</c:v>
                </c:pt>
                <c:pt idx="5">
                  <c:v>9.5891569679737607</c:v>
                </c:pt>
                <c:pt idx="6">
                  <c:v>11.860966723037398</c:v>
                </c:pt>
                <c:pt idx="7">
                  <c:v>14.027844163030693</c:v>
                </c:pt>
                <c:pt idx="8">
                  <c:v>16.085990332727391</c:v>
                </c:pt>
                <c:pt idx="9">
                  <c:v>18.038946672761909</c:v>
                </c:pt>
                <c:pt idx="10">
                  <c:v>19.893177390891516</c:v>
                </c:pt>
                <c:pt idx="11">
                  <c:v>21.656041890009046</c:v>
                </c:pt>
                <c:pt idx="12">
                  <c:v>23.334871052607813</c:v>
                </c:pt>
                <c:pt idx="13">
                  <c:v>24.936566080038947</c:v>
                </c:pt>
                <c:pt idx="14">
                  <c:v>26.467447880717664</c:v>
                </c:pt>
                <c:pt idx="15">
                  <c:v>27.933226034316547</c:v>
                </c:pt>
                <c:pt idx="16">
                  <c:v>29.339022962937957</c:v>
                </c:pt>
                <c:pt idx="17">
                  <c:v>30.689421345015912</c:v>
                </c:pt>
                <c:pt idx="18">
                  <c:v>31.988518950030333</c:v>
                </c:pt>
                <c:pt idx="19">
                  <c:v>33.239983248380398</c:v>
                </c:pt>
                <c:pt idx="20">
                  <c:v>34.447102327226915</c:v>
                </c:pt>
                <c:pt idx="21">
                  <c:v>35.612830771753401</c:v>
                </c:pt>
                <c:pt idx="22">
                  <c:v>36.739830236962867</c:v>
                </c:pt>
                <c:pt idx="23">
                  <c:v>37.830504945110668</c:v>
                </c:pt>
                <c:pt idx="24">
                  <c:v>38.887032563777872</c:v>
                </c:pt>
                <c:pt idx="25">
                  <c:v>39.911390990104557</c:v>
                </c:pt>
                <c:pt idx="26">
                  <c:v>40.905381562810902</c:v>
                </c:pt>
                <c:pt idx="27">
                  <c:v>41.870649185266466</c:v>
                </c:pt>
                <c:pt idx="28">
                  <c:v>42.808699791070595</c:v>
                </c:pt>
                <c:pt idx="29">
                  <c:v>43.720915529194016</c:v>
                </c:pt>
                <c:pt idx="30">
                  <c:v>44.608567993976749</c:v>
                </c:pt>
                <c:pt idx="31">
                  <c:v>45.472829778475315</c:v>
                </c:pt>
                <c:pt idx="32">
                  <c:v>46.314784588531438</c:v>
                </c:pt>
                <c:pt idx="33">
                  <c:v>47.135436119424597</c:v>
                </c:pt>
                <c:pt idx="34">
                  <c:v>47.93571586663446</c:v>
                </c:pt>
                <c:pt idx="35">
                  <c:v>48.716490016489963</c:v>
                </c:pt>
                <c:pt idx="36">
                  <c:v>49.4785655407102</c:v>
                </c:pt>
                <c:pt idx="37">
                  <c:v>50.222695600470097</c:v>
                </c:pt>
                <c:pt idx="38">
                  <c:v>50.949584350131573</c:v>
                </c:pt>
                <c:pt idx="39">
                  <c:v>51.659891217713842</c:v>
                </c:pt>
                <c:pt idx="40">
                  <c:v>52.354234728147119</c:v>
                </c:pt>
                <c:pt idx="41">
                  <c:v>53.033195926031198</c:v>
                </c:pt>
                <c:pt idx="42">
                  <c:v>53.697321446727621</c:v>
                </c:pt>
                <c:pt idx="43">
                  <c:v>54.347126277920594</c:v>
                </c:pt>
                <c:pt idx="44">
                  <c:v>54.983096248091599</c:v>
                </c:pt>
                <c:pt idx="45">
                  <c:v>55.605690273507442</c:v>
                </c:pt>
                <c:pt idx="46">
                  <c:v>56.215342391184421</c:v>
                </c:pt>
                <c:pt idx="47">
                  <c:v>56.812463601752469</c:v>
                </c:pt>
                <c:pt idx="48">
                  <c:v>57.397443543108118</c:v>
                </c:pt>
                <c:pt idx="49">
                  <c:v>57.970652013136316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60-4723-A3EE-4E8078BC5C26}"/>
            </c:ext>
          </c:extLst>
        </c:ser>
        <c:ser>
          <c:idx val="2"/>
          <c:order val="2"/>
          <c:tx>
            <c:strRef>
              <c:f>Vega!$B$47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Vega!$C$47:$AZ$47</c:f>
              <c:numCache>
                <c:formatCode>General</c:formatCode>
                <c:ptCount val="50"/>
                <c:pt idx="0">
                  <c:v>0.20206432933194751</c:v>
                </c:pt>
                <c:pt idx="1">
                  <c:v>2.0805640593227528</c:v>
                </c:pt>
                <c:pt idx="2">
                  <c:v>4.9304436135104535</c:v>
                </c:pt>
                <c:pt idx="3">
                  <c:v>7.9092508197023887</c:v>
                </c:pt>
                <c:pt idx="4">
                  <c:v>10.760157334795643</c:v>
                </c:pt>
                <c:pt idx="5">
                  <c:v>13.423372846849714</c:v>
                </c:pt>
                <c:pt idx="6">
                  <c:v>15.89805917536523</c:v>
                </c:pt>
                <c:pt idx="7">
                  <c:v>18.20002780509374</c:v>
                </c:pt>
                <c:pt idx="8">
                  <c:v>20.348335364106937</c:v>
                </c:pt>
                <c:pt idx="9">
                  <c:v>22.361051898798774</c:v>
                </c:pt>
                <c:pt idx="10">
                  <c:v>24.254101290874463</c:v>
                </c:pt>
                <c:pt idx="11">
                  <c:v>26.041146158135668</c:v>
                </c:pt>
                <c:pt idx="12">
                  <c:v>27.733806305794864</c:v>
                </c:pt>
                <c:pt idx="13">
                  <c:v>29.341955800699488</c:v>
                </c:pt>
                <c:pt idx="14">
                  <c:v>30.874009690355525</c:v>
                </c:pt>
                <c:pt idx="15">
                  <c:v>32.337173336677232</c:v>
                </c:pt>
                <c:pt idx="16">
                  <c:v>33.73765026199797</c:v>
                </c:pt>
                <c:pt idx="17">
                  <c:v>35.080812300599455</c:v>
                </c:pt>
                <c:pt idx="18">
                  <c:v>36.371337943871012</c:v>
                </c:pt>
                <c:pt idx="19">
                  <c:v>37.613324708478778</c:v>
                </c:pt>
                <c:pt idx="20">
                  <c:v>38.810380596978696</c:v>
                </c:pt>
                <c:pt idx="21">
                  <c:v>39.965698826039919</c:v>
                </c:pt>
                <c:pt idx="22">
                  <c:v>41.082119174402251</c:v>
                </c:pt>
                <c:pt idx="23">
                  <c:v>42.162178610247601</c:v>
                </c:pt>
                <c:pt idx="24">
                  <c:v>43.208153298565492</c:v>
                </c:pt>
                <c:pt idx="25">
                  <c:v>44.222093646664973</c:v>
                </c:pt>
                <c:pt idx="26">
                  <c:v>45.205853699211886</c:v>
                </c:pt>
                <c:pt idx="27">
                  <c:v>46.161115923367333</c:v>
                </c:pt>
                <c:pt idx="28">
                  <c:v>47.089412213176651</c:v>
                </c:pt>
                <c:pt idx="29">
                  <c:v>47.992141776978457</c:v>
                </c:pt>
                <c:pt idx="30">
                  <c:v>48.870586441834917</c:v>
                </c:pt>
                <c:pt idx="31">
                  <c:v>49.725923806754125</c:v>
                </c:pt>
                <c:pt idx="32">
                  <c:v>50.559238595583267</c:v>
                </c:pt>
                <c:pt idx="33">
                  <c:v>51.371532496141192</c:v>
                </c:pt>
                <c:pt idx="34">
                  <c:v>52.163732720785546</c:v>
                </c:pt>
                <c:pt idx="35">
                  <c:v>52.936699482369569</c:v>
                </c:pt>
                <c:pt idx="36">
                  <c:v>53.691232546278478</c:v>
                </c:pt>
                <c:pt idx="37">
                  <c:v>54.428076992274185</c:v>
                </c:pt>
                <c:pt idx="38">
                  <c:v>55.147928297923521</c:v>
                </c:pt>
                <c:pt idx="39">
                  <c:v>55.851436837426988</c:v>
                </c:pt>
                <c:pt idx="40">
                  <c:v>56.539211874910485</c:v>
                </c:pt>
                <c:pt idx="41">
                  <c:v>57.211825119067299</c:v>
                </c:pt>
                <c:pt idx="42">
                  <c:v>57.869813895949584</c:v>
                </c:pt>
                <c:pt idx="43">
                  <c:v>58.513683988315982</c:v>
                </c:pt>
                <c:pt idx="44">
                  <c:v>59.143912182932027</c:v>
                </c:pt>
                <c:pt idx="45">
                  <c:v>59.760948561344811</c:v>
                </c:pt>
                <c:pt idx="46">
                  <c:v>60.365218564707995</c:v>
                </c:pt>
                <c:pt idx="47">
                  <c:v>60.957124859060379</c:v>
                </c:pt>
                <c:pt idx="48">
                  <c:v>61.537049023923601</c:v>
                </c:pt>
                <c:pt idx="49">
                  <c:v>62.105353084079425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60-4723-A3EE-4E8078BC5C26}"/>
            </c:ext>
          </c:extLst>
        </c:ser>
        <c:ser>
          <c:idx val="3"/>
          <c:order val="3"/>
          <c:tx>
            <c:strRef>
              <c:f>Vega!$B$48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Vega!$C$48:$AZ$48</c:f>
              <c:numCache>
                <c:formatCode>General</c:formatCode>
                <c:ptCount val="50"/>
                <c:pt idx="0">
                  <c:v>0.83549282953431669</c:v>
                </c:pt>
                <c:pt idx="1">
                  <c:v>4.2949892755009333</c:v>
                </c:pt>
                <c:pt idx="2">
                  <c:v>8.0743882386319257</c:v>
                </c:pt>
                <c:pt idx="3">
                  <c:v>11.536665460683977</c:v>
                </c:pt>
                <c:pt idx="4">
                  <c:v>14.641863859578905</c:v>
                </c:pt>
                <c:pt idx="5">
                  <c:v>17.439254838188226</c:v>
                </c:pt>
                <c:pt idx="6">
                  <c:v>19.9822801148397</c:v>
                </c:pt>
                <c:pt idx="7">
                  <c:v>22.315107435720602</c:v>
                </c:pt>
                <c:pt idx="8">
                  <c:v>24.472370399729815</c:v>
                </c:pt>
                <c:pt idx="9">
                  <c:v>26.481071633792659</c:v>
                </c:pt>
                <c:pt idx="10">
                  <c:v>28.362438458300513</c:v>
                </c:pt>
                <c:pt idx="11">
                  <c:v>30.133368705406117</c:v>
                </c:pt>
                <c:pt idx="12">
                  <c:v>31.807495747300962</c:v>
                </c:pt>
                <c:pt idx="13">
                  <c:v>33.395963708317908</c:v>
                </c:pt>
                <c:pt idx="14">
                  <c:v>34.907993832372455</c:v>
                </c:pt>
                <c:pt idx="15">
                  <c:v>36.351302363970291</c:v>
                </c:pt>
                <c:pt idx="16">
                  <c:v>37.732412637809986</c:v>
                </c:pt>
                <c:pt idx="17">
                  <c:v>39.056891149041135</c:v>
                </c:pt>
                <c:pt idx="18">
                  <c:v>40.329528380829103</c:v>
                </c:pt>
                <c:pt idx="19">
                  <c:v>41.554478995813469</c:v>
                </c:pt>
                <c:pt idx="20">
                  <c:v>42.73537176694466</c:v>
                </c:pt>
                <c:pt idx="21">
                  <c:v>43.87539670315789</c:v>
                </c:pt>
                <c:pt idx="22">
                  <c:v>44.977374790930526</c:v>
                </c:pt>
                <c:pt idx="23">
                  <c:v>46.043814339878026</c:v>
                </c:pt>
                <c:pt idx="24">
                  <c:v>47.076956899791398</c:v>
                </c:pt>
                <c:pt idx="25">
                  <c:v>48.07881498105295</c:v>
                </c:pt>
                <c:pt idx="26">
                  <c:v>49.051203274533712</c:v>
                </c:pt>
                <c:pt idx="27">
                  <c:v>49.995764672483503</c:v>
                </c:pt>
                <c:pt idx="28">
                  <c:v>50.913992098347862</c:v>
                </c:pt>
                <c:pt idx="29">
                  <c:v>51.807246932882791</c:v>
                </c:pt>
                <c:pt idx="30">
                  <c:v>52.676774656685822</c:v>
                </c:pt>
                <c:pt idx="31">
                  <c:v>53.523718201314885</c:v>
                </c:pt>
                <c:pt idx="32">
                  <c:v>54.349129402469472</c:v>
                </c:pt>
                <c:pt idx="33">
                  <c:v>55.153978871970928</c:v>
                </c:pt>
                <c:pt idx="34">
                  <c:v>55.939164545167685</c:v>
                </c:pt>
                <c:pt idx="35">
                  <c:v>56.705519112968695</c:v>
                </c:pt>
                <c:pt idx="36">
                  <c:v>57.453816510044106</c:v>
                </c:pt>
                <c:pt idx="37">
                  <c:v>58.184777600626461</c:v>
                </c:pt>
                <c:pt idx="38">
                  <c:v>58.899075179135785</c:v>
                </c:pt>
                <c:pt idx="39">
                  <c:v>59.597338383269907</c:v>
                </c:pt>
                <c:pt idx="40">
                  <c:v>60.28015660127636</c:v>
                </c:pt>
                <c:pt idx="41">
                  <c:v>60.948082942103042</c:v>
                </c:pt>
                <c:pt idx="42">
                  <c:v>61.60163732642738</c:v>
                </c:pt>
                <c:pt idx="43">
                  <c:v>62.241309247734584</c:v>
                </c:pt>
                <c:pt idx="44">
                  <c:v>62.867560245291088</c:v>
                </c:pt>
                <c:pt idx="45">
                  <c:v>63.480826124761869</c:v>
                </c:pt>
                <c:pt idx="46">
                  <c:v>64.081518957118035</c:v>
                </c:pt>
                <c:pt idx="47">
                  <c:v>64.670028882199261</c:v>
                </c:pt>
                <c:pt idx="48">
                  <c:v>65.246725739684294</c:v>
                </c:pt>
                <c:pt idx="49">
                  <c:v>65.811960547170045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60-4723-A3EE-4E8078BC5C26}"/>
            </c:ext>
          </c:extLst>
        </c:ser>
        <c:ser>
          <c:idx val="4"/>
          <c:order val="4"/>
          <c:tx>
            <c:strRef>
              <c:f>Vega!$B$49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Vega!$C$49:$AZ$49</c:f>
              <c:numCache>
                <c:formatCode>General</c:formatCode>
                <c:ptCount val="50"/>
                <c:pt idx="0">
                  <c:v>2.4078877530459213</c:v>
                </c:pt>
                <c:pt idx="1">
                  <c:v>7.3950331037818353</c:v>
                </c:pt>
                <c:pt idx="2">
                  <c:v>11.70889313537883</c:v>
                </c:pt>
                <c:pt idx="3">
                  <c:v>15.353259903420463</c:v>
                </c:pt>
                <c:pt idx="4">
                  <c:v>18.507387574429892</c:v>
                </c:pt>
                <c:pt idx="5">
                  <c:v>21.299152086954301</c:v>
                </c:pt>
                <c:pt idx="6">
                  <c:v>23.813669151626357</c:v>
                </c:pt>
                <c:pt idx="7">
                  <c:v>26.109010728180412</c:v>
                </c:pt>
                <c:pt idx="8">
                  <c:v>28.226248013400539</c:v>
                </c:pt>
                <c:pt idx="9">
                  <c:v>30.19542989780826</c:v>
                </c:pt>
                <c:pt idx="10">
                  <c:v>32.039200740799409</c:v>
                </c:pt>
                <c:pt idx="11">
                  <c:v>33.775062717981797</c:v>
                </c:pt>
                <c:pt idx="12">
                  <c:v>35.416839985197164</c:v>
                </c:pt>
                <c:pt idx="13">
                  <c:v>36.975657058853102</c:v>
                </c:pt>
                <c:pt idx="14">
                  <c:v>38.460611657944334</c:v>
                </c:pt>
                <c:pt idx="15">
                  <c:v>39.879249409115658</c:v>
                </c:pt>
                <c:pt idx="16">
                  <c:v>41.237906449979171</c:v>
                </c:pt>
                <c:pt idx="17">
                  <c:v>42.541961733169224</c:v>
                </c:pt>
                <c:pt idx="18">
                  <c:v>43.796026207536613</c:v>
                </c:pt>
                <c:pt idx="19">
                  <c:v>45.004086976349235</c:v>
                </c:pt>
                <c:pt idx="20">
                  <c:v>46.169618754127413</c:v>
                </c:pt>
                <c:pt idx="21">
                  <c:v>47.295671178426439</c:v>
                </c:pt>
                <c:pt idx="22">
                  <c:v>48.384938026441326</c:v>
                </c:pt>
                <c:pt idx="23">
                  <c:v>49.439812685076603</c:v>
                </c:pt>
                <c:pt idx="24">
                  <c:v>50.462433047664696</c:v>
                </c:pt>
                <c:pt idx="25">
                  <c:v>51.454718184956789</c:v>
                </c:pt>
                <c:pt idx="26">
                  <c:v>52.418398549410902</c:v>
                </c:pt>
                <c:pt idx="27">
                  <c:v>53.355041046291994</c:v>
                </c:pt>
                <c:pt idx="28">
                  <c:v>54.26606999352105</c:v>
                </c:pt>
                <c:pt idx="29">
                  <c:v>55.152784761332143</c:v>
                </c:pt>
                <c:pt idx="30">
                  <c:v>56.016374709818493</c:v>
                </c:pt>
                <c:pt idx="31">
                  <c:v>56.857931911511486</c:v>
                </c:pt>
                <c:pt idx="32">
                  <c:v>57.678462046067338</c:v>
                </c:pt>
                <c:pt idx="33">
                  <c:v>58.47889377696854</c:v>
                </c:pt>
                <c:pt idx="34">
                  <c:v>59.260086860138038</c:v>
                </c:pt>
                <c:pt idx="35">
                  <c:v>60.022839187327662</c:v>
                </c:pt>
                <c:pt idx="36">
                  <c:v>60.767892930000038</c:v>
                </c:pt>
                <c:pt idx="37">
                  <c:v>61.49593991988759</c:v>
                </c:pt>
                <c:pt idx="38">
                  <c:v>62.207626378770101</c:v>
                </c:pt>
                <c:pt idx="39">
                  <c:v>62.903557090968519</c:v>
                </c:pt>
                <c:pt idx="40">
                  <c:v>63.584299096623539</c:v>
                </c:pt>
                <c:pt idx="41">
                  <c:v>64.250384971254533</c:v>
                </c:pt>
                <c:pt idx="42">
                  <c:v>64.902315746796205</c:v>
                </c:pt>
                <c:pt idx="43">
                  <c:v>65.540563520832009</c:v>
                </c:pt>
                <c:pt idx="44">
                  <c:v>66.165573793728328</c:v>
                </c:pt>
                <c:pt idx="45">
                  <c:v>66.777767567545681</c:v>
                </c:pt>
                <c:pt idx="46">
                  <c:v>67.377543235736326</c:v>
                </c:pt>
                <c:pt idx="47">
                  <c:v>67.965278288560569</c:v>
                </c:pt>
                <c:pt idx="48">
                  <c:v>68.541330855721469</c:v>
                </c:pt>
                <c:pt idx="49">
                  <c:v>69.1060411048188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60-4723-A3EE-4E8078BC5C26}"/>
            </c:ext>
          </c:extLst>
        </c:ser>
        <c:ser>
          <c:idx val="5"/>
          <c:order val="5"/>
          <c:tx>
            <c:strRef>
              <c:f>Vega!$B$50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Vega!$C$50:$AZ$50</c:f>
              <c:numCache>
                <c:formatCode>General</c:formatCode>
                <c:ptCount val="50"/>
                <c:pt idx="0">
                  <c:v>5.134170275900745</c:v>
                </c:pt>
                <c:pt idx="1">
                  <c:v>10.942500947877125</c:v>
                </c:pt>
                <c:pt idx="2">
                  <c:v>15.339332431372213</c:v>
                </c:pt>
                <c:pt idx="3">
                  <c:v>18.925540539125503</c:v>
                </c:pt>
                <c:pt idx="4">
                  <c:v>21.995156401845318</c:v>
                </c:pt>
                <c:pt idx="5">
                  <c:v>24.703988619723042</c:v>
                </c:pt>
                <c:pt idx="6">
                  <c:v>27.144131940822945</c:v>
                </c:pt>
                <c:pt idx="7">
                  <c:v>29.374718763790028</c:v>
                </c:pt>
                <c:pt idx="8">
                  <c:v>31.436146164635336</c:v>
                </c:pt>
                <c:pt idx="9">
                  <c:v>33.357357525510125</c:v>
                </c:pt>
                <c:pt idx="10">
                  <c:v>35.15988235463594</c:v>
                </c:pt>
                <c:pt idx="11">
                  <c:v>36.860226662026854</c:v>
                </c:pt>
                <c:pt idx="12">
                  <c:v>38.471363191913127</c:v>
                </c:pt>
                <c:pt idx="13">
                  <c:v>40.003701365920556</c:v>
                </c:pt>
                <c:pt idx="14">
                  <c:v>41.465741767872892</c:v>
                </c:pt>
                <c:pt idx="15">
                  <c:v>42.864531492169675</c:v>
                </c:pt>
                <c:pt idx="16">
                  <c:v>44.205989381938892</c:v>
                </c:pt>
                <c:pt idx="17">
                  <c:v>45.49514369229307</c:v>
                </c:pt>
                <c:pt idx="18">
                  <c:v>46.736309261500161</c:v>
                </c:pt>
                <c:pt idx="19">
                  <c:v>47.933221934900843</c:v>
                </c:pt>
                <c:pt idx="20">
                  <c:v>49.089142165521103</c:v>
                </c:pt>
                <c:pt idx="21">
                  <c:v>50.206935985772468</c:v>
                </c:pt>
                <c:pt idx="22">
                  <c:v>51.289139095798916</c:v>
                </c:pt>
                <c:pt idx="23">
                  <c:v>52.338008170427976</c:v>
                </c:pt>
                <c:pt idx="24">
                  <c:v>53.355562361479031</c:v>
                </c:pt>
                <c:pt idx="25">
                  <c:v>54.343617187925879</c:v>
                </c:pt>
                <c:pt idx="26">
                  <c:v>55.303812450790197</c:v>
                </c:pt>
                <c:pt idx="27">
                  <c:v>56.237635410082063</c:v>
                </c:pt>
                <c:pt idx="28">
                  <c:v>57.146440169805331</c:v>
                </c:pt>
                <c:pt idx="29">
                  <c:v>58.03146400197808</c:v>
                </c:pt>
                <c:pt idx="30">
                  <c:v>58.893841179971247</c:v>
                </c:pt>
                <c:pt idx="31">
                  <c:v>59.734614770167433</c:v>
                </c:pt>
                <c:pt idx="32">
                  <c:v>60.554746738426189</c:v>
                </c:pt>
                <c:pt idx="33">
                  <c:v>61.355126656617799</c:v>
                </c:pt>
                <c:pt idx="34">
                  <c:v>62.136579239173955</c:v>
                </c:pt>
                <c:pt idx="35">
                  <c:v>62.899870896293571</c:v>
                </c:pt>
                <c:pt idx="36">
                  <c:v>63.645715456269791</c:v>
                </c:pt>
                <c:pt idx="37">
                  <c:v>64.374779182246783</c:v>
                </c:pt>
                <c:pt idx="38">
                  <c:v>65.087685186985823</c:v>
                </c:pt>
                <c:pt idx="39">
                  <c:v>65.785017331721633</c:v>
                </c:pt>
                <c:pt idx="40">
                  <c:v>66.467323681014705</c:v>
                </c:pt>
                <c:pt idx="41">
                  <c:v>67.135119573954626</c:v>
                </c:pt>
                <c:pt idx="42">
                  <c:v>67.788890362606736</c:v>
                </c:pt>
                <c:pt idx="43">
                  <c:v>68.429093860803746</c:v>
                </c:pt>
                <c:pt idx="44">
                  <c:v>69.05616253993486</c:v>
                </c:pt>
                <c:pt idx="45">
                  <c:v>69.670505503026845</c:v>
                </c:pt>
                <c:pt idx="46">
                  <c:v>70.272510263934166</c:v>
                </c:pt>
                <c:pt idx="47">
                  <c:v>70.862544354703005</c:v>
                </c:pt>
                <c:pt idx="48">
                  <c:v>71.440956781014194</c:v>
                </c:pt>
                <c:pt idx="49">
                  <c:v>72.008079342938387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60-4723-A3EE-4E8078BC5C26}"/>
            </c:ext>
          </c:extLst>
        </c:ser>
        <c:ser>
          <c:idx val="6"/>
          <c:order val="6"/>
          <c:tx>
            <c:strRef>
              <c:f>Vega!$B$51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Vega!$C$51:$AZ$51</c:f>
              <c:numCache>
                <c:formatCode>General</c:formatCode>
                <c:ptCount val="50"/>
                <c:pt idx="0">
                  <c:v>8.4944366298322418</c:v>
                </c:pt>
                <c:pt idx="1">
                  <c:v>14.252101551775413</c:v>
                </c:pt>
                <c:pt idx="2">
                  <c:v>18.447383471164414</c:v>
                </c:pt>
                <c:pt idx="3">
                  <c:v>21.870545174578989</c:v>
                </c:pt>
                <c:pt idx="4">
                  <c:v>24.816936606915263</c:v>
                </c:pt>
                <c:pt idx="5">
                  <c:v>27.43224782739415</c:v>
                </c:pt>
                <c:pt idx="6">
                  <c:v>29.800432044816137</c:v>
                </c:pt>
                <c:pt idx="7">
                  <c:v>31.974925006217802</c:v>
                </c:pt>
                <c:pt idx="8">
                  <c:v>33.992174693873302</c:v>
                </c:pt>
                <c:pt idx="9">
                  <c:v>35.878341321405102</c:v>
                </c:pt>
                <c:pt idx="10">
                  <c:v>37.652949635765637</c:v>
                </c:pt>
                <c:pt idx="11">
                  <c:v>39.331029915490014</c:v>
                </c:pt>
                <c:pt idx="12">
                  <c:v>40.924446648821679</c:v>
                </c:pt>
                <c:pt idx="13">
                  <c:v>42.442761869395639</c:v>
                </c:pt>
                <c:pt idx="14">
                  <c:v>43.893817769266356</c:v>
                </c:pt>
                <c:pt idx="15">
                  <c:v>45.284142548105933</c:v>
                </c:pt>
                <c:pt idx="16">
                  <c:v>46.61924086583744</c:v>
                </c:pt>
                <c:pt idx="17">
                  <c:v>47.903806600046799</c:v>
                </c:pt>
                <c:pt idx="18">
                  <c:v>49.141881877509476</c:v>
                </c:pt>
                <c:pt idx="19">
                  <c:v>50.336978078576884</c:v>
                </c:pt>
                <c:pt idx="20">
                  <c:v>51.492169367626978</c:v>
                </c:pt>
                <c:pt idx="21">
                  <c:v>52.610166008918682</c:v>
                </c:pt>
                <c:pt idx="22">
                  <c:v>53.69337256473662</c:v>
                </c:pt>
                <c:pt idx="23">
                  <c:v>54.743934620698305</c:v>
                </c:pt>
                <c:pt idx="24">
                  <c:v>55.763776688197723</c:v>
                </c:pt>
                <c:pt idx="25">
                  <c:v>56.754633239706891</c:v>
                </c:pt>
                <c:pt idx="26">
                  <c:v>57.718074340103414</c:v>
                </c:pt>
                <c:pt idx="27">
                  <c:v>58.655526982419126</c:v>
                </c:pt>
                <c:pt idx="28">
                  <c:v>59.568292977311899</c:v>
                </c:pt>
                <c:pt idx="29">
                  <c:v>60.457564053925466</c:v>
                </c:pt>
                <c:pt idx="30">
                  <c:v>61.324434686386915</c:v>
                </c:pt>
                <c:pt idx="31">
                  <c:v>62.169913051693918</c:v>
                </c:pt>
                <c:pt idx="32">
                  <c:v>62.994930441832658</c:v>
                </c:pt>
                <c:pt idx="33">
                  <c:v>63.800349389012347</c:v>
                </c:pt>
                <c:pt idx="34">
                  <c:v>64.586970713137561</c:v>
                </c:pt>
                <c:pt idx="35">
                  <c:v>65.355539661598442</c:v>
                </c:pt>
                <c:pt idx="36">
                  <c:v>66.106751280595773</c:v>
                </c:pt>
                <c:pt idx="37">
                  <c:v>66.841255132644051</c:v>
                </c:pt>
                <c:pt idx="38">
                  <c:v>67.559659455196339</c:v>
                </c:pt>
                <c:pt idx="39">
                  <c:v>68.262534839442424</c:v>
                </c:pt>
                <c:pt idx="40">
                  <c:v>68.950417495433527</c:v>
                </c:pt>
                <c:pt idx="41">
                  <c:v>69.623812159158618</c:v>
                </c:pt>
                <c:pt idx="42">
                  <c:v>70.283194688557188</c:v>
                </c:pt>
                <c:pt idx="43">
                  <c:v>70.929014388327474</c:v>
                </c:pt>
                <c:pt idx="44">
                  <c:v>71.561696097480961</c:v>
                </c:pt>
                <c:pt idx="45">
                  <c:v>72.181642068676851</c:v>
                </c:pt>
                <c:pt idx="46">
                  <c:v>72.789233664254525</c:v>
                </c:pt>
                <c:pt idx="47">
                  <c:v>73.384832890429337</c:v>
                </c:pt>
                <c:pt idx="48">
                  <c:v>73.968783788201165</c:v>
                </c:pt>
                <c:pt idx="49">
                  <c:v>74.541413697061415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60-4723-A3EE-4E8078BC5C26}"/>
            </c:ext>
          </c:extLst>
        </c:ser>
        <c:ser>
          <c:idx val="7"/>
          <c:order val="7"/>
          <c:tx>
            <c:strRef>
              <c:f>Vega!$B$52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Vega!$C$52:$AZ$52</c:f>
              <c:numCache>
                <c:formatCode>General</c:formatCode>
                <c:ptCount val="50"/>
                <c:pt idx="0">
                  <c:v>11.333333220096822</c:v>
                </c:pt>
                <c:pt idx="1">
                  <c:v>16.658156448356948</c:v>
                </c:pt>
                <c:pt idx="2">
                  <c:v>20.631198346871798</c:v>
                </c:pt>
                <c:pt idx="3">
                  <c:v>23.926000796598561</c:v>
                </c:pt>
                <c:pt idx="4">
                  <c:v>26.792372355390583</c:v>
                </c:pt>
                <c:pt idx="5">
                  <c:v>29.355719189201128</c:v>
                </c:pt>
                <c:pt idx="6">
                  <c:v>31.689616425119247</c:v>
                </c:pt>
                <c:pt idx="7">
                  <c:v>33.841630258911003</c:v>
                </c:pt>
                <c:pt idx="8">
                  <c:v>35.844635012777559</c:v>
                </c:pt>
                <c:pt idx="9">
                  <c:v>37.72248950106286</c:v>
                </c:pt>
                <c:pt idx="10">
                  <c:v>39.493169730960169</c:v>
                </c:pt>
                <c:pt idx="11">
                  <c:v>41.17062625265666</c:v>
                </c:pt>
                <c:pt idx="12">
                  <c:v>42.765948689324539</c:v>
                </c:pt>
                <c:pt idx="13">
                  <c:v>44.288129426252439</c:v>
                </c:pt>
                <c:pt idx="14">
                  <c:v>45.744583271463739</c:v>
                </c:pt>
                <c:pt idx="15">
                  <c:v>47.141512168282667</c:v>
                </c:pt>
                <c:pt idx="16">
                  <c:v>48.484167977282596</c:v>
                </c:pt>
                <c:pt idx="17">
                  <c:v>49.777046147898972</c:v>
                </c:pt>
                <c:pt idx="18">
                  <c:v>51.024031293309726</c:v>
                </c:pt>
                <c:pt idx="19">
                  <c:v>52.228508521509205</c:v>
                </c:pt>
                <c:pt idx="20">
                  <c:v>53.393449891395626</c:v>
                </c:pt>
                <c:pt idx="21">
                  <c:v>54.521482474722582</c:v>
                </c:pt>
                <c:pt idx="22">
                  <c:v>55.614942597975855</c:v>
                </c:pt>
                <c:pt idx="23">
                  <c:v>56.675919551065171</c:v>
                </c:pt>
                <c:pt idx="24">
                  <c:v>57.706291163367709</c:v>
                </c:pt>
                <c:pt idx="25">
                  <c:v>58.707753026258082</c:v>
                </c:pt>
                <c:pt idx="26">
                  <c:v>59.681842698455362</c:v>
                </c:pt>
                <c:pt idx="27">
                  <c:v>60.62995991026046</c:v>
                </c:pt>
                <c:pt idx="28">
                  <c:v>61.55338354796303</c:v>
                </c:pt>
                <c:pt idx="29">
                  <c:v>62.45328602539557</c:v>
                </c:pt>
                <c:pt idx="30">
                  <c:v>63.330745518719326</c:v>
                </c:pt>
                <c:pt idx="31">
                  <c:v>64.18675644117954</c:v>
                </c:pt>
                <c:pt idx="32">
                  <c:v>65.022238458412502</c:v>
                </c:pt>
                <c:pt idx="33">
                  <c:v>65.838044285972245</c:v>
                </c:pt>
                <c:pt idx="34">
                  <c:v>66.63496646477347</c:v>
                </c:pt>
                <c:pt idx="35">
                  <c:v>67.413743273987279</c:v>
                </c:pt>
                <c:pt idx="36">
                  <c:v>68.175063912268214</c:v>
                </c:pt>
                <c:pt idx="37">
                  <c:v>68.91957305531902</c:v>
                </c:pt>
                <c:pt idx="38">
                  <c:v>69.647874879421579</c:v>
                </c:pt>
                <c:pt idx="39">
                  <c:v>70.360536625704711</c:v>
                </c:pt>
                <c:pt idx="40">
                  <c:v>71.058091767834796</c:v>
                </c:pt>
                <c:pt idx="41">
                  <c:v>71.741042835932433</c:v>
                </c:pt>
                <c:pt idx="42">
                  <c:v>72.409863941391279</c:v>
                </c:pt>
                <c:pt idx="43">
                  <c:v>73.065003040560981</c:v>
                </c:pt>
                <c:pt idx="44">
                  <c:v>73.706883969679524</c:v>
                </c:pt>
                <c:pt idx="45">
                  <c:v>74.335908278790455</c:v>
                </c:pt>
                <c:pt idx="46">
                  <c:v>74.952456888483752</c:v>
                </c:pt>
                <c:pt idx="47">
                  <c:v>75.556891590022872</c:v>
                </c:pt>
                <c:pt idx="48">
                  <c:v>76.149556406652096</c:v>
                </c:pt>
                <c:pt idx="49">
                  <c:v>76.730778831533073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60-4723-A3EE-4E8078BC5C26}"/>
            </c:ext>
          </c:extLst>
        </c:ser>
        <c:ser>
          <c:idx val="8"/>
          <c:order val="8"/>
          <c:tx>
            <c:strRef>
              <c:f>Vega!$B$53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Vega!$C$53:$AZ$53</c:f>
              <c:numCache>
                <c:formatCode>General</c:formatCode>
                <c:ptCount val="50"/>
                <c:pt idx="0">
                  <c:v>12.583769595744091</c:v>
                </c:pt>
                <c:pt idx="1">
                  <c:v>17.751148118577877</c:v>
                </c:pt>
                <c:pt idx="2">
                  <c:v>21.685666245713325</c:v>
                </c:pt>
                <c:pt idx="3">
                  <c:v>24.977147001014568</c:v>
                </c:pt>
                <c:pt idx="4">
                  <c:v>27.854702761735151</c:v>
                </c:pt>
                <c:pt idx="5">
                  <c:v>30.436158955047052</c:v>
                </c:pt>
                <c:pt idx="6">
                  <c:v>32.791699876266655</c:v>
                </c:pt>
                <c:pt idx="7">
                  <c:v>34.967178945798814</c:v>
                </c:pt>
                <c:pt idx="8">
                  <c:v>36.994532999413373</c:v>
                </c:pt>
                <c:pt idx="9">
                  <c:v>38.897078803674944</c:v>
                </c:pt>
                <c:pt idx="10">
                  <c:v>40.692467136834303</c:v>
                </c:pt>
                <c:pt idx="11">
                  <c:v>42.394448886575823</c:v>
                </c:pt>
                <c:pt idx="12">
                  <c:v>44.013989871931749</c:v>
                </c:pt>
                <c:pt idx="13">
                  <c:v>45.560006037385797</c:v>
                </c:pt>
                <c:pt idx="14">
                  <c:v>47.039866088935568</c:v>
                </c:pt>
                <c:pt idx="15">
                  <c:v>48.45974568345509</c:v>
                </c:pt>
                <c:pt idx="16">
                  <c:v>49.824883520030689</c:v>
                </c:pt>
                <c:pt idx="17">
                  <c:v>51.139770656609578</c:v>
                </c:pt>
                <c:pt idx="18">
                  <c:v>52.408293194233785</c:v>
                </c:pt>
                <c:pt idx="19">
                  <c:v>53.633841658164222</c:v>
                </c:pt>
                <c:pt idx="20">
                  <c:v>54.819396121197592</c:v>
                </c:pt>
                <c:pt idx="21">
                  <c:v>55.967593345229503</c:v>
                </c:pt>
                <c:pt idx="22">
                  <c:v>57.080780382679023</c:v>
                </c:pt>
                <c:pt idx="23">
                  <c:v>58.161057837373768</c:v>
                </c:pt>
                <c:pt idx="24">
                  <c:v>59.210315126927597</c:v>
                </c:pt>
                <c:pt idx="25">
                  <c:v>60.230259485944948</c:v>
                </c:pt>
                <c:pt idx="26">
                  <c:v>61.222440018942713</c:v>
                </c:pt>
                <c:pt idx="27">
                  <c:v>62.18826779992169</c:v>
                </c:pt>
                <c:pt idx="28">
                  <c:v>63.129032786372626</c:v>
                </c:pt>
                <c:pt idx="29">
                  <c:v>64.045918145093665</c:v>
                </c:pt>
                <c:pt idx="30">
                  <c:v>64.940012459017439</c:v>
                </c:pt>
                <c:pt idx="31">
                  <c:v>65.812320186810908</c:v>
                </c:pt>
                <c:pt idx="32">
                  <c:v>66.663770672216629</c:v>
                </c:pt>
                <c:pt idx="33">
                  <c:v>67.495225942164325</c:v>
                </c:pt>
                <c:pt idx="34">
                  <c:v>68.307487487416068</c:v>
                </c:pt>
                <c:pt idx="35">
                  <c:v>69.101302183860739</c:v>
                </c:pt>
                <c:pt idx="36">
                  <c:v>69.877367484291781</c:v>
                </c:pt>
                <c:pt idx="37">
                  <c:v>70.636335987905625</c:v>
                </c:pt>
                <c:pt idx="38">
                  <c:v>71.378819476585633</c:v>
                </c:pt>
                <c:pt idx="39">
                  <c:v>72.105392492329599</c:v>
                </c:pt>
                <c:pt idx="40">
                  <c:v>72.816595518207379</c:v>
                </c:pt>
                <c:pt idx="41">
                  <c:v>73.512937815436686</c:v>
                </c:pt>
                <c:pt idx="42">
                  <c:v>74.194899961100546</c:v>
                </c:pt>
                <c:pt idx="43">
                  <c:v>74.862936124363728</c:v>
                </c:pt>
                <c:pt idx="44">
                  <c:v>75.51747611350234</c:v>
                </c:pt>
                <c:pt idx="45">
                  <c:v>76.158927221438574</c:v>
                </c:pt>
                <c:pt idx="46">
                  <c:v>76.787675893594241</c:v>
                </c:pt>
                <c:pt idx="47">
                  <c:v>77.404089238615299</c:v>
                </c:pt>
                <c:pt idx="48">
                  <c:v>78.00851639976122</c:v>
                </c:pt>
                <c:pt idx="49">
                  <c:v>78.601289802415735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60-4723-A3EE-4E8078BC5C26}"/>
            </c:ext>
          </c:extLst>
        </c:ser>
        <c:ser>
          <c:idx val="9"/>
          <c:order val="9"/>
          <c:tx>
            <c:strRef>
              <c:f>Vega!$B$54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Vega!$C$54:$AZ$54</c:f>
              <c:numCache>
                <c:formatCode>General</c:formatCode>
                <c:ptCount val="50"/>
                <c:pt idx="0">
                  <c:v>11.933666810600977</c:v>
                </c:pt>
                <c:pt idx="1">
                  <c:v>17.472022573104731</c:v>
                </c:pt>
                <c:pt idx="2">
                  <c:v>21.610958619520549</c:v>
                </c:pt>
                <c:pt idx="3">
                  <c:v>25.045883501146896</c:v>
                </c:pt>
                <c:pt idx="4">
                  <c:v>28.035442367865397</c:v>
                </c:pt>
                <c:pt idx="5">
                  <c:v>30.709704243092478</c:v>
                </c:pt>
                <c:pt idx="6">
                  <c:v>33.145069888075959</c:v>
                </c:pt>
                <c:pt idx="7">
                  <c:v>35.390974269164168</c:v>
                </c:pt>
                <c:pt idx="8">
                  <c:v>37.481605244204772</c:v>
                </c:pt>
                <c:pt idx="9">
                  <c:v>39.441787441547575</c:v>
                </c:pt>
                <c:pt idx="10">
                  <c:v>41.290232132990454</c:v>
                </c:pt>
                <c:pt idx="11">
                  <c:v>43.041465329174834</c:v>
                </c:pt>
                <c:pt idx="12">
                  <c:v>44.707037328108449</c:v>
                </c:pt>
                <c:pt idx="13">
                  <c:v>46.296316293079286</c:v>
                </c:pt>
                <c:pt idx="14">
                  <c:v>47.817028464222211</c:v>
                </c:pt>
                <c:pt idx="15">
                  <c:v>49.275637423447314</c:v>
                </c:pt>
                <c:pt idx="16">
                  <c:v>50.677617442880084</c:v>
                </c:pt>
                <c:pt idx="17">
                  <c:v>52.027654996793125</c:v>
                </c:pt>
                <c:pt idx="18">
                  <c:v>53.329800264937987</c:v>
                </c:pt>
                <c:pt idx="19">
                  <c:v>54.587583021582596</c:v>
                </c:pt>
                <c:pt idx="20">
                  <c:v>55.804102647975142</c:v>
                </c:pt>
                <c:pt idx="21">
                  <c:v>56.982099005994534</c:v>
                </c:pt>
                <c:pt idx="22">
                  <c:v>58.124008929471756</c:v>
                </c:pt>
                <c:pt idx="23">
                  <c:v>59.232011751881188</c:v>
                </c:pt>
                <c:pt idx="24">
                  <c:v>60.308066367684887</c:v>
                </c:pt>
                <c:pt idx="25">
                  <c:v>61.35394167849504</c:v>
                </c:pt>
                <c:pt idx="26">
                  <c:v>62.371241814714246</c:v>
                </c:pt>
                <c:pt idx="27">
                  <c:v>63.361427190195521</c:v>
                </c:pt>
                <c:pt idx="28">
                  <c:v>64.325832203200378</c:v>
                </c:pt>
                <c:pt idx="29">
                  <c:v>65.265680215575102</c:v>
                </c:pt>
                <c:pt idx="30">
                  <c:v>66.182096305853463</c:v>
                </c:pt>
                <c:pt idx="31">
                  <c:v>67.076118188596155</c:v>
                </c:pt>
                <c:pt idx="32">
                  <c:v>67.948705613007462</c:v>
                </c:pt>
                <c:pt idx="33">
                  <c:v>68.800748492538503</c:v>
                </c:pt>
                <c:pt idx="34">
                  <c:v>69.633073969323405</c:v>
                </c:pt>
                <c:pt idx="35">
                  <c:v>70.446452579644131</c:v>
                </c:pt>
                <c:pt idx="36">
                  <c:v>71.241603656776263</c:v>
                </c:pt>
                <c:pt idx="37">
                  <c:v>72.019200083748288</c:v>
                </c:pt>
                <c:pt idx="38">
                  <c:v>72.779872489406017</c:v>
                </c:pt>
                <c:pt idx="39">
                  <c:v>73.524212965697188</c:v>
                </c:pt>
                <c:pt idx="40">
                  <c:v>74.252778371503155</c:v>
                </c:pt>
                <c:pt idx="41">
                  <c:v>74.96609327804876</c:v>
                </c:pt>
                <c:pt idx="42">
                  <c:v>75.664652602454112</c:v>
                </c:pt>
                <c:pt idx="43">
                  <c:v>76.348923968997227</c:v>
                </c:pt>
                <c:pt idx="44">
                  <c:v>77.019349831844195</c:v>
                </c:pt>
                <c:pt idx="45">
                  <c:v>77.676349388159935</c:v>
                </c:pt>
                <c:pt idx="46">
                  <c:v>78.320320306450469</c:v>
                </c:pt>
                <c:pt idx="47">
                  <c:v>78.951640291573895</c:v>
                </c:pt>
                <c:pt idx="48">
                  <c:v>79.570668504972005</c:v>
                </c:pt>
                <c:pt idx="49">
                  <c:v>80.177746856229604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60-4723-A3EE-4E8078BC5C26}"/>
            </c:ext>
          </c:extLst>
        </c:ser>
        <c:ser>
          <c:idx val="10"/>
          <c:order val="10"/>
          <c:tx>
            <c:strRef>
              <c:f>Vega!$B$55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Vega!$C$55:$AZ$55</c:f>
              <c:numCache>
                <c:formatCode>General</c:formatCode>
                <c:ptCount val="50"/>
                <c:pt idx="0">
                  <c:v>9.8772102719814985</c:v>
                </c:pt>
                <c:pt idx="1">
                  <c:v>16.058052314950743</c:v>
                </c:pt>
                <c:pt idx="2">
                  <c:v>20.567751497319989</c:v>
                </c:pt>
                <c:pt idx="3">
                  <c:v>24.25664264094442</c:v>
                </c:pt>
                <c:pt idx="4">
                  <c:v>27.437887845326763</c:v>
                </c:pt>
                <c:pt idx="5">
                  <c:v>30.265755333681557</c:v>
                </c:pt>
                <c:pt idx="6">
                  <c:v>32.829251351137096</c:v>
                </c:pt>
                <c:pt idx="7">
                  <c:v>35.18513130089962</c:v>
                </c:pt>
                <c:pt idx="8">
                  <c:v>37.372179967358093</c:v>
                </c:pt>
                <c:pt idx="9">
                  <c:v>39.418283682816536</c:v>
                </c:pt>
                <c:pt idx="10">
                  <c:v>41.344288735816299</c:v>
                </c:pt>
                <c:pt idx="11">
                  <c:v>43.166265791499981</c:v>
                </c:pt>
                <c:pt idx="12">
                  <c:v>44.896916933155254</c:v>
                </c:pt>
                <c:pt idx="13">
                  <c:v>46.546491077869405</c:v>
                </c:pt>
                <c:pt idx="14">
                  <c:v>48.123402498567813</c:v>
                </c:pt>
                <c:pt idx="15">
                  <c:v>49.63466219547125</c:v>
                </c:pt>
                <c:pt idx="16">
                  <c:v>51.086186957855041</c:v>
                </c:pt>
                <c:pt idx="17">
                  <c:v>52.483025989387336</c:v>
                </c:pt>
                <c:pt idx="18">
                  <c:v>53.829530471470072</c:v>
                </c:pt>
                <c:pt idx="19">
                  <c:v>55.129482699239929</c:v>
                </c:pt>
                <c:pt idx="20">
                  <c:v>56.386195982823757</c:v>
                </c:pt>
                <c:pt idx="21">
                  <c:v>57.602593019813682</c:v>
                </c:pt>
                <c:pt idx="22">
                  <c:v>58.781268154017994</c:v>
                </c:pt>
                <c:pt idx="23">
                  <c:v>59.92453739603053</c:v>
                </c:pt>
                <c:pt idx="24">
                  <c:v>61.034479025481552</c:v>
                </c:pt>
                <c:pt idx="25">
                  <c:v>62.112966857609656</c:v>
                </c:pt>
                <c:pt idx="26">
                  <c:v>63.16169773337252</c:v>
                </c:pt>
                <c:pt idx="27">
                  <c:v>64.182214415044371</c:v>
                </c:pt>
                <c:pt idx="28">
                  <c:v>65.17592479354002</c:v>
                </c:pt>
                <c:pt idx="29">
                  <c:v>66.144118109648119</c:v>
                </c:pt>
                <c:pt idx="30">
                  <c:v>67.087978738551627</c:v>
                </c:pt>
                <c:pt idx="31">
                  <c:v>68.00859797134467</c:v>
                </c:pt>
                <c:pt idx="32">
                  <c:v>68.906984138813229</c:v>
                </c:pt>
                <c:pt idx="33">
                  <c:v>69.78407135448937</c:v>
                </c:pt>
                <c:pt idx="34">
                  <c:v>70.640727100847769</c:v>
                </c:pt>
                <c:pt idx="35">
                  <c:v>71.477758840803276</c:v>
                </c:pt>
                <c:pt idx="36">
                  <c:v>72.295919803678643</c:v>
                </c:pt>
                <c:pt idx="37">
                  <c:v>73.095914068533773</c:v>
                </c:pt>
                <c:pt idx="38">
                  <c:v>73.878401046671442</c:v>
                </c:pt>
                <c:pt idx="39">
                  <c:v>74.643999448125811</c:v>
                </c:pt>
                <c:pt idx="40">
                  <c:v>75.393290803128934</c:v>
                </c:pt>
                <c:pt idx="41">
                  <c:v>76.126822598272994</c:v>
                </c:pt>
                <c:pt idx="42">
                  <c:v>76.845111077827781</c:v>
                </c:pt>
                <c:pt idx="43">
                  <c:v>77.548643753033929</c:v>
                </c:pt>
                <c:pt idx="44">
                  <c:v>78.237881655857151</c:v>
                </c:pt>
                <c:pt idx="45">
                  <c:v>78.913261368413913</c:v>
                </c:pt>
                <c:pt idx="46">
                  <c:v>79.575196854863051</c:v>
                </c:pt>
                <c:pt idx="47">
                  <c:v>80.224081118851018</c:v>
                </c:pt>
                <c:pt idx="48">
                  <c:v>80.860287706468625</c:v>
                </c:pt>
                <c:pt idx="49">
                  <c:v>81.484172072029821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60-4723-A3EE-4E8078BC5C26}"/>
            </c:ext>
          </c:extLst>
        </c:ser>
        <c:ser>
          <c:idx val="11"/>
          <c:order val="11"/>
          <c:tx>
            <c:strRef>
              <c:f>Vega!$B$56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Vega!$C$56:$AZ$56</c:f>
              <c:numCache>
                <c:formatCode>General</c:formatCode>
                <c:ptCount val="50"/>
                <c:pt idx="0">
                  <c:v>7.2654841723580086</c:v>
                </c:pt>
                <c:pt idx="1">
                  <c:v>13.906921460113452</c:v>
                </c:pt>
                <c:pt idx="2">
                  <c:v>18.808792151653375</c:v>
                </c:pt>
                <c:pt idx="3">
                  <c:v>22.794116284131551</c:v>
                </c:pt>
                <c:pt idx="4">
                  <c:v>26.20797906686466</c:v>
                </c:pt>
                <c:pt idx="5">
                  <c:v>29.225474097755537</c:v>
                </c:pt>
                <c:pt idx="6">
                  <c:v>31.948288126945037</c:v>
                </c:pt>
                <c:pt idx="7">
                  <c:v>34.441195140751269</c:v>
                </c:pt>
                <c:pt idx="8">
                  <c:v>36.748289756038972</c:v>
                </c:pt>
                <c:pt idx="9">
                  <c:v>38.901123264284735</c:v>
                </c:pt>
                <c:pt idx="10">
                  <c:v>40.923162674780045</c:v>
                </c:pt>
                <c:pt idx="11">
                  <c:v>42.83240963126422</c:v>
                </c:pt>
                <c:pt idx="12">
                  <c:v>44.643025667014797</c:v>
                </c:pt>
                <c:pt idx="13">
                  <c:v>46.366387082938871</c:v>
                </c:pt>
                <c:pt idx="14">
                  <c:v>48.011795589947226</c:v>
                </c:pt>
                <c:pt idx="15">
                  <c:v>49.586972314062592</c:v>
                </c:pt>
                <c:pt idx="16">
                  <c:v>51.098410539479985</c:v>
                </c:pt>
                <c:pt idx="17">
                  <c:v>52.551633489140258</c:v>
                </c:pt>
                <c:pt idx="18">
                  <c:v>53.951386556591181</c:v>
                </c:pt>
                <c:pt idx="19">
                  <c:v>55.301783231776056</c:v>
                </c:pt>
                <c:pt idx="20">
                  <c:v>56.606417638184659</c:v>
                </c:pt>
                <c:pt idx="21">
                  <c:v>57.868452553088723</c:v>
                </c:pt>
                <c:pt idx="22">
                  <c:v>59.090689129410279</c:v>
                </c:pt>
                <c:pt idx="23">
                  <c:v>60.275622758513428</c:v>
                </c:pt>
                <c:pt idx="24">
                  <c:v>61.425488295788476</c:v>
                </c:pt>
                <c:pt idx="25">
                  <c:v>62.542297022622222</c:v>
                </c:pt>
                <c:pt idx="26">
                  <c:v>63.627867117438612</c:v>
                </c:pt>
                <c:pt idx="27">
                  <c:v>64.683848976350106</c:v>
                </c:pt>
                <c:pt idx="28">
                  <c:v>65.711746408856996</c:v>
                </c:pt>
                <c:pt idx="29">
                  <c:v>66.712934501331432</c:v>
                </c:pt>
                <c:pt idx="30">
                  <c:v>67.688674767148228</c:v>
                </c:pt>
                <c:pt idx="31">
                  <c:v>68.640128070984517</c:v>
                </c:pt>
                <c:pt idx="32">
                  <c:v>69.568365714595018</c:v>
                </c:pt>
                <c:pt idx="33">
                  <c:v>70.474378994181791</c:v>
                </c:pt>
                <c:pt idx="34">
                  <c:v>71.359087479501397</c:v>
                </c:pt>
                <c:pt idx="35">
                  <c:v>72.223346217868524</c:v>
                </c:pt>
                <c:pt idx="36">
                  <c:v>73.067952029123262</c:v>
                </c:pt>
                <c:pt idx="37">
                  <c:v>73.893649028136281</c:v>
                </c:pt>
                <c:pt idx="38">
                  <c:v>74.701133487814033</c:v>
                </c:pt>
                <c:pt idx="39">
                  <c:v>75.491058136541611</c:v>
                </c:pt>
                <c:pt idx="40">
                  <c:v>76.264035968580487</c:v>
                </c:pt>
                <c:pt idx="41">
                  <c:v>77.020643633364955</c:v>
                </c:pt>
                <c:pt idx="42">
                  <c:v>77.761424459336538</c:v>
                </c:pt>
                <c:pt idx="43">
                  <c:v>78.486891159465443</c:v>
                </c:pt>
                <c:pt idx="44">
                  <c:v>79.197528258577023</c:v>
                </c:pt>
                <c:pt idx="45">
                  <c:v>79.89379427675614</c:v>
                </c:pt>
                <c:pt idx="46">
                  <c:v>80.576123698214857</c:v>
                </c:pt>
                <c:pt idx="47">
                  <c:v>81.244928750912166</c:v>
                </c:pt>
                <c:pt idx="48">
                  <c:v>81.900601018760028</c:v>
                </c:pt>
                <c:pt idx="49">
                  <c:v>82.543512905331781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60-4723-A3EE-4E8078BC5C26}"/>
            </c:ext>
          </c:extLst>
        </c:ser>
        <c:ser>
          <c:idx val="12"/>
          <c:order val="12"/>
          <c:tx>
            <c:strRef>
              <c:f>Vega!$B$57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Vega!$C$57:$AZ$57</c:f>
              <c:numCache>
                <c:formatCode>General</c:formatCode>
                <c:ptCount val="50"/>
                <c:pt idx="0">
                  <c:v>4.8229587951362767</c:v>
                </c:pt>
                <c:pt idx="1">
                  <c:v>11.436647677127302</c:v>
                </c:pt>
                <c:pt idx="2">
                  <c:v>16.612496308107495</c:v>
                </c:pt>
                <c:pt idx="3">
                  <c:v>20.864110522403433</c:v>
                </c:pt>
                <c:pt idx="4">
                  <c:v>24.508262501418276</c:v>
                </c:pt>
                <c:pt idx="5">
                  <c:v>27.723100869393718</c:v>
                </c:pt>
                <c:pt idx="6">
                  <c:v>30.616623727634558</c:v>
                </c:pt>
                <c:pt idx="7">
                  <c:v>33.259063477807061</c:v>
                </c:pt>
                <c:pt idx="8">
                  <c:v>35.698731861949753</c:v>
                </c:pt>
                <c:pt idx="9">
                  <c:v>37.970374601063519</c:v>
                </c:pt>
                <c:pt idx="10">
                  <c:v>40.099889887124895</c:v>
                </c:pt>
                <c:pt idx="11">
                  <c:v>42.107152412813178</c:v>
                </c:pt>
                <c:pt idx="12">
                  <c:v>44.007787432715858</c:v>
                </c:pt>
                <c:pt idx="13">
                  <c:v>45.814331475984204</c:v>
                </c:pt>
                <c:pt idx="14">
                  <c:v>47.537018385652864</c:v>
                </c:pt>
                <c:pt idx="15">
                  <c:v>49.184327562277737</c:v>
                </c:pt>
                <c:pt idx="16">
                  <c:v>50.763376225189226</c:v>
                </c:pt>
                <c:pt idx="17">
                  <c:v>52.280206380417688</c:v>
                </c:pt>
                <c:pt idx="18">
                  <c:v>53.739998902770758</c:v>
                </c:pt>
                <c:pt idx="19">
                  <c:v>55.147236032559775</c:v>
                </c:pt>
                <c:pt idx="20">
                  <c:v>56.505826634797664</c:v>
                </c:pt>
                <c:pt idx="21">
                  <c:v>57.819204099250499</c:v>
                </c:pt>
                <c:pt idx="22">
                  <c:v>59.090403817415194</c:v>
                </c:pt>
                <c:pt idx="23">
                  <c:v>60.322125193598787</c:v>
                </c:pt>
                <c:pt idx="24">
                  <c:v>61.516781790309459</c:v>
                </c:pt>
                <c:pt idx="25">
                  <c:v>62.676542261158936</c:v>
                </c:pt>
                <c:pt idx="26">
                  <c:v>63.803364052871849</c:v>
                </c:pt>
                <c:pt idx="27">
                  <c:v>64.899021374654808</c:v>
                </c:pt>
                <c:pt idx="28">
                  <c:v>65.965128580589436</c:v>
                </c:pt>
                <c:pt idx="29">
                  <c:v>67.003159850283097</c:v>
                </c:pt>
                <c:pt idx="30">
                  <c:v>68.014465858419129</c:v>
                </c:pt>
                <c:pt idx="31">
                  <c:v>69.000287976888913</c:v>
                </c:pt>
                <c:pt idx="32">
                  <c:v>69.961770441089215</c:v>
                </c:pt>
                <c:pt idx="33">
                  <c:v>70.899970825666642</c:v>
                </c:pt>
                <c:pt idx="34">
                  <c:v>71.815869107969121</c:v>
                </c:pt>
                <c:pt idx="35">
                  <c:v>72.710375544992104</c:v>
                </c:pt>
                <c:pt idx="36">
                  <c:v>73.584337548210698</c:v>
                </c:pt>
                <c:pt idx="37">
                  <c:v>74.438545707796209</c:v>
                </c:pt>
                <c:pt idx="38">
                  <c:v>75.273739091402845</c:v>
                </c:pt>
                <c:pt idx="39">
                  <c:v>76.090609921525228</c:v>
                </c:pt>
                <c:pt idx="40">
                  <c:v>76.889807718269765</c:v>
                </c:pt>
                <c:pt idx="41">
                  <c:v>77.671942980406541</c:v>
                </c:pt>
                <c:pt idx="42">
                  <c:v>78.437590466120824</c:v>
                </c:pt>
                <c:pt idx="43">
                  <c:v>79.187292125462122</c:v>
                </c:pt>
                <c:pt idx="44">
                  <c:v>79.921559728691165</c:v>
                </c:pt>
                <c:pt idx="45">
                  <c:v>80.640877228250631</c:v>
                </c:pt>
                <c:pt idx="46">
                  <c:v>81.34570288667409</c:v>
                </c:pt>
                <c:pt idx="47">
                  <c:v>82.036471198217896</c:v>
                </c:pt>
                <c:pt idx="48">
                  <c:v>82.713594628182776</c:v>
                </c:pt>
                <c:pt idx="49">
                  <c:v>83.377465190670122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60-4723-A3EE-4E8078BC5C26}"/>
            </c:ext>
          </c:extLst>
        </c:ser>
        <c:ser>
          <c:idx val="13"/>
          <c:order val="13"/>
          <c:tx>
            <c:strRef>
              <c:f>Vega!$B$58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Vega!$C$58:$AZ$58</c:f>
              <c:numCache>
                <c:formatCode>General</c:formatCode>
                <c:ptCount val="50"/>
                <c:pt idx="0">
                  <c:v>2.927065892975504</c:v>
                </c:pt>
                <c:pt idx="1">
                  <c:v>8.9895175338315649</c:v>
                </c:pt>
                <c:pt idx="2">
                  <c:v>14.233513043831982</c:v>
                </c:pt>
                <c:pt idx="3">
                  <c:v>18.663662104864478</c:v>
                </c:pt>
                <c:pt idx="4">
                  <c:v>22.497868876431504</c:v>
                </c:pt>
                <c:pt idx="5">
                  <c:v>25.891581343091385</c:v>
                </c:pt>
                <c:pt idx="6">
                  <c:v>28.948267489692707</c:v>
                </c:pt>
                <c:pt idx="7">
                  <c:v>31.738520495864236</c:v>
                </c:pt>
                <c:pt idx="8">
                  <c:v>34.312267148740581</c:v>
                </c:pt>
                <c:pt idx="9">
                  <c:v>36.706035348119421</c:v>
                </c:pt>
                <c:pt idx="10">
                  <c:v>38.947351930321069</c:v>
                </c:pt>
                <c:pt idx="11">
                  <c:v>41.057492812883503</c:v>
                </c:pt>
                <c:pt idx="12">
                  <c:v>43.05326285517458</c:v>
                </c:pt>
                <c:pt idx="13">
                  <c:v>44.948185192777075</c:v>
                </c:pt>
                <c:pt idx="14">
                  <c:v>46.7533191547397</c:v>
                </c:pt>
                <c:pt idx="15">
                  <c:v>48.477837322452586</c:v>
                </c:pt>
                <c:pt idx="16">
                  <c:v>50.129442003581076</c:v>
                </c:pt>
                <c:pt idx="17">
                  <c:v>51.7146719368085</c:v>
                </c:pt>
                <c:pt idx="18">
                  <c:v>53.239132263445264</c:v>
                </c:pt>
                <c:pt idx="19">
                  <c:v>54.707669768385081</c:v>
                </c:pt>
                <c:pt idx="20">
                  <c:v>56.124508368771686</c:v>
                </c:pt>
                <c:pt idx="21">
                  <c:v>57.493355251562889</c:v>
                </c:pt>
                <c:pt idx="22">
                  <c:v>58.817485014314549</c:v>
                </c:pt>
                <c:pt idx="23">
                  <c:v>60.099807095462083</c:v>
                </c:pt>
                <c:pt idx="24">
                  <c:v>61.342920351471392</c:v>
                </c:pt>
                <c:pt idx="25">
                  <c:v>62.549157634667054</c:v>
                </c:pt>
                <c:pt idx="26">
                  <c:v>63.720622510035781</c:v>
                </c:pt>
                <c:pt idx="27">
                  <c:v>64.85921973204664</c:v>
                </c:pt>
                <c:pt idx="28">
                  <c:v>65.966680723770324</c:v>
                </c:pt>
                <c:pt idx="29">
                  <c:v>67.044585019921314</c:v>
                </c:pt>
                <c:pt idx="30">
                  <c:v>68.09437842517174</c:v>
                </c:pt>
                <c:pt idx="31">
                  <c:v>69.117388479916798</c:v>
                </c:pt>
                <c:pt idx="32">
                  <c:v>70.114837704025717</c:v>
                </c:pt>
                <c:pt idx="33">
                  <c:v>71.08785499530623</c:v>
                </c:pt>
                <c:pt idx="34">
                  <c:v>72.037485486462359</c:v>
                </c:pt>
                <c:pt idx="35">
                  <c:v>72.964699107147212</c:v>
                </c:pt>
                <c:pt idx="36">
                  <c:v>73.870398052561669</c:v>
                </c:pt>
                <c:pt idx="37">
                  <c:v>74.75542332414571</c:v>
                </c:pt>
                <c:pt idx="38">
                  <c:v>75.620560479169797</c:v>
                </c:pt>
                <c:pt idx="39">
                  <c:v>76.466544702883454</c:v>
                </c:pt>
                <c:pt idx="40">
                  <c:v>77.294065298122149</c:v>
                </c:pt>
                <c:pt idx="41">
                  <c:v>78.103769671990435</c:v>
                </c:pt>
                <c:pt idx="42">
                  <c:v>78.896266886719488</c:v>
                </c:pt>
                <c:pt idx="43">
                  <c:v>79.672130831492041</c:v>
                </c:pt>
                <c:pt idx="44">
                  <c:v>80.431903063499092</c:v>
                </c:pt>
                <c:pt idx="45">
                  <c:v>81.176095359409061</c:v>
                </c:pt>
                <c:pt idx="46">
                  <c:v>81.905192012513695</c:v>
                </c:pt>
                <c:pt idx="47">
                  <c:v>82.619651905858717</c:v>
                </c:pt>
                <c:pt idx="48">
                  <c:v>83.31991038749463</c:v>
                </c:pt>
                <c:pt idx="49">
                  <c:v>84.006380970459119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60-4723-A3EE-4E8078BC5C26}"/>
            </c:ext>
          </c:extLst>
        </c:ser>
        <c:ser>
          <c:idx val="14"/>
          <c:order val="14"/>
          <c:tx>
            <c:strRef>
              <c:f>Vega!$B$59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Vega!$C$59:$AZ$59</c:f>
              <c:numCache>
                <c:formatCode>General</c:formatCode>
                <c:ptCount val="50"/>
                <c:pt idx="0">
                  <c:v>1.6423008974442086</c:v>
                </c:pt>
                <c:pt idx="1">
                  <c:v>6.7916069221664861</c:v>
                </c:pt>
                <c:pt idx="2">
                  <c:v>11.87463414495628</c:v>
                </c:pt>
                <c:pt idx="3">
                  <c:v>16.362173195400537</c:v>
                </c:pt>
                <c:pt idx="4">
                  <c:v>20.319222979334732</c:v>
                </c:pt>
                <c:pt idx="5">
                  <c:v>23.852762619826304</c:v>
                </c:pt>
                <c:pt idx="6">
                  <c:v>27.049287285975709</c:v>
                </c:pt>
                <c:pt idx="7">
                  <c:v>29.973315295591224</c:v>
                </c:pt>
                <c:pt idx="8">
                  <c:v>32.672837288510749</c:v>
                </c:pt>
                <c:pt idx="9">
                  <c:v>35.184094538062276</c:v>
                </c:pt>
                <c:pt idx="10">
                  <c:v>37.534982337543376</c:v>
                </c:pt>
                <c:pt idx="11">
                  <c:v>39.747381529295993</c:v>
                </c:pt>
                <c:pt idx="12">
                  <c:v>41.838757934862258</c:v>
                </c:pt>
                <c:pt idx="13">
                  <c:v>43.823274915116322</c:v>
                </c:pt>
                <c:pt idx="14">
                  <c:v>45.712581090462876</c:v>
                </c:pt>
                <c:pt idx="15">
                  <c:v>47.516378376648248</c:v>
                </c:pt>
                <c:pt idx="16">
                  <c:v>49.242838909105124</c:v>
                </c:pt>
                <c:pt idx="17">
                  <c:v>50.898916168745849</c:v>
                </c:pt>
                <c:pt idx="18">
                  <c:v>52.490580743496757</c:v>
                </c:pt>
                <c:pt idx="19">
                  <c:v>54.023001518031116</c:v>
                </c:pt>
                <c:pt idx="20">
                  <c:v>55.500686737281079</c:v>
                </c:pt>
                <c:pt idx="21">
                  <c:v>56.92759514226703</c:v>
                </c:pt>
                <c:pt idx="22">
                  <c:v>58.307224488303468</c:v>
                </c:pt>
                <c:pt idx="23">
                  <c:v>59.642682760144446</c:v>
                </c:pt>
                <c:pt idx="24">
                  <c:v>60.93674599938344</c:v>
                </c:pt>
                <c:pt idx="25">
                  <c:v>62.191905664406001</c:v>
                </c:pt>
                <c:pt idx="26">
                  <c:v>63.410407726241644</c:v>
                </c:pt>
                <c:pt idx="27">
                  <c:v>64.594285180646807</c:v>
                </c:pt>
                <c:pt idx="28">
                  <c:v>65.74538527077145</c:v>
                </c:pt>
                <c:pt idx="29">
                  <c:v>66.865392426806622</c:v>
                </c:pt>
                <c:pt idx="30">
                  <c:v>67.955847711990572</c:v>
                </c:pt>
                <c:pt idx="31">
                  <c:v>69.018165399224316</c:v>
                </c:pt>
                <c:pt idx="32">
                  <c:v>70.05364717577315</c:v>
                </c:pt>
                <c:pt idx="33">
                  <c:v>71.063494375378596</c:v>
                </c:pt>
                <c:pt idx="34">
                  <c:v>72.048818560505609</c:v>
                </c:pt>
                <c:pt idx="35">
                  <c:v>73.010650717223328</c:v>
                </c:pt>
                <c:pt idx="36">
                  <c:v>73.94994927752532</c:v>
                </c:pt>
                <c:pt idx="37">
                  <c:v>74.867607145878253</c:v>
                </c:pt>
                <c:pt idx="38">
                  <c:v>75.764457876289683</c:v>
                </c:pt>
                <c:pt idx="39">
                  <c:v>76.641281121570543</c:v>
                </c:pt>
                <c:pt idx="40">
                  <c:v>77.498807456491491</c:v>
                </c:pt>
                <c:pt idx="41">
                  <c:v>78.337722660227769</c:v>
                </c:pt>
                <c:pt idx="42">
                  <c:v>79.15867153011439</c:v>
                </c:pt>
                <c:pt idx="43">
                  <c:v>79.962261287711016</c:v>
                </c:pt>
                <c:pt idx="44">
                  <c:v>80.74906462904508</c:v>
                </c:pt>
                <c:pt idx="45">
                  <c:v>81.519622463309588</c:v>
                </c:pt>
                <c:pt idx="46">
                  <c:v>82.274446377945694</c:v>
                </c:pt>
                <c:pt idx="47">
                  <c:v>83.01402086272094</c:v>
                </c:pt>
                <c:pt idx="48">
                  <c:v>83.73880532093051</c:v>
                </c:pt>
                <c:pt idx="49">
                  <c:v>84.449235892062759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560-4723-A3EE-4E8078BC5C26}"/>
            </c:ext>
          </c:extLst>
        </c:ser>
        <c:ser>
          <c:idx val="15"/>
          <c:order val="15"/>
          <c:tx>
            <c:strRef>
              <c:f>Vega!$B$60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Vega!$C$60:$AZ$60</c:f>
              <c:numCache>
                <c:formatCode>General</c:formatCode>
                <c:ptCount val="50"/>
                <c:pt idx="0">
                  <c:v>0.86005594904440918</c:v>
                </c:pt>
                <c:pt idx="1">
                  <c:v>4.9555850358503886</c:v>
                </c:pt>
                <c:pt idx="2">
                  <c:v>9.6774016730275054</c:v>
                </c:pt>
                <c:pt idx="3">
                  <c:v>14.092485097095231</c:v>
                </c:pt>
                <c:pt idx="4">
                  <c:v>18.090831837703746</c:v>
                </c:pt>
                <c:pt idx="5">
                  <c:v>21.711676246545228</c:v>
                </c:pt>
                <c:pt idx="6">
                  <c:v>25.013239596266622</c:v>
                </c:pt>
                <c:pt idx="7">
                  <c:v>28.047456627327282</c:v>
                </c:pt>
                <c:pt idx="8">
                  <c:v>30.856516667148139</c:v>
                </c:pt>
                <c:pt idx="9">
                  <c:v>33.473991593287863</c:v>
                </c:pt>
                <c:pt idx="10">
                  <c:v>35.926623418149347</c:v>
                </c:pt>
                <c:pt idx="11">
                  <c:v>38.235895079938921</c:v>
                </c:pt>
                <c:pt idx="12">
                  <c:v>40.419254160865577</c:v>
                </c:pt>
                <c:pt idx="13">
                  <c:v>42.491033175105372</c:v>
                </c:pt>
                <c:pt idx="14">
                  <c:v>44.463136503305584</c:v>
                </c:pt>
                <c:pt idx="15">
                  <c:v>46.345554967615222</c:v>
                </c:pt>
                <c:pt idx="16">
                  <c:v>48.146754480009704</c:v>
                </c:pt>
                <c:pt idx="17">
                  <c:v>49.873972573614836</c:v>
                </c:pt>
                <c:pt idx="18">
                  <c:v>51.533447096659195</c:v>
                </c:pt>
                <c:pt idx="19">
                  <c:v>53.130594489893262</c:v>
                </c:pt>
                <c:pt idx="20">
                  <c:v>54.670150212271388</c:v>
                </c:pt>
                <c:pt idx="21">
                  <c:v>56.156280451058066</c:v>
                </c:pt>
                <c:pt idx="22">
                  <c:v>57.59267182250376</c:v>
                </c:pt>
                <c:pt idx="23">
                  <c:v>58.982604034757536</c:v>
                </c:pt>
                <c:pt idx="24">
                  <c:v>60.329009235851984</c:v>
                </c:pt>
                <c:pt idx="25">
                  <c:v>61.634520861925871</c:v>
                </c:pt>
                <c:pt idx="26">
                  <c:v>62.901514134752233</c:v>
                </c:pt>
                <c:pt idx="27">
                  <c:v>64.132139864115729</c:v>
                </c:pt>
                <c:pt idx="28">
                  <c:v>65.328352841485909</c:v>
                </c:pt>
                <c:pt idx="29">
                  <c:v>66.491935832885545</c:v>
                </c:pt>
                <c:pt idx="30">
                  <c:v>67.624519966806147</c:v>
                </c:pt>
                <c:pt idx="31">
                  <c:v>68.727602150255791</c:v>
                </c:pt>
                <c:pt idx="32">
                  <c:v>69.802560020089018</c:v>
                </c:pt>
                <c:pt idx="33">
                  <c:v>70.850664838593161</c:v>
                </c:pt>
                <c:pt idx="34">
                  <c:v>71.87309266521936</c:v>
                </c:pt>
                <c:pt idx="35">
                  <c:v>72.87093407540327</c:v>
                </c:pt>
                <c:pt idx="36">
                  <c:v>73.84520264892592</c:v>
                </c:pt>
                <c:pt idx="37">
                  <c:v>74.796842411437154</c:v>
                </c:pt>
                <c:pt idx="38">
                  <c:v>75.726734381490488</c:v>
                </c:pt>
                <c:pt idx="39">
                  <c:v>76.635702350109014</c:v>
                </c:pt>
                <c:pt idx="40">
                  <c:v>77.524517999275972</c:v>
                </c:pt>
                <c:pt idx="41">
                  <c:v>78.393905448862427</c:v>
                </c:pt>
                <c:pt idx="42">
                  <c:v>79.244545307618765</c:v>
                </c:pt>
                <c:pt idx="43">
                  <c:v>80.077078292385494</c:v>
                </c:pt>
                <c:pt idx="44">
                  <c:v>80.892108470153914</c:v>
                </c:pt>
                <c:pt idx="45">
                  <c:v>81.690206169672066</c:v>
                </c:pt>
                <c:pt idx="46">
                  <c:v>82.471910602645423</c:v>
                </c:pt>
                <c:pt idx="47">
                  <c:v>83.237732229002432</c:v>
                </c:pt>
                <c:pt idx="48">
                  <c:v>83.988154895984351</c:v>
                </c:pt>
                <c:pt idx="49">
                  <c:v>84.723637776836412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560-4723-A3EE-4E8078BC5C26}"/>
            </c:ext>
          </c:extLst>
        </c:ser>
        <c:ser>
          <c:idx val="16"/>
          <c:order val="16"/>
          <c:tx>
            <c:strRef>
              <c:f>Vega!$B$61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Vega!$C$61:$AZ$61</c:f>
              <c:numCache>
                <c:formatCode>General</c:formatCode>
                <c:ptCount val="50"/>
                <c:pt idx="0">
                  <c:v>0.42387805204534151</c:v>
                </c:pt>
                <c:pt idx="1">
                  <c:v>3.506768054397122</c:v>
                </c:pt>
                <c:pt idx="2">
                  <c:v>7.7256821631906281</c:v>
                </c:pt>
                <c:pt idx="3">
                  <c:v>11.949469760194527</c:v>
                </c:pt>
                <c:pt idx="4">
                  <c:v>15.904842592470908</c:v>
                </c:pt>
                <c:pt idx="5">
                  <c:v>19.554079891304855</c:v>
                </c:pt>
                <c:pt idx="6">
                  <c:v>22.918955721131969</c:v>
                </c:pt>
                <c:pt idx="7">
                  <c:v>26.033286999693605</c:v>
                </c:pt>
                <c:pt idx="8">
                  <c:v>28.929854474001221</c:v>
                </c:pt>
                <c:pt idx="9">
                  <c:v>31.637191112927553</c:v>
                </c:pt>
                <c:pt idx="10">
                  <c:v>34.179298278415786</c:v>
                </c:pt>
                <c:pt idx="11">
                  <c:v>36.576173818860717</c:v>
                </c:pt>
                <c:pt idx="12">
                  <c:v>38.844486274530212</c:v>
                </c:pt>
                <c:pt idx="13">
                  <c:v>40.99819420277332</c:v>
                </c:pt>
                <c:pt idx="14">
                  <c:v>43.049062967411452</c:v>
                </c:pt>
                <c:pt idx="15">
                  <c:v>45.007080633397386</c:v>
                </c:pt>
                <c:pt idx="16">
                  <c:v>46.880788234869229</c:v>
                </c:pt>
                <c:pt idx="17">
                  <c:v>48.677541271635057</c:v>
                </c:pt>
                <c:pt idx="18">
                  <c:v>50.403717200576047</c:v>
                </c:pt>
                <c:pt idx="19">
                  <c:v>52.064880859897592</c:v>
                </c:pt>
                <c:pt idx="20">
                  <c:v>53.665917156580967</c:v>
                </c:pt>
                <c:pt idx="21">
                  <c:v>55.21113820649402</c:v>
                </c:pt>
                <c:pt idx="22">
                  <c:v>56.704370441404741</c:v>
                </c:pt>
                <c:pt idx="23">
                  <c:v>58.149025914228993</c:v>
                </c:pt>
                <c:pt idx="24">
                  <c:v>59.548161060072395</c:v>
                </c:pt>
                <c:pt idx="25">
                  <c:v>60.904525433167734</c:v>
                </c:pt>
                <c:pt idx="26">
                  <c:v>62.220602380489055</c:v>
                </c:pt>
                <c:pt idx="27">
                  <c:v>63.498643187072688</c:v>
                </c:pt>
                <c:pt idx="28">
                  <c:v>64.740695902413222</c:v>
                </c:pt>
                <c:pt idx="29">
                  <c:v>65.948629806807659</c:v>
                </c:pt>
                <c:pt idx="30">
                  <c:v>67.124156282694457</c:v>
                </c:pt>
                <c:pt idx="31">
                  <c:v>68.268846705139723</c:v>
                </c:pt>
                <c:pt idx="32">
                  <c:v>69.38414784742838</c:v>
                </c:pt>
                <c:pt idx="33">
                  <c:v>70.471395204575359</c:v>
                </c:pt>
                <c:pt idx="34">
                  <c:v>71.531824563735583</c:v>
                </c:pt>
                <c:pt idx="35">
                  <c:v>72.566582091617846</c:v>
                </c:pt>
                <c:pt idx="36">
                  <c:v>73.576733161803588</c:v>
                </c:pt>
                <c:pt idx="37">
                  <c:v>74.563270106816248</c:v>
                </c:pt>
                <c:pt idx="38">
                  <c:v>75.527119048949132</c:v>
                </c:pt>
                <c:pt idx="39">
                  <c:v>76.469145938740255</c:v>
                </c:pt>
                <c:pt idx="40">
                  <c:v>77.3901619094285</c:v>
                </c:pt>
                <c:pt idx="41">
                  <c:v>78.290928038820226</c:v>
                </c:pt>
                <c:pt idx="42">
                  <c:v>79.172159596037019</c:v>
                </c:pt>
                <c:pt idx="43">
                  <c:v>80.034529839034704</c:v>
                </c:pt>
                <c:pt idx="44">
                  <c:v>80.878673419137471</c:v>
                </c:pt>
                <c:pt idx="45">
                  <c:v>81.705189440767228</c:v>
                </c:pt>
                <c:pt idx="46">
                  <c:v>82.514644217774702</c:v>
                </c:pt>
                <c:pt idx="47">
                  <c:v>83.307573762076885</c:v>
                </c:pt>
                <c:pt idx="48">
                  <c:v>84.084486035478946</c:v>
                </c:pt>
                <c:pt idx="49">
                  <c:v>84.845862991468962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560-4723-A3EE-4E8078BC5C2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62805440"/>
        <c:axId val="1062804960"/>
        <c:axId val="1096139936"/>
      </c:surface3DChart>
      <c:catAx>
        <c:axId val="106280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804960"/>
        <c:crosses val="autoZero"/>
        <c:auto val="1"/>
        <c:lblAlgn val="ctr"/>
        <c:lblOffset val="100"/>
        <c:noMultiLvlLbl val="0"/>
      </c:catAx>
      <c:valAx>
        <c:axId val="106280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805440"/>
        <c:crosses val="autoZero"/>
        <c:crossBetween val="midCat"/>
      </c:valAx>
      <c:serAx>
        <c:axId val="10961399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804960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Delta,</a:t>
            </a:r>
            <a:r>
              <a:rPr lang="en-US" baseline="0"/>
              <a:t> vol=10%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Delta!$B$3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Delta!$C$3:$AZ$3</c:f>
              <c:numCache>
                <c:formatCode>General</c:formatCode>
                <c:ptCount val="50"/>
                <c:pt idx="0">
                  <c:v>1.152199866581208E-58</c:v>
                </c:pt>
                <c:pt idx="1">
                  <c:v>3.4889502026674058E-30</c:v>
                </c:pt>
                <c:pt idx="2">
                  <c:v>1.1850476086013734E-20</c:v>
                </c:pt>
                <c:pt idx="3">
                  <c:v>7.1994037560856216E-16</c:v>
                </c:pt>
                <c:pt idx="4">
                  <c:v>5.4712789718469201E-13</c:v>
                </c:pt>
                <c:pt idx="5">
                  <c:v>4.6306900470662182E-11</c:v>
                </c:pt>
                <c:pt idx="6">
                  <c:v>1.1154484392717851E-9</c:v>
                </c:pt>
                <c:pt idx="7">
                  <c:v>1.2232280237899387E-8</c:v>
                </c:pt>
                <c:pt idx="8">
                  <c:v>7.9305503738124461E-8</c:v>
                </c:pt>
                <c:pt idx="9">
                  <c:v>3.5564355541459468E-7</c:v>
                </c:pt>
                <c:pt idx="10">
                  <c:v>1.2192239835265874E-6</c:v>
                </c:pt>
                <c:pt idx="11">
                  <c:v>3.415911667608909E-6</c:v>
                </c:pt>
                <c:pt idx="12">
                  <c:v>8.1919080088907209E-6</c:v>
                </c:pt>
                <c:pt idx="13">
                  <c:v>1.738179344392611E-5</c:v>
                </c:pt>
                <c:pt idx="14">
                  <c:v>3.3434181313195163E-5</c:v>
                </c:pt>
                <c:pt idx="15">
                  <c:v>5.9374498876366369E-5</c:v>
                </c:pt>
                <c:pt idx="16">
                  <c:v>9.8716886963735742E-5</c:v>
                </c:pt>
                <c:pt idx="17">
                  <c:v>1.5534291777073779E-4</c:v>
                </c:pt>
                <c:pt idx="18">
                  <c:v>2.3336509406720306E-4</c:v>
                </c:pt>
                <c:pt idx="19">
                  <c:v>3.3699015309893626E-4</c:v>
                </c:pt>
                <c:pt idx="20">
                  <c:v>4.7039300664574287E-4</c:v>
                </c:pt>
                <c:pt idx="21">
                  <c:v>6.3760798348354254E-4</c:v>
                </c:pt>
                <c:pt idx="22">
                  <c:v>8.4244055402268544E-4</c:v>
                </c:pt>
                <c:pt idx="23">
                  <c:v>1.088400124627938E-3</c:v>
                </c:pt>
                <c:pt idx="24">
                  <c:v>1.3786527570004673E-3</c:v>
                </c:pt>
                <c:pt idx="25">
                  <c:v>1.7159916486753394E-3</c:v>
                </c:pt>
                <c:pt idx="26">
                  <c:v>2.1028227265520614E-3</c:v>
                </c:pt>
                <c:pt idx="27">
                  <c:v>2.541162591487144E-3</c:v>
                </c:pt>
                <c:pt idx="28">
                  <c:v>3.0326461735267879E-3</c:v>
                </c:pt>
                <c:pt idx="29">
                  <c:v>3.5785417129918693E-3</c:v>
                </c:pt>
                <c:pt idx="30">
                  <c:v>4.1797710010394503E-3</c:v>
                </c:pt>
                <c:pt idx="31">
                  <c:v>4.8369331474042961E-3</c:v>
                </c:pt>
                <c:pt idx="32">
                  <c:v>5.5503304638071342E-3</c:v>
                </c:pt>
                <c:pt idx="33">
                  <c:v>6.3199953429158087E-3</c:v>
                </c:pt>
                <c:pt idx="34">
                  <c:v>7.1457172673657209E-3</c:v>
                </c:pt>
                <c:pt idx="35">
                  <c:v>8.027069299356775E-3</c:v>
                </c:pt>
                <c:pt idx="36">
                  <c:v>8.9634335802569205E-3</c:v>
                </c:pt>
                <c:pt idx="37">
                  <c:v>9.9540255147849734E-3</c:v>
                </c:pt>
                <c:pt idx="38">
                  <c:v>1.0997916429864574E-2</c:v>
                </c:pt>
                <c:pt idx="39">
                  <c:v>1.2094054588474413E-2</c:v>
                </c:pt>
                <c:pt idx="40">
                  <c:v>1.3241284507931566E-2</c:v>
                </c:pt>
                <c:pt idx="41">
                  <c:v>1.4438364583820629E-2</c:v>
                </c:pt>
                <c:pt idx="42">
                  <c:v>1.5683983058551419E-2</c:v>
                </c:pt>
                <c:pt idx="43">
                  <c:v>1.6976772400142889E-2</c:v>
                </c:pt>
                <c:pt idx="44">
                  <c:v>1.8315322174678777E-2</c:v>
                </c:pt>
                <c:pt idx="45">
                  <c:v>1.969819050694243E-2</c:v>
                </c:pt>
                <c:pt idx="46">
                  <c:v>2.1123914229619057E-2</c:v>
                </c:pt>
                <c:pt idx="47">
                  <c:v>2.2591017823454376E-2</c:v>
                </c:pt>
                <c:pt idx="48">
                  <c:v>2.4098021249908813E-2</c:v>
                </c:pt>
                <c:pt idx="49">
                  <c:v>2.564344677496205E-2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2-4812-A444-8660C254A158}"/>
            </c:ext>
          </c:extLst>
        </c:ser>
        <c:ser>
          <c:idx val="1"/>
          <c:order val="1"/>
          <c:tx>
            <c:strRef>
              <c:f>Delta!$B$4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Delta!$C$4:$AZ$4</c:f>
              <c:numCache>
                <c:formatCode>General</c:formatCode>
                <c:ptCount val="50"/>
                <c:pt idx="0">
                  <c:v>2.8126612880568554E-42</c:v>
                </c:pt>
                <c:pt idx="1">
                  <c:v>5.5821144851587517E-22</c:v>
                </c:pt>
                <c:pt idx="2">
                  <c:v>3.5461176703588084E-15</c:v>
                </c:pt>
                <c:pt idx="3">
                  <c:v>9.3129642843239855E-12</c:v>
                </c:pt>
                <c:pt idx="4">
                  <c:v>1.0745001039870842E-9</c:v>
                </c:pt>
                <c:pt idx="5">
                  <c:v>2.5874472084445203E-8</c:v>
                </c:pt>
                <c:pt idx="6">
                  <c:v>2.5390046836316418E-7</c:v>
                </c:pt>
                <c:pt idx="7">
                  <c:v>1.4195096494921114E-6</c:v>
                </c:pt>
                <c:pt idx="8">
                  <c:v>5.4488726576165433E-6</c:v>
                </c:pt>
                <c:pt idx="9">
                  <c:v>1.6064307266339651E-5</c:v>
                </c:pt>
                <c:pt idx="10">
                  <c:v>3.907027174904934E-5</c:v>
                </c:pt>
                <c:pt idx="11">
                  <c:v>8.2222623433287958E-5</c:v>
                </c:pt>
                <c:pt idx="12">
                  <c:v>1.5476562431086335E-4</c:v>
                </c:pt>
                <c:pt idx="13">
                  <c:v>2.667987852032896E-4</c:v>
                </c:pt>
                <c:pt idx="14">
                  <c:v>4.2862450998820586E-4</c:v>
                </c:pt>
                <c:pt idx="15">
                  <c:v>6.5017768652727822E-4</c:v>
                </c:pt>
                <c:pt idx="16">
                  <c:v>9.4058624669536085E-4</c:v>
                </c:pt>
                <c:pt idx="17">
                  <c:v>1.3078729350655168E-3</c:v>
                </c:pt>
                <c:pt idx="18">
                  <c:v>1.7587854442977021E-3</c:v>
                </c:pt>
                <c:pt idx="19">
                  <c:v>2.2987314592982288E-3</c:v>
                </c:pt>
                <c:pt idx="20">
                  <c:v>2.9317926417498997E-3</c:v>
                </c:pt>
                <c:pt idx="21">
                  <c:v>3.6607935408569472E-3</c:v>
                </c:pt>
                <c:pt idx="22">
                  <c:v>4.4874053415493382E-3</c:v>
                </c:pt>
                <c:pt idx="23">
                  <c:v>5.4122687664904913E-3</c:v>
                </c:pt>
                <c:pt idx="24">
                  <c:v>6.4351245531634443E-3</c:v>
                </c:pt>
                <c:pt idx="25">
                  <c:v>7.5549433987338694E-3</c:v>
                </c:pt>
                <c:pt idx="26">
                  <c:v>8.7700500228962055E-3</c:v>
                </c:pt>
                <c:pt idx="27">
                  <c:v>1.0078238089572712E-2</c:v>
                </c:pt>
                <c:pt idx="28">
                  <c:v>1.1476874252260325E-2</c:v>
                </c:pt>
                <c:pt idx="29">
                  <c:v>1.296299065751454E-2</c:v>
                </c:pt>
                <c:pt idx="30">
                  <c:v>1.4533365961512369E-2</c:v>
                </c:pt>
                <c:pt idx="31">
                  <c:v>1.618459537522899E-2</c:v>
                </c:pt>
                <c:pt idx="32">
                  <c:v>1.7913150526462699E-2</c:v>
                </c:pt>
                <c:pt idx="33">
                  <c:v>1.9715430067525904E-2</c:v>
                </c:pt>
                <c:pt idx="34">
                  <c:v>2.1587802007871103E-2</c:v>
                </c:pt>
                <c:pt idx="35">
                  <c:v>2.352663874210921E-2</c:v>
                </c:pt>
                <c:pt idx="36">
                  <c:v>2.5528345698005158E-2</c:v>
                </c:pt>
                <c:pt idx="37">
                  <c:v>2.758938446174752E-2</c:v>
                </c:pt>
                <c:pt idx="38">
                  <c:v>2.9706291159851256E-2</c:v>
                </c:pt>
                <c:pt idx="39">
                  <c:v>3.1875690795675732E-2</c:v>
                </c:pt>
                <c:pt idx="40">
                  <c:v>3.4094308158393052E-2</c:v>
                </c:pt>
                <c:pt idx="41">
                  <c:v>3.6358975846180697E-2</c:v>
                </c:pt>
                <c:pt idx="42">
                  <c:v>3.8666639875059861E-2</c:v>
                </c:pt>
                <c:pt idx="43">
                  <c:v>4.1014363280924726E-2</c:v>
                </c:pt>
                <c:pt idx="44">
                  <c:v>4.3399328065114873E-2</c:v>
                </c:pt>
                <c:pt idx="45">
                  <c:v>4.5818835783233397E-2</c:v>
                </c:pt>
                <c:pt idx="46">
                  <c:v>4.8270307032435032E-2</c:v>
                </c:pt>
                <c:pt idx="47">
                  <c:v>5.0751280053630464E-2</c:v>
                </c:pt>
                <c:pt idx="48">
                  <c:v>5.3259408631430298E-2</c:v>
                </c:pt>
                <c:pt idx="49">
                  <c:v>5.5792459445646918E-2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2-4812-A444-8660C254A158}"/>
            </c:ext>
          </c:extLst>
        </c:ser>
        <c:ser>
          <c:idx val="2"/>
          <c:order val="2"/>
          <c:tx>
            <c:strRef>
              <c:f>Delta!$B$5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Delta!$C$5:$AZ$5</c:f>
              <c:numCache>
                <c:formatCode>General</c:formatCode>
                <c:ptCount val="50"/>
                <c:pt idx="0">
                  <c:v>1.4260381787833992E-29</c:v>
                </c:pt>
                <c:pt idx="1">
                  <c:v>1.3034623767509508E-15</c:v>
                </c:pt>
                <c:pt idx="2">
                  <c:v>6.3883719199083217E-11</c:v>
                </c:pt>
                <c:pt idx="3">
                  <c:v>1.4726488482514349E-8</c:v>
                </c:pt>
                <c:pt idx="4">
                  <c:v>3.9447858056893467E-7</c:v>
                </c:pt>
                <c:pt idx="5">
                  <c:v>3.5869233961988741E-6</c:v>
                </c:pt>
                <c:pt idx="6">
                  <c:v>1.7549254029347776E-5</c:v>
                </c:pt>
                <c:pt idx="7">
                  <c:v>5.820088365787128E-5</c:v>
                </c:pt>
                <c:pt idx="8">
                  <c:v>1.4879923588186897E-4</c:v>
                </c:pt>
                <c:pt idx="9">
                  <c:v>3.1686788675612499E-4</c:v>
                </c:pt>
                <c:pt idx="10">
                  <c:v>5.9047668779207887E-4</c:v>
                </c:pt>
                <c:pt idx="11">
                  <c:v>9.9518629476550054E-4</c:v>
                </c:pt>
                <c:pt idx="12">
                  <c:v>1.552133298857856E-3</c:v>
                </c:pt>
                <c:pt idx="13">
                  <c:v>2.2771869196615271E-3</c:v>
                </c:pt>
                <c:pt idx="14">
                  <c:v>3.1808941795645205E-3</c:v>
                </c:pt>
                <c:pt idx="15">
                  <c:v>4.2689124102571066E-3</c:v>
                </c:pt>
                <c:pt idx="16">
                  <c:v>5.5426888646884264E-3</c:v>
                </c:pt>
                <c:pt idx="17">
                  <c:v>7.0002229297079265E-3</c:v>
                </c:pt>
                <c:pt idx="18">
                  <c:v>8.6368108141478394E-3</c:v>
                </c:pt>
                <c:pt idx="19">
                  <c:v>1.0445719216560163E-2</c:v>
                </c:pt>
                <c:pt idx="20">
                  <c:v>1.2418765024384366E-2</c:v>
                </c:pt>
                <c:pt idx="21">
                  <c:v>1.4546796507460432E-2</c:v>
                </c:pt>
                <c:pt idx="22">
                  <c:v>1.6820081585756378E-2</c:v>
                </c:pt>
                <c:pt idx="23">
                  <c:v>1.922861358058979E-2</c:v>
                </c:pt>
                <c:pt idx="24">
                  <c:v>2.1762346517717208E-2</c:v>
                </c:pt>
                <c:pt idx="25">
                  <c:v>2.4411371935072829E-2</c:v>
                </c:pt>
                <c:pt idx="26">
                  <c:v>2.7166048132505883E-2</c:v>
                </c:pt>
                <c:pt idx="27">
                  <c:v>3.0017091409052326E-2</c:v>
                </c:pt>
                <c:pt idx="28">
                  <c:v>3.2955637362176854E-2</c:v>
                </c:pt>
                <c:pt idx="29">
                  <c:v>3.5973278929724156E-2</c:v>
                </c:pt>
                <c:pt idx="30">
                  <c:v>3.9062086611687148E-2</c:v>
                </c:pt>
                <c:pt idx="31">
                  <c:v>4.22146152397938E-2</c:v>
                </c:pt>
                <c:pt idx="32">
                  <c:v>4.5423900766636327E-2</c:v>
                </c:pt>
                <c:pt idx="33">
                  <c:v>4.8683449807988971E-2</c:v>
                </c:pt>
                <c:pt idx="34">
                  <c:v>5.1987224072187123E-2</c:v>
                </c:pt>
                <c:pt idx="35">
                  <c:v>5.5329621328033506E-2</c:v>
                </c:pt>
                <c:pt idx="36">
                  <c:v>5.8705454177880395E-2</c:v>
                </c:pt>
                <c:pt idx="37">
                  <c:v>6.2109927597691503E-2</c:v>
                </c:pt>
                <c:pt idx="38">
                  <c:v>6.5538615965857763E-2</c:v>
                </c:pt>
                <c:pt idx="39">
                  <c:v>6.8987440114615495E-2</c:v>
                </c:pt>
                <c:pt idx="40">
                  <c:v>7.2452644791597673E-2</c:v>
                </c:pt>
                <c:pt idx="41">
                  <c:v>7.5930776805775785E-2</c:v>
                </c:pt>
                <c:pt idx="42">
                  <c:v>7.9418664044906662E-2</c:v>
                </c:pt>
                <c:pt idx="43">
                  <c:v>8.2913395485036331E-2</c:v>
                </c:pt>
                <c:pt idx="44">
                  <c:v>8.6412302262187254E-2</c:v>
                </c:pt>
                <c:pt idx="45">
                  <c:v>8.9912939838559261E-2</c:v>
                </c:pt>
                <c:pt idx="46">
                  <c:v>9.341307126760022E-2</c:v>
                </c:pt>
                <c:pt idx="47">
                  <c:v>9.6910651541957563E-2</c:v>
                </c:pt>
                <c:pt idx="48">
                  <c:v>0.10040381299385966</c:v>
                </c:pt>
                <c:pt idx="49">
                  <c:v>0.10389085170754279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42-4812-A444-8660C254A158}"/>
            </c:ext>
          </c:extLst>
        </c:ser>
        <c:ser>
          <c:idx val="3"/>
          <c:order val="3"/>
          <c:tx>
            <c:strRef>
              <c:f>Delta!$B$6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Delta!$C$6:$AZ$6</c:f>
              <c:numCache>
                <c:formatCode>General</c:formatCode>
                <c:ptCount val="50"/>
                <c:pt idx="0">
                  <c:v>7.1568181094979558E-20</c:v>
                </c:pt>
                <c:pt idx="1">
                  <c:v>9.7210253802256359E-11</c:v>
                </c:pt>
                <c:pt idx="2">
                  <c:v>1.1693829518833723E-7</c:v>
                </c:pt>
                <c:pt idx="3">
                  <c:v>4.2184867637814504E-6</c:v>
                </c:pt>
                <c:pt idx="4">
                  <c:v>3.710426223234792E-5</c:v>
                </c:pt>
                <c:pt idx="5">
                  <c:v>1.6047856986437583E-4</c:v>
                </c:pt>
                <c:pt idx="6">
                  <c:v>4.6157184850289406E-4</c:v>
                </c:pt>
                <c:pt idx="7">
                  <c:v>1.0273171406440292E-3</c:v>
                </c:pt>
                <c:pt idx="8">
                  <c:v>1.9253955209529885E-3</c:v>
                </c:pt>
                <c:pt idx="9">
                  <c:v>3.1973886164727121E-3</c:v>
                </c:pt>
                <c:pt idx="10">
                  <c:v>4.8602070072897236E-3</c:v>
                </c:pt>
                <c:pt idx="11">
                  <c:v>6.9111376894053084E-3</c:v>
                </c:pt>
                <c:pt idx="12">
                  <c:v>9.3335672932984472E-3</c:v>
                </c:pt>
                <c:pt idx="13">
                  <c:v>1.2102020134801496E-2</c:v>
                </c:pt>
                <c:pt idx="14">
                  <c:v>1.5186088393001264E-2</c:v>
                </c:pt>
                <c:pt idx="15">
                  <c:v>1.8553274771013178E-2</c:v>
                </c:pt>
                <c:pt idx="16">
                  <c:v>2.217093134450733E-2</c:v>
                </c:pt>
                <c:pt idx="17">
                  <c:v>2.6007508364530859E-2</c:v>
                </c:pt>
                <c:pt idx="18">
                  <c:v>3.0033303343949984E-2</c:v>
                </c:pt>
                <c:pt idx="19">
                  <c:v>3.4220862001572677E-2</c:v>
                </c:pt>
                <c:pt idx="20">
                  <c:v>3.8545144673195579E-2</c:v>
                </c:pt>
                <c:pt idx="21">
                  <c:v>4.2983540147969686E-2</c:v>
                </c:pt>
                <c:pt idx="22">
                  <c:v>4.7515784462583199E-2</c:v>
                </c:pt>
                <c:pt idx="23">
                  <c:v>5.2123824151022791E-2</c:v>
                </c:pt>
                <c:pt idx="24">
                  <c:v>5.6791650503502759E-2</c:v>
                </c:pt>
                <c:pt idx="25">
                  <c:v>6.1505122281147004E-2</c:v>
                </c:pt>
                <c:pt idx="26">
                  <c:v>6.625178802488664E-2</c:v>
                </c:pt>
                <c:pt idx="27">
                  <c:v>7.1020714787426456E-2</c:v>
                </c:pt>
                <c:pt idx="28">
                  <c:v>7.5802327213493892E-2</c:v>
                </c:pt>
                <c:pt idx="29">
                  <c:v>8.0588258967957002E-2</c:v>
                </c:pt>
                <c:pt idx="30">
                  <c:v>8.5371217259688589E-2</c:v>
                </c:pt>
                <c:pt idx="31">
                  <c:v>9.0144860417563852E-2</c:v>
                </c:pt>
                <c:pt idx="32">
                  <c:v>9.4903687994794705E-2</c:v>
                </c:pt>
                <c:pt idx="33">
                  <c:v>9.9642942605819476E-2</c:v>
                </c:pt>
                <c:pt idx="34">
                  <c:v>0.10435852256522872</c:v>
                </c:pt>
                <c:pt idx="35">
                  <c:v>0.10904690435218471</c:v>
                </c:pt>
                <c:pt idx="36">
                  <c:v>0.11370507393349005</c:v>
                </c:pt>
                <c:pt idx="37">
                  <c:v>0.11833046602166508</c:v>
                </c:pt>
                <c:pt idx="38">
                  <c:v>0.12292091040627794</c:v>
                </c:pt>
                <c:pt idx="39">
                  <c:v>0.127474584567597</c:v>
                </c:pt>
                <c:pt idx="40">
                  <c:v>0.13198997185514169</c:v>
                </c:pt>
                <c:pt idx="41">
                  <c:v>0.13646582458596654</c:v>
                </c:pt>
                <c:pt idx="42">
                  <c:v>0.14090113148620204</c:v>
                </c:pt>
                <c:pt idx="43">
                  <c:v>0.14529508896321683</c:v>
                </c:pt>
                <c:pt idx="44">
                  <c:v>0.1496470757541617</c:v>
                </c:pt>
                <c:pt idx="45">
                  <c:v>0.15395663054948716</c:v>
                </c:pt>
                <c:pt idx="46">
                  <c:v>0.1582234322373938</c:v>
                </c:pt>
                <c:pt idx="47">
                  <c:v>0.16244728245741094</c:v>
                </c:pt>
                <c:pt idx="48">
                  <c:v>0.1666280901887506</c:v>
                </c:pt>
                <c:pt idx="49">
                  <c:v>0.17076585813219761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42-4812-A444-8660C254A158}"/>
            </c:ext>
          </c:extLst>
        </c:ser>
        <c:ser>
          <c:idx val="4"/>
          <c:order val="4"/>
          <c:tx>
            <c:strRef>
              <c:f>Delta!$B$7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Delta!$C$7:$AZ$7</c:f>
              <c:numCache>
                <c:formatCode>General</c:formatCode>
                <c:ptCount val="50"/>
                <c:pt idx="0">
                  <c:v>1.2002701474206063E-12</c:v>
                </c:pt>
                <c:pt idx="1">
                  <c:v>4.2709800292238633E-7</c:v>
                </c:pt>
                <c:pt idx="2">
                  <c:v>3.2777591453569817E-5</c:v>
                </c:pt>
                <c:pt idx="3">
                  <c:v>2.9809587513643615E-4</c:v>
                </c:pt>
                <c:pt idx="4">
                  <c:v>1.1455014907192074E-3</c:v>
                </c:pt>
                <c:pt idx="5">
                  <c:v>2.8497945838167151E-3</c:v>
                </c:pt>
                <c:pt idx="6">
                  <c:v>5.517688733437851E-3</c:v>
                </c:pt>
                <c:pt idx="7">
                  <c:v>9.1213054737095019E-3</c:v>
                </c:pt>
                <c:pt idx="8">
                  <c:v>1.3558236229164227E-2</c:v>
                </c:pt>
                <c:pt idx="9">
                  <c:v>1.8697030468110387E-2</c:v>
                </c:pt>
                <c:pt idx="10">
                  <c:v>2.4403777229606925E-2</c:v>
                </c:pt>
                <c:pt idx="11">
                  <c:v>3.0555198866539471E-2</c:v>
                </c:pt>
                <c:pt idx="12">
                  <c:v>3.7043792634853058E-2</c:v>
                </c:pt>
                <c:pt idx="13">
                  <c:v>4.3778772136576119E-2</c:v>
                </c:pt>
                <c:pt idx="14">
                  <c:v>5.0685012629913921E-2</c:v>
                </c:pt>
                <c:pt idx="15">
                  <c:v>5.7701197664116008E-2</c:v>
                </c:pt>
                <c:pt idx="16">
                  <c:v>6.4777777721525362E-2</c:v>
                </c:pt>
                <c:pt idx="17">
                  <c:v>7.1875028777760502E-2</c:v>
                </c:pt>
                <c:pt idx="18">
                  <c:v>7.8961328493355798E-2</c:v>
                </c:pt>
                <c:pt idx="19">
                  <c:v>8.6011681908250856E-2</c:v>
                </c:pt>
                <c:pt idx="20">
                  <c:v>9.3006487936707821E-2</c:v>
                </c:pt>
                <c:pt idx="21">
                  <c:v>9.9930521013580242E-2</c:v>
                </c:pt>
                <c:pt idx="22">
                  <c:v>0.10677209719831002</c:v>
                </c:pt>
                <c:pt idx="23">
                  <c:v>0.11352239466227652</c:v>
                </c:pt>
                <c:pt idx="24">
                  <c:v>0.12017490151796226</c:v>
                </c:pt>
                <c:pt idx="25">
                  <c:v>0.12672496775243697</c:v>
                </c:pt>
                <c:pt idx="26">
                  <c:v>0.13316944181476806</c:v>
                </c:pt>
                <c:pt idx="27">
                  <c:v>0.13950637583498959</c:v>
                </c:pt>
                <c:pt idx="28">
                  <c:v>0.14573478640555623</c:v>
                </c:pt>
                <c:pt idx="29">
                  <c:v>0.15185446032881006</c:v>
                </c:pt>
                <c:pt idx="30">
                  <c:v>0.15786579676833712</c:v>
                </c:pt>
                <c:pt idx="31">
                  <c:v>0.16376967889779431</c:v>
                </c:pt>
                <c:pt idx="32">
                  <c:v>0.1695673694792961</c:v>
                </c:pt>
                <c:pt idx="33">
                  <c:v>0.1752604258812222</c:v>
                </c:pt>
                <c:pt idx="34">
                  <c:v>0.1808506309113026</c:v>
                </c:pt>
                <c:pt idx="35">
                  <c:v>0.18633993653606787</c:v>
                </c:pt>
                <c:pt idx="36">
                  <c:v>0.19173041811595362</c:v>
                </c:pt>
                <c:pt idx="37">
                  <c:v>0.19702423723384929</c:v>
                </c:pt>
                <c:pt idx="38">
                  <c:v>0.20222361155566726</c:v>
                </c:pt>
                <c:pt idx="39">
                  <c:v>0.20733079045218472</c:v>
                </c:pt>
                <c:pt idx="40">
                  <c:v>0.21234803534600569</c:v>
                </c:pt>
                <c:pt idx="41">
                  <c:v>0.2172776039371884</c:v>
                </c:pt>
                <c:pt idx="42">
                  <c:v>0.22212173761478093</c:v>
                </c:pt>
                <c:pt idx="43">
                  <c:v>0.22688265148630191</c:v>
                </c:pt>
                <c:pt idx="44">
                  <c:v>0.23156252655872406</c:v>
                </c:pt>
                <c:pt idx="45">
                  <c:v>0.23616350368730088</c:v>
                </c:pt>
                <c:pt idx="46">
                  <c:v>0.24068767897619286</c:v>
                </c:pt>
                <c:pt idx="47">
                  <c:v>0.24513710037020997</c:v>
                </c:pt>
                <c:pt idx="48">
                  <c:v>0.24951376522238838</c:v>
                </c:pt>
                <c:pt idx="49">
                  <c:v>0.25381961865942948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42-4812-A444-8660C254A158}"/>
            </c:ext>
          </c:extLst>
        </c:ser>
        <c:ser>
          <c:idx val="5"/>
          <c:order val="5"/>
          <c:tx>
            <c:strRef>
              <c:f>Delta!$B$8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Delta!$C$8:$AZ$8</c:f>
              <c:numCache>
                <c:formatCode>General</c:formatCode>
                <c:ptCount val="50"/>
                <c:pt idx="0">
                  <c:v>1.7727866846205845E-7</c:v>
                </c:pt>
                <c:pt idx="1">
                  <c:v>1.8057900763335621E-4</c:v>
                </c:pt>
                <c:pt idx="2">
                  <c:v>1.9569580318317646E-3</c:v>
                </c:pt>
                <c:pt idx="3">
                  <c:v>6.6658842436191712E-3</c:v>
                </c:pt>
                <c:pt idx="4">
                  <c:v>1.4178971876106394E-2</c:v>
                </c:pt>
                <c:pt idx="5">
                  <c:v>2.3744049559651252E-2</c:v>
                </c:pt>
                <c:pt idx="6">
                  <c:v>3.4610567414057013E-2</c:v>
                </c:pt>
                <c:pt idx="7">
                  <c:v>4.6201796215212587E-2</c:v>
                </c:pt>
                <c:pt idx="8">
                  <c:v>5.8114853573404242E-2</c:v>
                </c:pt>
                <c:pt idx="9">
                  <c:v>7.0080829341433393E-2</c:v>
                </c:pt>
                <c:pt idx="10">
                  <c:v>8.192549260938034E-2</c:v>
                </c:pt>
                <c:pt idx="11">
                  <c:v>9.3539215441209869E-2</c:v>
                </c:pt>
                <c:pt idx="12">
                  <c:v>0.10485577570329696</c:v>
                </c:pt>
                <c:pt idx="13">
                  <c:v>0.11583788902827481</c:v>
                </c:pt>
                <c:pt idx="14">
                  <c:v>0.12646745134739226</c:v>
                </c:pt>
                <c:pt idx="15">
                  <c:v>0.13673897902637114</c:v>
                </c:pt>
                <c:pt idx="16">
                  <c:v>0.14665519595166238</c:v>
                </c:pt>
                <c:pt idx="17">
                  <c:v>0.15622405951784835</c:v>
                </c:pt>
                <c:pt idx="18">
                  <c:v>0.16545675341548549</c:v>
                </c:pt>
                <c:pt idx="19">
                  <c:v>0.17436633291241277</c:v>
                </c:pt>
                <c:pt idx="20">
                  <c:v>0.18296681273021781</c:v>
                </c:pt>
                <c:pt idx="21">
                  <c:v>0.19127255659423448</c:v>
                </c:pt>
                <c:pt idx="22">
                  <c:v>0.19929787324630263</c:v>
                </c:pt>
                <c:pt idx="23">
                  <c:v>0.20705675417048591</c:v>
                </c:pt>
                <c:pt idx="24">
                  <c:v>0.21456270871780575</c:v>
                </c:pt>
                <c:pt idx="25">
                  <c:v>0.22182866612538996</c:v>
                </c:pt>
                <c:pt idx="26">
                  <c:v>0.22886692332481046</c:v>
                </c:pt>
                <c:pt idx="27">
                  <c:v>0.23568912387707852</c:v>
                </c:pt>
                <c:pt idx="28">
                  <c:v>0.24230625781699955</c:v>
                </c:pt>
                <c:pt idx="29">
                  <c:v>0.24872867527518139</c:v>
                </c:pt>
                <c:pt idx="30">
                  <c:v>0.25496610889936555</c:v>
                </c:pt>
                <c:pt idx="31">
                  <c:v>0.2610277016065079</c:v>
                </c:pt>
                <c:pt idx="32">
                  <c:v>0.26692203725956992</c:v>
                </c:pt>
                <c:pt idx="33">
                  <c:v>0.27265717261290628</c:v>
                </c:pt>
                <c:pt idx="34">
                  <c:v>0.27824066940034548</c:v>
                </c:pt>
                <c:pt idx="35">
                  <c:v>0.28367962581513939</c:v>
                </c:pt>
                <c:pt idx="36">
                  <c:v>0.28898070689601107</c:v>
                </c:pt>
                <c:pt idx="37">
                  <c:v>0.29415017352032308</c:v>
                </c:pt>
                <c:pt idx="38">
                  <c:v>0.29919390983632926</c:v>
                </c:pt>
                <c:pt idx="39">
                  <c:v>0.30411744905751403</c:v>
                </c:pt>
                <c:pt idx="40">
                  <c:v>0.30892599760451955</c:v>
                </c:pt>
                <c:pt idx="41">
                  <c:v>0.31362445762225177</c:v>
                </c:pt>
                <c:pt idx="42">
                  <c:v>0.31821744792728346</c:v>
                </c:pt>
                <c:pt idx="43">
                  <c:v>0.32270932345784897</c:v>
                </c:pt>
                <c:pt idx="44">
                  <c:v>0.32710419330856966</c:v>
                </c:pt>
                <c:pt idx="45">
                  <c:v>0.3314059374367716</c:v>
                </c:pt>
                <c:pt idx="46">
                  <c:v>0.33561822212841863</c:v>
                </c:pt>
                <c:pt idx="47">
                  <c:v>0.33974451431043723</c:v>
                </c:pt>
                <c:pt idx="48">
                  <c:v>0.34378809479337102</c:v>
                </c:pt>
                <c:pt idx="49">
                  <c:v>0.34775207052445578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42-4812-A444-8660C254A158}"/>
            </c:ext>
          </c:extLst>
        </c:ser>
        <c:ser>
          <c:idx val="6"/>
          <c:order val="6"/>
          <c:tx>
            <c:strRef>
              <c:f>Delta!$B$9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Delta!$C$9:$AZ$9</c:f>
              <c:numCache>
                <c:formatCode>General</c:formatCode>
                <c:ptCount val="50"/>
                <c:pt idx="0">
                  <c:v>5.1107517146906892E-4</c:v>
                </c:pt>
                <c:pt idx="1">
                  <c:v>1.1044013907594808E-2</c:v>
                </c:pt>
                <c:pt idx="2">
                  <c:v>3.2777626460407994E-2</c:v>
                </c:pt>
                <c:pt idx="3">
                  <c:v>5.8088107987320337E-2</c:v>
                </c:pt>
                <c:pt idx="4">
                  <c:v>8.318585913269437E-2</c:v>
                </c:pt>
                <c:pt idx="5">
                  <c:v>0.10674814223186847</c:v>
                </c:pt>
                <c:pt idx="6">
                  <c:v>0.12843922086837081</c:v>
                </c:pt>
                <c:pt idx="7">
                  <c:v>0.14828843430084729</c:v>
                </c:pt>
                <c:pt idx="8">
                  <c:v>0.16644856677073225</c:v>
                </c:pt>
                <c:pt idx="9">
                  <c:v>0.18310240300676622</c:v>
                </c:pt>
                <c:pt idx="10">
                  <c:v>0.1984274006195888</c:v>
                </c:pt>
                <c:pt idx="11">
                  <c:v>0.21258361668522863</c:v>
                </c:pt>
                <c:pt idx="12">
                  <c:v>0.22571097448255698</c:v>
                </c:pt>
                <c:pt idx="13">
                  <c:v>0.23793015341014412</c:v>
                </c:pt>
                <c:pt idx="14">
                  <c:v>0.24934471602621183</c:v>
                </c:pt>
                <c:pt idx="15">
                  <c:v>0.26004348390192422</c:v>
                </c:pt>
                <c:pt idx="16">
                  <c:v>0.2701027730928125</c:v>
                </c:pt>
                <c:pt idx="17">
                  <c:v>0.27958835824330464</c:v>
                </c:pt>
                <c:pt idx="18">
                  <c:v>0.28855714353037187</c:v>
                </c:pt>
                <c:pt idx="19">
                  <c:v>0.29705856189617313</c:v>
                </c:pt>
                <c:pt idx="20">
                  <c:v>0.3051357381823091</c:v>
                </c:pt>
                <c:pt idx="21">
                  <c:v>0.31282645348407856</c:v>
                </c:pt>
                <c:pt idx="22">
                  <c:v>0.32016394482469379</c:v>
                </c:pt>
                <c:pt idx="23">
                  <c:v>0.32717756948209387</c:v>
                </c:pt>
                <c:pt idx="24">
                  <c:v>0.33389335844063728</c:v>
                </c:pt>
                <c:pt idx="25">
                  <c:v>0.34033447905731729</c:v>
                </c:pt>
                <c:pt idx="26">
                  <c:v>0.34652162329709002</c:v>
                </c:pt>
                <c:pt idx="27">
                  <c:v>0.35247333480098308</c:v>
                </c:pt>
                <c:pt idx="28">
                  <c:v>0.35820628553342138</c:v>
                </c:pt>
                <c:pt idx="29">
                  <c:v>0.36373551072271876</c:v>
                </c:pt>
                <c:pt idx="30">
                  <c:v>0.36907460917439161</c:v>
                </c:pt>
                <c:pt idx="31">
                  <c:v>0.37423591472466627</c:v>
                </c:pt>
                <c:pt idx="32">
                  <c:v>0.37923064354740299</c:v>
                </c:pt>
                <c:pt idx="33">
                  <c:v>0.3840690211795289</c:v>
                </c:pt>
                <c:pt idx="34">
                  <c:v>0.3887603924460919</c:v>
                </c:pt>
                <c:pt idx="35">
                  <c:v>0.39331331691285482</c:v>
                </c:pt>
                <c:pt idx="36">
                  <c:v>0.39773565204549999</c:v>
                </c:pt>
                <c:pt idx="37">
                  <c:v>0.40203462588908345</c:v>
                </c:pt>
                <c:pt idx="38">
                  <c:v>0.40621690078280426</c:v>
                </c:pt>
                <c:pt idx="39">
                  <c:v>0.4102886293803284</c:v>
                </c:pt>
                <c:pt idx="40">
                  <c:v>0.41425550404442851</c:v>
                </c:pt>
                <c:pt idx="41">
                  <c:v>0.41812280051829681</c:v>
                </c:pt>
                <c:pt idx="42">
                  <c:v>0.42189541663796432</c:v>
                </c:pt>
                <c:pt idx="43">
                  <c:v>0.42557790673554369</c:v>
                </c:pt>
                <c:pt idx="44">
                  <c:v>0.42917451228726622</c:v>
                </c:pt>
                <c:pt idx="45">
                  <c:v>0.43268918928011146</c:v>
                </c:pt>
                <c:pt idx="46">
                  <c:v>0.43612563270346605</c:v>
                </c:pt>
                <c:pt idx="47">
                  <c:v>0.43948729851547702</c:v>
                </c:pt>
                <c:pt idx="48">
                  <c:v>0.44277742338577031</c:v>
                </c:pt>
                <c:pt idx="49">
                  <c:v>0.44599904247550076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42-4812-A444-8660C254A158}"/>
            </c:ext>
          </c:extLst>
        </c:ser>
        <c:ser>
          <c:idx val="7"/>
          <c:order val="7"/>
          <c:tx>
            <c:strRef>
              <c:f>Delta!$B$10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Delta!$C$10:$AZ$10</c:f>
              <c:numCache>
                <c:formatCode>General</c:formatCode>
                <c:ptCount val="50"/>
                <c:pt idx="0">
                  <c:v>5.7674144516076838E-2</c:v>
                </c:pt>
                <c:pt idx="1">
                  <c:v>0.14009983864577802</c:v>
                </c:pt>
                <c:pt idx="2">
                  <c:v>0.19646253524083446</c:v>
                </c:pt>
                <c:pt idx="3">
                  <c:v>0.23694940812133697</c:v>
                </c:pt>
                <c:pt idx="4">
                  <c:v>0.26784925915213059</c:v>
                </c:pt>
                <c:pt idx="5">
                  <c:v>0.29253156538610559</c:v>
                </c:pt>
                <c:pt idx="6">
                  <c:v>0.31292611764332445</c:v>
                </c:pt>
                <c:pt idx="7">
                  <c:v>0.33021760012856716</c:v>
                </c:pt>
                <c:pt idx="8">
                  <c:v>0.34517641190667869</c:v>
                </c:pt>
                <c:pt idx="9">
                  <c:v>0.35832748828828459</c:v>
                </c:pt>
                <c:pt idx="10">
                  <c:v>0.37004240212686801</c:v>
                </c:pt>
                <c:pt idx="11">
                  <c:v>0.38059258942421637</c:v>
                </c:pt>
                <c:pt idx="12">
                  <c:v>0.39018164443398484</c:v>
                </c:pt>
                <c:pt idx="13">
                  <c:v>0.39896574100733556</c:v>
                </c:pt>
                <c:pt idx="14">
                  <c:v>0.4070670090892004</c:v>
                </c:pt>
                <c:pt idx="15">
                  <c:v>0.41458256684793182</c:v>
                </c:pt>
                <c:pt idx="16">
                  <c:v>0.42159078251774884</c:v>
                </c:pt>
                <c:pt idx="17">
                  <c:v>0.42815571724814666</c:v>
                </c:pt>
                <c:pt idx="18">
                  <c:v>0.43433034242333324</c:v>
                </c:pt>
                <c:pt idx="19">
                  <c:v>0.44015891222205472</c:v>
                </c:pt>
                <c:pt idx="20">
                  <c:v>0.4456787419001188</c:v>
                </c:pt>
                <c:pt idx="21">
                  <c:v>0.4509215602938963</c:v>
                </c:pt>
                <c:pt idx="22">
                  <c:v>0.45591455219490995</c:v>
                </c:pt>
                <c:pt idx="23">
                  <c:v>0.46068117142946274</c:v>
                </c:pt>
                <c:pt idx="24">
                  <c:v>0.46524178208363065</c:v>
                </c:pt>
                <c:pt idx="25">
                  <c:v>0.4696141693105278</c:v>
                </c:pt>
                <c:pt idx="26">
                  <c:v>0.4738139500277308</c:v>
                </c:pt>
                <c:pt idx="27">
                  <c:v>0.47785490595601071</c:v>
                </c:pt>
                <c:pt idx="28">
                  <c:v>0.48174925582644129</c:v>
                </c:pt>
                <c:pt idx="29">
                  <c:v>0.48550787950516516</c:v>
                </c:pt>
                <c:pt idx="30">
                  <c:v>0.48914050379315976</c:v>
                </c:pt>
                <c:pt idx="31">
                  <c:v>0.49265585743875995</c:v>
                </c:pt>
                <c:pt idx="32">
                  <c:v>0.49606180123707883</c:v>
                </c:pt>
                <c:pt idx="33">
                  <c:v>0.49936543783154741</c:v>
                </c:pt>
                <c:pt idx="34">
                  <c:v>0.50257320487151724</c:v>
                </c:pt>
                <c:pt idx="35">
                  <c:v>0.5056909544396696</c:v>
                </c:pt>
                <c:pt idx="36">
                  <c:v>0.50872402108847026</c:v>
                </c:pt>
                <c:pt idx="37">
                  <c:v>0.5116772803756795</c:v>
                </c:pt>
                <c:pt idx="38">
                  <c:v>0.51455519943517491</c:v>
                </c:pt>
                <c:pt idx="39">
                  <c:v>0.51736188083892132</c:v>
                </c:pt>
                <c:pt idx="40">
                  <c:v>0.52010110078223115</c:v>
                </c:pt>
                <c:pt idx="41">
                  <c:v>0.52277634244495297</c:v>
                </c:pt>
                <c:pt idx="42">
                  <c:v>0.52539082523635683</c:v>
                </c:pt>
                <c:pt idx="43">
                  <c:v>0.52794753051395849</c:v>
                </c:pt>
                <c:pt idx="44">
                  <c:v>0.53044922427066177</c:v>
                </c:pt>
                <c:pt idx="45">
                  <c:v>0.53289847720605765</c:v>
                </c:pt>
                <c:pt idx="46">
                  <c:v>0.53529768253304311</c:v>
                </c:pt>
                <c:pt idx="47">
                  <c:v>0.53764907181744637</c:v>
                </c:pt>
                <c:pt idx="48">
                  <c:v>0.53995472910393039</c:v>
                </c:pt>
                <c:pt idx="49">
                  <c:v>0.54221660354441636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42-4812-A444-8660C254A158}"/>
            </c:ext>
          </c:extLst>
        </c:ser>
        <c:ser>
          <c:idx val="8"/>
          <c:order val="8"/>
          <c:tx>
            <c:strRef>
              <c:f>Delta!$B$11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Delta!$C$11:$AZ$11</c:f>
              <c:numCache>
                <c:formatCode>General</c:formatCode>
                <c:ptCount val="50"/>
                <c:pt idx="0">
                  <c:v>0.51891639999929629</c:v>
                </c:pt>
                <c:pt idx="1">
                  <c:v>0.5267418038869226</c:v>
                </c:pt>
                <c:pt idx="2">
                  <c:v>0.53273961671267711</c:v>
                </c:pt>
                <c:pt idx="3">
                  <c:v>0.53779029390666466</c:v>
                </c:pt>
                <c:pt idx="4">
                  <c:v>0.54223501331161406</c:v>
                </c:pt>
                <c:pt idx="5">
                  <c:v>0.54624882106468031</c:v>
                </c:pt>
                <c:pt idx="6">
                  <c:v>0.54993574324296035</c:v>
                </c:pt>
                <c:pt idx="7">
                  <c:v>0.55336358492889404</c:v>
                </c:pt>
                <c:pt idx="8">
                  <c:v>0.55657946195545982</c:v>
                </c:pt>
                <c:pt idx="9">
                  <c:v>0.5596176923702425</c:v>
                </c:pt>
                <c:pt idx="10">
                  <c:v>0.56250419357487125</c:v>
                </c:pt>
                <c:pt idx="11">
                  <c:v>0.56525910863091922</c:v>
                </c:pt>
                <c:pt idx="12">
                  <c:v>0.56789846248781028</c:v>
                </c:pt>
                <c:pt idx="13">
                  <c:v>0.57043525317537325</c:v>
                </c:pt>
                <c:pt idx="14">
                  <c:v>0.57288019711595339</c:v>
                </c:pt>
                <c:pt idx="15">
                  <c:v>0.57524225381748262</c:v>
                </c:pt>
                <c:pt idx="16">
                  <c:v>0.57752900488282433</c:v>
                </c:pt>
                <c:pt idx="17">
                  <c:v>0.57974693392650745</c:v>
                </c:pt>
                <c:pt idx="18">
                  <c:v>0.58190163734082867</c:v>
                </c:pt>
                <c:pt idx="19">
                  <c:v>0.58399798571368178</c:v>
                </c:pt>
                <c:pt idx="20">
                  <c:v>0.58604024932793053</c:v>
                </c:pt>
                <c:pt idx="21">
                  <c:v>0.58803219705493692</c:v>
                </c:pt>
                <c:pt idx="22">
                  <c:v>0.5899771752288796</c:v>
                </c:pt>
                <c:pt idx="23">
                  <c:v>0.59187817124380615</c:v>
                </c:pt>
                <c:pt idx="24">
                  <c:v>0.59373786534231576</c:v>
                </c:pt>
                <c:pt idx="25">
                  <c:v>0.5955586731705319</c:v>
                </c:pt>
                <c:pt idx="26">
                  <c:v>0.59734278103568972</c:v>
                </c:pt>
                <c:pt idx="27">
                  <c:v>0.59909217534027071</c:v>
                </c:pt>
                <c:pt idx="28">
                  <c:v>0.60080866732714822</c:v>
                </c:pt>
                <c:pt idx="29">
                  <c:v>0.60249391401788088</c:v>
                </c:pt>
                <c:pt idx="30">
                  <c:v>0.60414943603659454</c:v>
                </c:pt>
                <c:pt idx="31">
                  <c:v>0.60577663286776451</c:v>
                </c:pt>
                <c:pt idx="32">
                  <c:v>0.60737679598563687</c:v>
                </c:pt>
                <c:pt idx="33">
                  <c:v>0.60895112020740272</c:v>
                </c:pt>
                <c:pt idx="34">
                  <c:v>0.61050071355539248</c:v>
                </c:pt>
                <c:pt idx="35">
                  <c:v>0.6120266058609285</c:v>
                </c:pt>
                <c:pt idx="36">
                  <c:v>0.61352975630075135</c:v>
                </c:pt>
                <c:pt idx="37">
                  <c:v>0.61501106002361017</c:v>
                </c:pt>
                <c:pt idx="38">
                  <c:v>0.61647135399782416</c:v>
                </c:pt>
                <c:pt idx="39">
                  <c:v>0.61791142218895267</c:v>
                </c:pt>
                <c:pt idx="40">
                  <c:v>0.61933200015909173</c:v>
                </c:pt>
                <c:pt idx="41">
                  <c:v>0.62073377916488592</c:v>
                </c:pt>
                <c:pt idx="42">
                  <c:v>0.62211740981949015</c:v>
                </c:pt>
                <c:pt idx="43">
                  <c:v>0.62348350537390962</c:v>
                </c:pt>
                <c:pt idx="44">
                  <c:v>0.62483264466500554</c:v>
                </c:pt>
                <c:pt idx="45">
                  <c:v>0.62616537477066125</c:v>
                </c:pt>
                <c:pt idx="46">
                  <c:v>0.6274822134069169</c:v>
                </c:pt>
                <c:pt idx="47">
                  <c:v>0.62878365109708745</c:v>
                </c:pt>
                <c:pt idx="48">
                  <c:v>0.63007015313884207</c:v>
                </c:pt>
                <c:pt idx="49">
                  <c:v>0.63134216139179089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42-4812-A444-8660C254A158}"/>
            </c:ext>
          </c:extLst>
        </c:ser>
        <c:ser>
          <c:idx val="9"/>
          <c:order val="9"/>
          <c:tx>
            <c:strRef>
              <c:f>Delta!$B$12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Delta!$C$12:$AZ$12</c:f>
              <c:numCache>
                <c:formatCode>General</c:formatCode>
                <c:ptCount val="50"/>
                <c:pt idx="0">
                  <c:v>0.94411804837488877</c:v>
                </c:pt>
                <c:pt idx="1">
                  <c:v>0.87658089249568349</c:v>
                </c:pt>
                <c:pt idx="2">
                  <c:v>0.83470864554501079</c:v>
                </c:pt>
                <c:pt idx="3">
                  <c:v>0.80683951354982253</c:v>
                </c:pt>
                <c:pt idx="4">
                  <c:v>0.7870023302677005</c:v>
                </c:pt>
                <c:pt idx="5">
                  <c:v>0.77218677368637112</c:v>
                </c:pt>
                <c:pt idx="6">
                  <c:v>0.76073008250523411</c:v>
                </c:pt>
                <c:pt idx="7">
                  <c:v>0.75163843630541693</c:v>
                </c:pt>
                <c:pt idx="8">
                  <c:v>0.74427963343394432</c:v>
                </c:pt>
                <c:pt idx="9">
                  <c:v>0.73823114549048119</c:v>
                </c:pt>
                <c:pt idx="10">
                  <c:v>0.73319911077777067</c:v>
                </c:pt>
                <c:pt idx="11">
                  <c:v>0.72897237035085394</c:v>
                </c:pt>
                <c:pt idx="12">
                  <c:v>0.72539500608617968</c:v>
                </c:pt>
                <c:pt idx="13">
                  <c:v>0.72234920878700581</c:v>
                </c:pt>
                <c:pt idx="14">
                  <c:v>0.71974419236044374</c:v>
                </c:pt>
                <c:pt idx="15">
                  <c:v>0.71750879197376316</c:v>
                </c:pt>
                <c:pt idx="16">
                  <c:v>0.71558638607725866</c:v>
                </c:pt>
                <c:pt idx="17">
                  <c:v>0.71393132917372026</c:v>
                </c:pt>
                <c:pt idx="18">
                  <c:v>0.71250639302625385</c:v>
                </c:pt>
                <c:pt idx="19">
                  <c:v>0.71128089691736807</c:v>
                </c:pt>
                <c:pt idx="20">
                  <c:v>0.71022931861784977</c:v>
                </c:pt>
                <c:pt idx="21">
                  <c:v>0.70933024702161462</c:v>
                </c:pt>
                <c:pt idx="22">
                  <c:v>0.70856558172848372</c:v>
                </c:pt>
                <c:pt idx="23">
                  <c:v>0.7079199138464588</c:v>
                </c:pt>
                <c:pt idx="24">
                  <c:v>0.70738004162955448</c:v>
                </c:pt>
                <c:pt idx="25">
                  <c:v>0.70693458771362583</c:v>
                </c:pt>
                <c:pt idx="26">
                  <c:v>0.70657369379706458</c:v>
                </c:pt>
                <c:pt idx="27">
                  <c:v>0.70628877498747411</c:v>
                </c:pt>
                <c:pt idx="28">
                  <c:v>0.70607232057134661</c:v>
                </c:pt>
                <c:pt idx="29">
                  <c:v>0.70591773123367962</c:v>
                </c:pt>
                <c:pt idx="30">
                  <c:v>0.70581918514023934</c:v>
                </c:pt>
                <c:pt idx="31">
                  <c:v>0.70577152705536794</c:v>
                </c:pt>
                <c:pt idx="32">
                  <c:v>0.70577017598045377</c:v>
                </c:pt>
                <c:pt idx="33">
                  <c:v>0.7058110477859646</c:v>
                </c:pt>
                <c:pt idx="34">
                  <c:v>0.70589049006026316</c:v>
                </c:pt>
                <c:pt idx="35">
                  <c:v>0.7060052269732483</c:v>
                </c:pt>
                <c:pt idx="36">
                  <c:v>0.70615231239675857</c:v>
                </c:pt>
                <c:pt idx="37">
                  <c:v>0.70632908986904663</c:v>
                </c:pt>
                <c:pt idx="38">
                  <c:v>0.70653315826126828</c:v>
                </c:pt>
                <c:pt idx="39">
                  <c:v>0.70676234221741052</c:v>
                </c:pt>
                <c:pt idx="40">
                  <c:v>0.70701466660856827</c:v>
                </c:pt>
                <c:pt idx="41">
                  <c:v>0.70728833437781802</c:v>
                </c:pt>
                <c:pt idx="42">
                  <c:v>0.7075817072606565</c:v>
                </c:pt>
                <c:pt idx="43">
                  <c:v>0.70789328895375159</c:v>
                </c:pt>
                <c:pt idx="44">
                  <c:v>0.70822171037601489</c:v>
                </c:pt>
                <c:pt idx="45">
                  <c:v>0.70856571672412105</c:v>
                </c:pt>
                <c:pt idx="46">
                  <c:v>0.70892415607223513</c:v>
                </c:pt>
                <c:pt idx="47">
                  <c:v>0.70929596930491157</c:v>
                </c:pt>
                <c:pt idx="48">
                  <c:v>0.70968018120454324</c:v>
                </c:pt>
                <c:pt idx="49">
                  <c:v>0.71007589254163683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42-4812-A444-8660C254A158}"/>
            </c:ext>
          </c:extLst>
        </c:ser>
        <c:ser>
          <c:idx val="10"/>
          <c:order val="10"/>
          <c:tx>
            <c:strRef>
              <c:f>Delta!$B$13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Delta!$C$13:$AZ$13</c:f>
              <c:numCache>
                <c:formatCode>General</c:formatCode>
                <c:ptCount val="50"/>
                <c:pt idx="0">
                  <c:v>0.99889850177275419</c:v>
                </c:pt>
                <c:pt idx="1">
                  <c:v>0.98603550784275051</c:v>
                </c:pt>
                <c:pt idx="2">
                  <c:v>0.96579345861513155</c:v>
                </c:pt>
                <c:pt idx="3">
                  <c:v>0.94540611613468872</c:v>
                </c:pt>
                <c:pt idx="4">
                  <c:v>0.9270206788480384</c:v>
                </c:pt>
                <c:pt idx="5">
                  <c:v>0.910951676948353</c:v>
                </c:pt>
                <c:pt idx="6">
                  <c:v>0.8970058106562373</c:v>
                </c:pt>
                <c:pt idx="7">
                  <c:v>0.88488455046683934</c:v>
                </c:pt>
                <c:pt idx="8">
                  <c:v>0.87430092401455395</c:v>
                </c:pt>
                <c:pt idx="9">
                  <c:v>0.86500851994546202</c:v>
                </c:pt>
                <c:pt idx="10">
                  <c:v>0.85680360128681021</c:v>
                </c:pt>
                <c:pt idx="11">
                  <c:v>0.84951971797288017</c:v>
                </c:pt>
                <c:pt idx="12">
                  <c:v>0.84302105265016702</c:v>
                </c:pt>
                <c:pt idx="13">
                  <c:v>0.83719638729960366</c:v>
                </c:pt>
                <c:pt idx="14">
                  <c:v>0.83195412227184673</c:v>
                </c:pt>
                <c:pt idx="15">
                  <c:v>0.82721831062849005</c:v>
                </c:pt>
                <c:pt idx="16">
                  <c:v>0.82292554427765707</c:v>
                </c:pt>
                <c:pt idx="17">
                  <c:v>0.81902251757027233</c:v>
                </c:pt>
                <c:pt idx="18">
                  <c:v>0.8154641178418276</c:v>
                </c:pt>
                <c:pt idx="19">
                  <c:v>0.81221192244611107</c:v>
                </c:pt>
                <c:pt idx="20">
                  <c:v>0.80923300896921235</c:v>
                </c:pt>
                <c:pt idx="21">
                  <c:v>0.80649900733468938</c:v>
                </c:pt>
                <c:pt idx="22">
                  <c:v>0.80398533958806007</c:v>
                </c:pt>
                <c:pt idx="23">
                  <c:v>0.80167060612202534</c:v>
                </c:pt>
                <c:pt idx="24">
                  <c:v>0.79953608687521549</c:v>
                </c:pt>
                <c:pt idx="25">
                  <c:v>0.79756533338085844</c:v>
                </c:pt>
                <c:pt idx="26">
                  <c:v>0.79574383306864604</c:v>
                </c:pt>
                <c:pt idx="27">
                  <c:v>0.79405873139729799</c:v>
                </c:pt>
                <c:pt idx="28">
                  <c:v>0.79249860056296639</c:v>
                </c:pt>
                <c:pt idx="29">
                  <c:v>0.79105324594553816</c:v>
                </c:pt>
                <c:pt idx="30">
                  <c:v>0.78971354330978982</c:v>
                </c:pt>
                <c:pt idx="31">
                  <c:v>0.78847130121047404</c:v>
                </c:pt>
                <c:pt idx="32">
                  <c:v>0.78731914416281867</c:v>
                </c:pt>
                <c:pt idx="33">
                  <c:v>0.78625041300914611</c:v>
                </c:pt>
                <c:pt idx="34">
                  <c:v>0.7852590795955392</c:v>
                </c:pt>
                <c:pt idx="35">
                  <c:v>0.78433967341256072</c:v>
                </c:pt>
                <c:pt idx="36">
                  <c:v>0.78348721828335621</c:v>
                </c:pt>
                <c:pt idx="37">
                  <c:v>0.78269717752557544</c:v>
                </c:pt>
                <c:pt idx="38">
                  <c:v>0.78196540628918443</c:v>
                </c:pt>
                <c:pt idx="39">
                  <c:v>0.78128810999478626</c:v>
                </c:pt>
                <c:pt idx="40">
                  <c:v>0.78066180797761175</c:v>
                </c:pt>
                <c:pt idx="41">
                  <c:v>0.78008330158949979</c:v>
                </c:pt>
                <c:pt idx="42">
                  <c:v>0.77954964613166378</c:v>
                </c:pt>
                <c:pt idx="43">
                  <c:v>0.77905812609010128</c:v>
                </c:pt>
                <c:pt idx="44">
                  <c:v>0.77860623322729372</c:v>
                </c:pt>
                <c:pt idx="45">
                  <c:v>0.77819164715163924</c:v>
                </c:pt>
                <c:pt idx="46">
                  <c:v>0.77781221804248057</c:v>
                </c:pt>
                <c:pt idx="47">
                  <c:v>0.77746595125570284</c:v>
                </c:pt>
                <c:pt idx="48">
                  <c:v>0.777150993574375</c:v>
                </c:pt>
                <c:pt idx="49">
                  <c:v>0.77686562090211797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42-4812-A444-8660C254A158}"/>
            </c:ext>
          </c:extLst>
        </c:ser>
        <c:ser>
          <c:idx val="11"/>
          <c:order val="11"/>
          <c:tx>
            <c:strRef>
              <c:f>Delta!$B$14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Delta!$C$14:$AZ$14</c:f>
              <c:numCache>
                <c:formatCode>General</c:formatCode>
                <c:ptCount val="50"/>
                <c:pt idx="0">
                  <c:v>0.99999603555087258</c:v>
                </c:pt>
                <c:pt idx="1">
                  <c:v>0.99929416451516662</c:v>
                </c:pt>
                <c:pt idx="2">
                  <c:v>0.99577886954542294</c:v>
                </c:pt>
                <c:pt idx="3">
                  <c:v>0.98940827229066197</c:v>
                </c:pt>
                <c:pt idx="4">
                  <c:v>0.98135607564044858</c:v>
                </c:pt>
                <c:pt idx="5">
                  <c:v>0.97260314455363983</c:v>
                </c:pt>
                <c:pt idx="6">
                  <c:v>0.96375065198429899</c:v>
                </c:pt>
                <c:pt idx="7">
                  <c:v>0.95512804158206499</c:v>
                </c:pt>
                <c:pt idx="8">
                  <c:v>0.94690122807155452</c:v>
                </c:pt>
                <c:pt idx="9">
                  <c:v>0.9391430239591263</c:v>
                </c:pt>
                <c:pt idx="10">
                  <c:v>0.93187462399429133</c:v>
                </c:pt>
                <c:pt idx="11">
                  <c:v>0.92508934289885425</c:v>
                </c:pt>
                <c:pt idx="12">
                  <c:v>0.91876609223586825</c:v>
                </c:pt>
                <c:pt idx="13">
                  <c:v>0.91287700762209345</c:v>
                </c:pt>
                <c:pt idx="14">
                  <c:v>0.90739173774187276</c:v>
                </c:pt>
                <c:pt idx="15">
                  <c:v>0.90227981796128587</c:v>
                </c:pt>
                <c:pt idx="16">
                  <c:v>0.89751193937030227</c:v>
                </c:pt>
                <c:pt idx="17">
                  <c:v>0.89306057975365505</c:v>
                </c:pt>
                <c:pt idx="18">
                  <c:v>0.88890026752973417</c:v>
                </c:pt>
                <c:pt idx="19">
                  <c:v>0.88500763743571798</c:v>
                </c:pt>
                <c:pt idx="20">
                  <c:v>0.88136137147711779</c:v>
                </c:pt>
                <c:pt idx="21">
                  <c:v>0.877942080295945</c:v>
                </c:pt>
                <c:pt idx="22">
                  <c:v>0.87473215734415188</c:v>
                </c:pt>
                <c:pt idx="23">
                  <c:v>0.87171562464036623</c:v>
                </c:pt>
                <c:pt idx="24">
                  <c:v>0.86887798071975164</c:v>
                </c:pt>
                <c:pt idx="25">
                  <c:v>0.86620605648227167</c:v>
                </c:pt>
                <c:pt idx="26">
                  <c:v>0.86368788171352939</c:v>
                </c:pt>
                <c:pt idx="27">
                  <c:v>0.86131256332132544</c:v>
                </c:pt>
                <c:pt idx="28">
                  <c:v>0.8590701753320007</c:v>
                </c:pt>
                <c:pt idx="29">
                  <c:v>0.85695166013778001</c:v>
                </c:pt>
                <c:pt idx="30">
                  <c:v>0.85494874020419165</c:v>
                </c:pt>
                <c:pt idx="31">
                  <c:v>0.85305383932689993</c:v>
                </c:pt>
                <c:pt idx="32">
                  <c:v>0.85126001250300243</c:v>
                </c:pt>
                <c:pt idx="33">
                  <c:v>0.84956088351165571</c:v>
                </c:pt>
                <c:pt idx="34">
                  <c:v>0.84795058935739509</c:v>
                </c:pt>
                <c:pt idx="35">
                  <c:v>0.84642373080124722</c:v>
                </c:pt>
                <c:pt idx="36">
                  <c:v>0.84497532828048072</c:v>
                </c:pt>
                <c:pt idx="37">
                  <c:v>0.84360078259224991</c:v>
                </c:pt>
                <c:pt idx="38">
                  <c:v>0.84229583978655631</c:v>
                </c:pt>
                <c:pt idx="39">
                  <c:v>0.84105655977843707</c:v>
                </c:pt>
                <c:pt idx="40">
                  <c:v>0.83987928824756342</c:v>
                </c:pt>
                <c:pt idx="41">
                  <c:v>0.83876063144549129</c:v>
                </c:pt>
                <c:pt idx="42">
                  <c:v>0.83769743357694604</c:v>
                </c:pt>
                <c:pt idx="43">
                  <c:v>0.83668675646219781</c:v>
                </c:pt>
                <c:pt idx="44">
                  <c:v>0.83572586122329284</c:v>
                </c:pt>
                <c:pt idx="45">
                  <c:v>0.83481219176819266</c:v>
                </c:pt>
                <c:pt idx="46">
                  <c:v>0.8339433598742273</c:v>
                </c:pt>
                <c:pt idx="47">
                  <c:v>0.83311713169616897</c:v>
                </c:pt>
                <c:pt idx="48">
                  <c:v>0.83233141554510681</c:v>
                </c:pt>
                <c:pt idx="49">
                  <c:v>0.83158425080253329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42-4812-A444-8660C254A158}"/>
            </c:ext>
          </c:extLst>
        </c:ser>
        <c:ser>
          <c:idx val="12"/>
          <c:order val="12"/>
          <c:tx>
            <c:strRef>
              <c:f>Delta!$B$15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Delta!$C$15:$AZ$15</c:f>
              <c:numCache>
                <c:formatCode>General</c:formatCode>
                <c:ptCount val="50"/>
                <c:pt idx="0">
                  <c:v>0.99999999693089381</c:v>
                </c:pt>
                <c:pt idx="1">
                  <c:v>0.9999829287565416</c:v>
                </c:pt>
                <c:pt idx="2">
                  <c:v>0.99967623132709937</c:v>
                </c:pt>
                <c:pt idx="3">
                  <c:v>0.99854754541412227</c:v>
                </c:pt>
                <c:pt idx="4">
                  <c:v>0.99636788743791604</c:v>
                </c:pt>
                <c:pt idx="5">
                  <c:v>0.99324341588079323</c:v>
                </c:pt>
                <c:pt idx="6">
                  <c:v>0.98940714410148023</c:v>
                </c:pt>
                <c:pt idx="7">
                  <c:v>0.98509406838389901</c:v>
                </c:pt>
                <c:pt idx="8">
                  <c:v>0.98049779905589118</c:v>
                </c:pt>
                <c:pt idx="9">
                  <c:v>0.9757644962341846</c:v>
                </c:pt>
                <c:pt idx="10">
                  <c:v>0.97099942044834375</c:v>
                </c:pt>
                <c:pt idx="11">
                  <c:v>0.96627601425519338</c:v>
                </c:pt>
                <c:pt idx="12">
                  <c:v>0.96164410435767511</c:v>
                </c:pt>
                <c:pt idx="13">
                  <c:v>0.95713640886693985</c:v>
                </c:pt>
                <c:pt idx="14">
                  <c:v>0.95277342197785431</c:v>
                </c:pt>
                <c:pt idx="15">
                  <c:v>0.94856698506264592</c:v>
                </c:pt>
                <c:pt idx="16">
                  <c:v>0.94452286381593165</c:v>
                </c:pt>
                <c:pt idx="17">
                  <c:v>0.94064259658277027</c:v>
                </c:pt>
                <c:pt idx="18">
                  <c:v>0.93692481623013713</c:v>
                </c:pt>
                <c:pt idx="19">
                  <c:v>0.93336619424077227</c:v>
                </c:pt>
                <c:pt idx="20">
                  <c:v>0.92996211429073083</c:v>
                </c:pt>
                <c:pt idx="21">
                  <c:v>0.92670715205766785</c:v>
                </c:pt>
                <c:pt idx="22">
                  <c:v>0.92359541602198303</c:v>
                </c:pt>
                <c:pt idx="23">
                  <c:v>0.92062078834855354</c:v>
                </c:pt>
                <c:pt idx="24">
                  <c:v>0.91777709380648875</c:v>
                </c:pt>
                <c:pt idx="25">
                  <c:v>0.91505821678332366</c:v>
                </c:pt>
                <c:pt idx="26">
                  <c:v>0.91245818083100905</c:v>
                </c:pt>
                <c:pt idx="27">
                  <c:v>0.90997120117239527</c:v>
                </c:pt>
                <c:pt idx="28">
                  <c:v>0.90759171772618374</c:v>
                </c:pt>
                <c:pt idx="29">
                  <c:v>0.90531441414396252</c:v>
                </c:pt>
                <c:pt idx="30">
                  <c:v>0.90313422686215272</c:v>
                </c:pt>
                <c:pt idx="31">
                  <c:v>0.90104634709064535</c:v>
                </c:pt>
                <c:pt idx="32">
                  <c:v>0.89904621787289307</c:v>
                </c:pt>
                <c:pt idx="33">
                  <c:v>0.89712952777719546</c:v>
                </c:pt>
                <c:pt idx="34">
                  <c:v>0.89529220235741847</c:v>
                </c:pt>
                <c:pt idx="35">
                  <c:v>0.89353039421157032</c:v>
                </c:pt>
                <c:pt idx="36">
                  <c:v>0.89184047223843377</c:v>
                </c:pt>
                <c:pt idx="37">
                  <c:v>0.89021901052405272</c:v>
                </c:pt>
                <c:pt idx="38">
                  <c:v>0.88866277716551834</c:v>
                </c:pt>
                <c:pt idx="39">
                  <c:v>0.88716872324765816</c:v>
                </c:pt>
                <c:pt idx="40">
                  <c:v>0.88573397212047589</c:v>
                </c:pt>
                <c:pt idx="41">
                  <c:v>0.88435580907530342</c:v>
                </c:pt>
                <c:pt idx="42">
                  <c:v>0.88303167148104</c:v>
                </c:pt>
                <c:pt idx="43">
                  <c:v>0.88175913941515971</c:v>
                </c:pt>
                <c:pt idx="44">
                  <c:v>0.88053592680486381</c:v>
                </c:pt>
                <c:pt idx="45">
                  <c:v>0.87935987307993746</c:v>
                </c:pt>
                <c:pt idx="46">
                  <c:v>0.8782289353291568</c:v>
                </c:pt>
                <c:pt idx="47">
                  <c:v>0.8771411809454196</c:v>
                </c:pt>
                <c:pt idx="48">
                  <c:v>0.87609478074035985</c:v>
                </c:pt>
                <c:pt idx="49">
                  <c:v>0.87508800250645269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42-4812-A444-8660C254A158}"/>
            </c:ext>
          </c:extLst>
        </c:ser>
        <c:ser>
          <c:idx val="13"/>
          <c:order val="13"/>
          <c:tx>
            <c:strRef>
              <c:f>Delta!$B$16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Delta!$C$16:$AZ$16</c:f>
              <c:numCache>
                <c:formatCode>General</c:formatCode>
                <c:ptCount val="50"/>
                <c:pt idx="0">
                  <c:v>0.99999999999939337</c:v>
                </c:pt>
                <c:pt idx="1">
                  <c:v>0.99999978673956835</c:v>
                </c:pt>
                <c:pt idx="2">
                  <c:v>0.99998381961018046</c:v>
                </c:pt>
                <c:pt idx="3">
                  <c:v>0.99985444081884667</c:v>
                </c:pt>
                <c:pt idx="4">
                  <c:v>0.99944644902317548</c:v>
                </c:pt>
                <c:pt idx="5">
                  <c:v>0.99863656915944365</c:v>
                </c:pt>
                <c:pt idx="6">
                  <c:v>0.9973854793151351</c:v>
                </c:pt>
                <c:pt idx="7">
                  <c:v>0.99571799089194879</c:v>
                </c:pt>
                <c:pt idx="8">
                  <c:v>0.99369223383243865</c:v>
                </c:pt>
                <c:pt idx="9">
                  <c:v>0.9913773450413681</c:v>
                </c:pt>
                <c:pt idx="10">
                  <c:v>0.98884099441358086</c:v>
                </c:pt>
                <c:pt idx="11">
                  <c:v>0.98614364270486488</c:v>
                </c:pt>
                <c:pt idx="12">
                  <c:v>0.98333662808822309</c:v>
                </c:pt>
                <c:pt idx="13">
                  <c:v>0.98046218692134313</c:v>
                </c:pt>
                <c:pt idx="14">
                  <c:v>0.9775543299353403</c:v>
                </c:pt>
                <c:pt idx="15">
                  <c:v>0.97464000748133717</c:v>
                </c:pt>
                <c:pt idx="16">
                  <c:v>0.97174028804272394</c:v>
                </c:pt>
                <c:pt idx="17">
                  <c:v>0.96887142956815275</c:v>
                </c:pt>
                <c:pt idx="18">
                  <c:v>0.96604580231089032</c:v>
                </c:pt>
                <c:pt idx="19">
                  <c:v>0.9632726598800867</c:v>
                </c:pt>
                <c:pt idx="20">
                  <c:v>0.96055877177785431</c:v>
                </c:pt>
                <c:pt idx="21">
                  <c:v>0.9579089364602198</c:v>
                </c:pt>
                <c:pt idx="22">
                  <c:v>0.95532639455292756</c:v>
                </c:pt>
                <c:pt idx="23">
                  <c:v>0.95281316018774986</c:v>
                </c:pt>
                <c:pt idx="24">
                  <c:v>0.95037028596388029</c:v>
                </c:pt>
                <c:pt idx="25">
                  <c:v>0.94799807448236884</c:v>
                </c:pt>
                <c:pt idx="26">
                  <c:v>0.94569624705639399</c:v>
                </c:pt>
                <c:pt idx="27">
                  <c:v>0.94346407817585021</c:v>
                </c:pt>
                <c:pt idx="28">
                  <c:v>0.94130050261588005</c:v>
                </c:pt>
                <c:pt idx="29">
                  <c:v>0.93920420069847521</c:v>
                </c:pt>
                <c:pt idx="30">
                  <c:v>0.93717366610191544</c:v>
                </c:pt>
                <c:pt idx="31">
                  <c:v>0.93520725972030871</c:v>
                </c:pt>
                <c:pt idx="32">
                  <c:v>0.93330325236397171</c:v>
                </c:pt>
                <c:pt idx="33">
                  <c:v>0.93145985852564384</c:v>
                </c:pt>
                <c:pt idx="34">
                  <c:v>0.92967526298818648</c:v>
                </c:pt>
                <c:pt idx="35">
                  <c:v>0.9279476416925958</c:v>
                </c:pt>
                <c:pt idx="36">
                  <c:v>0.92627517800165016</c:v>
                </c:pt>
                <c:pt idx="37">
                  <c:v>0.92465607526901228</c:v>
                </c:pt>
                <c:pt idx="38">
                  <c:v>0.92308856644400428</c:v>
                </c:pt>
                <c:pt idx="39">
                  <c:v>0.9215709212989972</c:v>
                </c:pt>
                <c:pt idx="40">
                  <c:v>0.92010145175185043</c:v>
                </c:pt>
                <c:pt idx="41">
                  <c:v>0.91867851566416925</c:v>
                </c:pt>
                <c:pt idx="42">
                  <c:v>0.91730051942260915</c:v>
                </c:pt>
                <c:pt idx="43">
                  <c:v>0.91596591955137208</c:v>
                </c:pt>
                <c:pt idx="44">
                  <c:v>0.91467322355645819</c:v>
                </c:pt>
                <c:pt idx="45">
                  <c:v>0.91342099016387712</c:v>
                </c:pt>
                <c:pt idx="46">
                  <c:v>0.91220782908301967</c:v>
                </c:pt>
                <c:pt idx="47">
                  <c:v>0.91103240040131905</c:v>
                </c:pt>
                <c:pt idx="48">
                  <c:v>0.90989341369600374</c:v>
                </c:pt>
                <c:pt idx="49">
                  <c:v>0.90878962693226017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42-4812-A444-8660C254A158}"/>
            </c:ext>
          </c:extLst>
        </c:ser>
        <c:ser>
          <c:idx val="14"/>
          <c:order val="14"/>
          <c:tx>
            <c:strRef>
              <c:f>Delta!$B$17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Delta!$C$17:$AZ$17</c:f>
              <c:numCache>
                <c:formatCode>General</c:formatCode>
                <c:ptCount val="50"/>
                <c:pt idx="0">
                  <c:v>1</c:v>
                </c:pt>
                <c:pt idx="1">
                  <c:v>0.99999999851931465</c:v>
                </c:pt>
                <c:pt idx="2">
                  <c:v>0.99999944833507226</c:v>
                </c:pt>
                <c:pt idx="3">
                  <c:v>0.99998898282504689</c:v>
                </c:pt>
                <c:pt idx="4">
                  <c:v>0.99993230917992704</c:v>
                </c:pt>
                <c:pt idx="5">
                  <c:v>0.99977023212247085</c:v>
                </c:pt>
                <c:pt idx="6">
                  <c:v>0.99944558802202021</c:v>
                </c:pt>
                <c:pt idx="7">
                  <c:v>0.99892066116278744</c:v>
                </c:pt>
                <c:pt idx="8">
                  <c:v>0.99818047109526631</c:v>
                </c:pt>
                <c:pt idx="9">
                  <c:v>0.99722837337629622</c:v>
                </c:pt>
                <c:pt idx="10">
                  <c:v>0.99607979809325853</c:v>
                </c:pt>
                <c:pt idx="11">
                  <c:v>0.99475680410021372</c:v>
                </c:pt>
                <c:pt idx="12">
                  <c:v>0.99328414990689873</c:v>
                </c:pt>
                <c:pt idx="13">
                  <c:v>0.99168676026565517</c:v>
                </c:pt>
                <c:pt idx="14">
                  <c:v>0.98998824319240519</c:v>
                </c:pt>
                <c:pt idx="15">
                  <c:v>0.98821012202872338</c:v>
                </c:pt>
                <c:pt idx="16">
                  <c:v>0.9863715229273039</c:v>
                </c:pt>
                <c:pt idx="17">
                  <c:v>0.98448913611369515</c:v>
                </c:pt>
                <c:pt idx="18">
                  <c:v>0.98257733104212408</c:v>
                </c:pt>
                <c:pt idx="19">
                  <c:v>0.9806483495408157</c:v>
                </c:pt>
                <c:pt idx="20">
                  <c:v>0.97871253062266728</c:v>
                </c:pt>
                <c:pt idx="21">
                  <c:v>0.9767785398311698</c:v>
                </c:pt>
                <c:pt idx="22">
                  <c:v>0.97485358811625455</c:v>
                </c:pt>
                <c:pt idx="23">
                  <c:v>0.9729436327102019</c:v>
                </c:pt>
                <c:pt idx="24">
                  <c:v>0.97105355696070916</c:v>
                </c:pt>
                <c:pt idx="25">
                  <c:v>0.9691873286779954</c:v>
                </c:pt>
                <c:pt idx="26">
                  <c:v>0.9673481379802098</c:v>
                </c:pt>
                <c:pt idx="27">
                  <c:v>0.9655385163334701</c:v>
                </c:pt>
                <c:pt idx="28">
                  <c:v>0.96376043876843187</c:v>
                </c:pt>
                <c:pt idx="29">
                  <c:v>0.96201541129490264</c:v>
                </c:pt>
                <c:pt idx="30">
                  <c:v>0.96030454544110133</c:v>
                </c:pt>
                <c:pt idx="31">
                  <c:v>0.95862862168247132</c:v>
                </c:pt>
                <c:pt idx="32">
                  <c:v>0.95698814333675242</c:v>
                </c:pt>
                <c:pt idx="33">
                  <c:v>0.95538338231049502</c:v>
                </c:pt>
                <c:pt idx="34">
                  <c:v>0.95381441790000032</c:v>
                </c:pt>
                <c:pt idx="35">
                  <c:v>0.9522811696830461</c:v>
                </c:pt>
                <c:pt idx="36">
                  <c:v>0.95078342538914784</c:v>
                </c:pt>
                <c:pt idx="37">
                  <c:v>0.9493208645057839</c:v>
                </c:pt>
                <c:pt idx="38">
                  <c:v>0.94789307826503499</c:v>
                </c:pt>
                <c:pt idx="39">
                  <c:v>0.94649958655795841</c:v>
                </c:pt>
                <c:pt idx="40">
                  <c:v>0.94513985224098096</c:v>
                </c:pt>
                <c:pt idx="41">
                  <c:v>0.94381329322790464</c:v>
                </c:pt>
                <c:pt idx="42">
                  <c:v>0.94251929270110701</c:v>
                </c:pt>
                <c:pt idx="43">
                  <c:v>0.9412572077246697</c:v>
                </c:pt>
                <c:pt idx="44">
                  <c:v>0.94002637649913534</c:v>
                </c:pt>
                <c:pt idx="45">
                  <c:v>0.93882612446120028</c:v>
                </c:pt>
                <c:pt idx="46">
                  <c:v>0.93765576940088102</c:v>
                </c:pt>
                <c:pt idx="47">
                  <c:v>0.93651462574267497</c:v>
                </c:pt>
                <c:pt idx="48">
                  <c:v>0.93540200811522856</c:v>
                </c:pt>
                <c:pt idx="49">
                  <c:v>0.93431723431540992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42-4812-A444-8660C254A158}"/>
            </c:ext>
          </c:extLst>
        </c:ser>
        <c:ser>
          <c:idx val="15"/>
          <c:order val="15"/>
          <c:tx>
            <c:strRef>
              <c:f>Delta!$B$18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Delta!$C$18:$AZ$18</c:f>
              <c:numCache>
                <c:formatCode>General</c:formatCode>
                <c:ptCount val="50"/>
                <c:pt idx="0">
                  <c:v>1</c:v>
                </c:pt>
                <c:pt idx="1">
                  <c:v>0.99999999999389166</c:v>
                </c:pt>
                <c:pt idx="2">
                  <c:v>0.9999999866108833</c:v>
                </c:pt>
                <c:pt idx="3">
                  <c:v>0.99999935060366185</c:v>
                </c:pt>
                <c:pt idx="4">
                  <c:v>0.99999319889057736</c:v>
                </c:pt>
                <c:pt idx="5">
                  <c:v>0.99996703614043125</c:v>
                </c:pt>
                <c:pt idx="6">
                  <c:v>0.99989736258573836</c:v>
                </c:pt>
                <c:pt idx="7">
                  <c:v>0.99975797900363672</c:v>
                </c:pt>
                <c:pt idx="8">
                  <c:v>0.99952627336039468</c:v>
                </c:pt>
                <c:pt idx="9">
                  <c:v>0.99918656546080542</c:v>
                </c:pt>
                <c:pt idx="10">
                  <c:v>0.99873071769158261</c:v>
                </c:pt>
                <c:pt idx="11">
                  <c:v>0.99815717861348552</c:v>
                </c:pt>
                <c:pt idx="12">
                  <c:v>0.99746944029597062</c:v>
                </c:pt>
                <c:pt idx="13">
                  <c:v>0.99667447683827359</c:v>
                </c:pt>
                <c:pt idx="14">
                  <c:v>0.9957814148220272</c:v>
                </c:pt>
                <c:pt idx="15">
                  <c:v>0.99480050466004488</c:v>
                </c:pt>
                <c:pt idx="16">
                  <c:v>0.99374237574181201</c:v>
                </c:pt>
                <c:pt idx="17">
                  <c:v>0.99261752648253243</c:v>
                </c:pt>
                <c:pt idx="18">
                  <c:v>0.99143599519147396</c:v>
                </c:pt>
                <c:pt idx="19">
                  <c:v>0.99020716359662175</c:v>
                </c:pt>
                <c:pt idx="20">
                  <c:v>0.98893965415526486</c:v>
                </c:pt>
                <c:pt idx="21">
                  <c:v>0.98764129149111679</c:v>
                </c:pt>
                <c:pt idx="22">
                  <c:v>0.9863191061421841</c:v>
                </c:pt>
                <c:pt idx="23">
                  <c:v>0.98497936500003647</c:v>
                </c:pt>
                <c:pt idx="24">
                  <c:v>0.98362761750549088</c:v>
                </c:pt>
                <c:pt idx="25">
                  <c:v>0.98226875010645842</c:v>
                </c:pt>
                <c:pt idx="26">
                  <c:v>0.9809070439593367</c:v>
                </c:pt>
                <c:pt idx="27">
                  <c:v>0.97954623260776985</c:v>
                </c:pt>
                <c:pt idx="28">
                  <c:v>0.97818955759544346</c:v>
                </c:pt>
                <c:pt idx="29">
                  <c:v>0.97683982081086107</c:v>
                </c:pt>
                <c:pt idx="30">
                  <c:v>0.97549943293177899</c:v>
                </c:pt>
                <c:pt idx="31">
                  <c:v>0.97417045771546407</c:v>
                </c:pt>
                <c:pt idx="32">
                  <c:v>0.9728546521259781</c:v>
                </c:pt>
                <c:pt idx="33">
                  <c:v>0.97155350244254257</c:v>
                </c:pt>
                <c:pt idx="34">
                  <c:v>0.9702682565828864</c:v>
                </c:pt>
                <c:pt idx="35">
                  <c:v>0.96899995292284402</c:v>
                </c:pt>
                <c:pt idx="36">
                  <c:v>0.96774944591271195</c:v>
                </c:pt>
                <c:pt idx="37">
                  <c:v>0.96651742879191405</c:v>
                </c:pt>
                <c:pt idx="38">
                  <c:v>0.96530445369324458</c:v>
                </c:pt>
                <c:pt idx="39">
                  <c:v>0.9641109494110095</c:v>
                </c:pt>
                <c:pt idx="40">
                  <c:v>0.96293723708691936</c:v>
                </c:pt>
                <c:pt idx="41">
                  <c:v>0.96178354404569188</c:v>
                </c:pt>
                <c:pt idx="42">
                  <c:v>0.96065001599032818</c:v>
                </c:pt>
                <c:pt idx="43">
                  <c:v>0.95953672774578858</c:v>
                </c:pt>
                <c:pt idx="44">
                  <c:v>0.95844369271979712</c:v>
                </c:pt>
                <c:pt idx="45">
                  <c:v>0.95737087123100317</c:v>
                </c:pt>
                <c:pt idx="46">
                  <c:v>0.95631817783784678</c:v>
                </c:pt>
                <c:pt idx="47">
                  <c:v>0.95528548778619859</c:v>
                </c:pt>
                <c:pt idx="48">
                  <c:v>0.95427264268013234</c:v>
                </c:pt>
                <c:pt idx="49">
                  <c:v>0.9532794554679479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242-4812-A444-8660C254A158}"/>
            </c:ext>
          </c:extLst>
        </c:ser>
        <c:ser>
          <c:idx val="16"/>
          <c:order val="16"/>
          <c:tx>
            <c:strRef>
              <c:f>Delta!$B$19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Delta!$C$19:$AZ$19</c:f>
              <c:numCache>
                <c:formatCode>General</c:formatCode>
                <c:ptCount val="50"/>
                <c:pt idx="0">
                  <c:v>1</c:v>
                </c:pt>
                <c:pt idx="1">
                  <c:v>0.99999999999998412</c:v>
                </c:pt>
                <c:pt idx="2">
                  <c:v>0.99999999975964071</c:v>
                </c:pt>
                <c:pt idx="3">
                  <c:v>0.99999996934905533</c:v>
                </c:pt>
                <c:pt idx="4">
                  <c:v>0.99999942627332528</c:v>
                </c:pt>
                <c:pt idx="5">
                  <c:v>0.99999590254116577</c:v>
                </c:pt>
                <c:pt idx="6">
                  <c:v>0.99998316518966346</c:v>
                </c:pt>
                <c:pt idx="7">
                  <c:v>0.99995111048223762</c:v>
                </c:pt>
                <c:pt idx="8">
                  <c:v>0.99988744523010076</c:v>
                </c:pt>
                <c:pt idx="9">
                  <c:v>0.99977989302522097</c:v>
                </c:pt>
                <c:pt idx="10">
                  <c:v>0.99961791681411738</c:v>
                </c:pt>
                <c:pt idx="11">
                  <c:v>0.99939364548979626</c:v>
                </c:pt>
                <c:pt idx="12">
                  <c:v>0.99910211862884335</c:v>
                </c:pt>
                <c:pt idx="13">
                  <c:v>0.9987410909933111</c:v>
                </c:pt>
                <c:pt idx="14">
                  <c:v>0.99831061454925729</c:v>
                </c:pt>
                <c:pt idx="15">
                  <c:v>0.99781254842952793</c:v>
                </c:pt>
                <c:pt idx="16">
                  <c:v>0.99725008449200914</c:v>
                </c:pt>
                <c:pt idx="17">
                  <c:v>0.99662733123011071</c:v>
                </c:pt>
                <c:pt idx="18">
                  <c:v>0.99594897098973512</c:v>
                </c:pt>
                <c:pt idx="19">
                  <c:v>0.99521999012116835</c:v>
                </c:pt>
                <c:pt idx="20">
                  <c:v>0.99444547435126962</c:v>
                </c:pt>
                <c:pt idx="21">
                  <c:v>0.99363045897715341</c:v>
                </c:pt>
                <c:pt idx="22">
                  <c:v>0.9927798232885382</c:v>
                </c:pt>
                <c:pt idx="23">
                  <c:v>0.99189821961543723</c:v>
                </c:pt>
                <c:pt idx="24">
                  <c:v>0.99099002883372878</c:v>
                </c:pt>
                <c:pt idx="25">
                  <c:v>0.99005933565616466</c:v>
                </c:pt>
                <c:pt idx="26">
                  <c:v>0.98910991840697571</c:v>
                </c:pt>
                <c:pt idx="27">
                  <c:v>0.98814524915345603</c:v>
                </c:pt>
                <c:pt idx="28">
                  <c:v>0.9871685010353537</c:v>
                </c:pt>
                <c:pt idx="29">
                  <c:v>0.98618256040797059</c:v>
                </c:pt>
                <c:pt idx="30">
                  <c:v>0.985190042023943</c:v>
                </c:pt>
                <c:pt idx="31">
                  <c:v>0.98419330595036569</c:v>
                </c:pt>
                <c:pt idx="32">
                  <c:v>0.98319447527899484</c:v>
                </c:pt>
                <c:pt idx="33">
                  <c:v>0.98219545396092467</c:v>
                </c:pt>
                <c:pt idx="34">
                  <c:v>0.98119794430266571</c:v>
                </c:pt>
                <c:pt idx="35">
                  <c:v>0.98020346381354773</c:v>
                </c:pt>
                <c:pt idx="36">
                  <c:v>0.97921336120717106</c:v>
                </c:pt>
                <c:pt idx="37">
                  <c:v>0.97822883144191719</c:v>
                </c:pt>
                <c:pt idx="38">
                  <c:v>0.9772509297447769</c:v>
                </c:pt>
                <c:pt idx="39">
                  <c:v>0.97628058460472156</c:v>
                </c:pt>
                <c:pt idx="40">
                  <c:v>0.97531860975092755</c:v>
                </c:pt>
                <c:pt idx="41">
                  <c:v>0.97436571515070713</c:v>
                </c:pt>
                <c:pt idx="42">
                  <c:v>0.97342251707452487</c:v>
                </c:pt>
                <c:pt idx="43">
                  <c:v>0.97248954728290637</c:v>
                </c:pt>
                <c:pt idx="44">
                  <c:v>0.9715672613937939</c:v>
                </c:pt>
                <c:pt idx="45">
                  <c:v>0.97065604649004611</c:v>
                </c:pt>
                <c:pt idx="46">
                  <c:v>0.96975622802611894</c:v>
                </c:pt>
                <c:pt idx="47">
                  <c:v>0.96886807609107373</c:v>
                </c:pt>
                <c:pt idx="48">
                  <c:v>0.9679918110823913</c:v>
                </c:pt>
                <c:pt idx="49">
                  <c:v>0.96712760884191817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242-4812-A444-8660C254A158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385207200"/>
        <c:axId val="827070672"/>
        <c:axId val="821474480"/>
      </c:surface3DChart>
      <c:catAx>
        <c:axId val="38520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070672"/>
        <c:crosses val="autoZero"/>
        <c:auto val="1"/>
        <c:lblAlgn val="ctr"/>
        <c:lblOffset val="100"/>
        <c:noMultiLvlLbl val="0"/>
      </c:catAx>
      <c:valAx>
        <c:axId val="82707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07200"/>
        <c:crosses val="autoZero"/>
        <c:crossBetween val="midCat"/>
      </c:valAx>
      <c:serAx>
        <c:axId val="8214744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07067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Delta,</a:t>
            </a:r>
            <a:r>
              <a:rPr lang="en-US" baseline="0"/>
              <a:t> vol=20%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55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Delta!$B$24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Delta!$C$24:$AZ$24</c:f>
              <c:numCache>
                <c:formatCode>General</c:formatCode>
                <c:ptCount val="50"/>
                <c:pt idx="0">
                  <c:v>4.8964030371398776E-16</c:v>
                </c:pt>
                <c:pt idx="1">
                  <c:v>8.3013130785334355E-9</c:v>
                </c:pt>
                <c:pt idx="2">
                  <c:v>2.3135653326617134E-6</c:v>
                </c:pt>
                <c:pt idx="3">
                  <c:v>4.0139975424484832E-5</c:v>
                </c:pt>
                <c:pt idx="4">
                  <c:v>2.2743341786876357E-4</c:v>
                </c:pt>
                <c:pt idx="5">
                  <c:v>7.3339315349598712E-4</c:v>
                </c:pt>
                <c:pt idx="6">
                  <c:v>1.7097704105366383E-3</c:v>
                </c:pt>
                <c:pt idx="7">
                  <c:v>3.2499291224938613E-3</c:v>
                </c:pt>
                <c:pt idx="8">
                  <c:v>5.386378691307119E-3</c:v>
                </c:pt>
                <c:pt idx="9">
                  <c:v>8.1055453543928818E-3</c:v>
                </c:pt>
                <c:pt idx="10">
                  <c:v>1.1364948740576043E-2</c:v>
                </c:pt>
                <c:pt idx="11">
                  <c:v>1.5107039450839943E-2</c:v>
                </c:pt>
                <c:pt idx="12">
                  <c:v>1.9268716121201734E-2</c:v>
                </c:pt>
                <c:pt idx="13">
                  <c:v>2.3787235471596887E-2</c:v>
                </c:pt>
                <c:pt idx="14">
                  <c:v>2.8603548354443637E-2</c:v>
                </c:pt>
                <c:pt idx="15">
                  <c:v>3.3663947709280953E-2</c:v>
                </c:pt>
                <c:pt idx="16">
                  <c:v>3.8920673533683454E-2</c:v>
                </c:pt>
                <c:pt idx="17">
                  <c:v>4.4331908636077E-2</c:v>
                </c:pt>
                <c:pt idx="18">
                  <c:v>4.98614429634959E-2</c:v>
                </c:pt>
                <c:pt idx="19">
                  <c:v>5.5478177979400509E-2</c:v>
                </c:pt>
                <c:pt idx="20">
                  <c:v>6.1155573265893465E-2</c:v>
                </c:pt>
                <c:pt idx="21">
                  <c:v>6.6871093670488588E-2</c:v>
                </c:pt>
                <c:pt idx="22">
                  <c:v>7.2605688211547878E-2</c:v>
                </c:pt>
                <c:pt idx="23">
                  <c:v>7.8343315584597784E-2</c:v>
                </c:pt>
                <c:pt idx="24">
                  <c:v>8.4070521493168793E-2</c:v>
                </c:pt>
                <c:pt idx="25">
                  <c:v>8.9776067593532086E-2</c:v>
                </c:pt>
                <c:pt idx="26">
                  <c:v>9.5450608961427263E-2</c:v>
                </c:pt>
                <c:pt idx="27">
                  <c:v>0.10108641563679172</c:v>
                </c:pt>
                <c:pt idx="28">
                  <c:v>0.10667713334344281</c:v>
                </c:pt>
                <c:pt idx="29">
                  <c:v>0.11221757852337162</c:v>
                </c:pt>
                <c:pt idx="30">
                  <c:v>0.11770356313214229</c:v>
                </c:pt>
                <c:pt idx="31">
                  <c:v>0.12313174507094679</c:v>
                </c:pt>
                <c:pt idx="32">
                  <c:v>0.12849950059951584</c:v>
                </c:pt>
                <c:pt idx="33">
                  <c:v>0.13380481553607543</c:v>
                </c:pt>
                <c:pt idx="34">
                  <c:v>0.13904619248168573</c:v>
                </c:pt>
                <c:pt idx="35">
                  <c:v>0.14422257169559402</c:v>
                </c:pt>
                <c:pt idx="36">
                  <c:v>0.14933326359231339</c:v>
                </c:pt>
                <c:pt idx="37">
                  <c:v>0.15437789113091641</c:v>
                </c:pt>
                <c:pt idx="38">
                  <c:v>0.159356340625636</c:v>
                </c:pt>
                <c:pt idx="39">
                  <c:v>0.16426871972840887</c:v>
                </c:pt>
                <c:pt idx="40">
                  <c:v>0.16911532152288197</c:v>
                </c:pt>
                <c:pt idx="41">
                  <c:v>0.17389659382990932</c:v>
                </c:pt>
                <c:pt idx="42">
                  <c:v>0.17861311296065552</c:v>
                </c:pt>
                <c:pt idx="43">
                  <c:v>0.18326556126865992</c:v>
                </c:pt>
                <c:pt idx="44">
                  <c:v>0.18785470794970985</c:v>
                </c:pt>
                <c:pt idx="45">
                  <c:v>0.19238139262084494</c:v>
                </c:pt>
                <c:pt idx="46">
                  <c:v>0.19684651127958341</c:v>
                </c:pt>
                <c:pt idx="47">
                  <c:v>0.20125100430350551</c:v>
                </c:pt>
                <c:pt idx="48">
                  <c:v>0.20559584620033078</c:v>
                </c:pt>
                <c:pt idx="49">
                  <c:v>0.20988203686100165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0C-4D97-A30A-6C4D35D1C968}"/>
            </c:ext>
          </c:extLst>
        </c:ser>
        <c:ser>
          <c:idx val="1"/>
          <c:order val="1"/>
          <c:tx>
            <c:strRef>
              <c:f>Delta!$B$25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Delta!$C$25:$AZ$25</c:f>
              <c:numCache>
                <c:formatCode>General</c:formatCode>
                <c:ptCount val="50"/>
                <c:pt idx="0">
                  <c:v>6.7189909908190016E-12</c:v>
                </c:pt>
                <c:pt idx="1">
                  <c:v>1.0210267589266487E-6</c:v>
                </c:pt>
                <c:pt idx="2">
                  <c:v>5.8978518150786739E-5</c:v>
                </c:pt>
                <c:pt idx="3">
                  <c:v>4.6519881412379204E-4</c:v>
                </c:pt>
                <c:pt idx="4">
                  <c:v>1.6409066155964713E-3</c:v>
                </c:pt>
                <c:pt idx="5">
                  <c:v>3.8551173459696964E-3</c:v>
                </c:pt>
                <c:pt idx="6">
                  <c:v>7.1642370961297339E-3</c:v>
                </c:pt>
                <c:pt idx="7">
                  <c:v>1.1483425231958777E-2</c:v>
                </c:pt>
                <c:pt idx="8">
                  <c:v>1.6663450654240793E-2</c:v>
                </c:pt>
                <c:pt idx="9">
                  <c:v>2.2539605701555516E-2</c:v>
                </c:pt>
                <c:pt idx="10">
                  <c:v>2.8956516367696077E-2</c:v>
                </c:pt>
                <c:pt idx="11">
                  <c:v>3.5778269784722351E-2</c:v>
                </c:pt>
                <c:pt idx="12">
                  <c:v>4.2890853298264454E-2</c:v>
                </c:pt>
                <c:pt idx="13">
                  <c:v>5.020101804994808E-2</c:v>
                </c:pt>
                <c:pt idx="14">
                  <c:v>5.7633743789087324E-2</c:v>
                </c:pt>
                <c:pt idx="15">
                  <c:v>6.5129373656786574E-2</c:v>
                </c:pt>
                <c:pt idx="16">
                  <c:v>7.2640899642307286E-2</c:v>
                </c:pt>
                <c:pt idx="17">
                  <c:v>8.0131582720546615E-2</c:v>
                </c:pt>
                <c:pt idx="18">
                  <c:v>8.7572949554756502E-2</c:v>
                </c:pt>
                <c:pt idx="19">
                  <c:v>9.4943144684704661E-2</c:v>
                </c:pt>
                <c:pt idx="20">
                  <c:v>0.10222559338564596</c:v>
                </c:pt>
                <c:pt idx="21">
                  <c:v>0.10940792524993151</c:v>
                </c:pt>
                <c:pt idx="22">
                  <c:v>0.11648111158152176</c:v>
                </c:pt>
                <c:pt idx="23">
                  <c:v>0.12343877576961404</c:v>
                </c:pt>
                <c:pt idx="24">
                  <c:v>0.13027664249730267</c:v>
                </c:pt>
                <c:pt idx="25">
                  <c:v>0.13699209788616373</c:v>
                </c:pt>
                <c:pt idx="26">
                  <c:v>0.14358383809023886</c:v>
                </c:pt>
                <c:pt idx="27">
                  <c:v>0.15005158836141061</c:v>
                </c:pt>
                <c:pt idx="28">
                  <c:v>0.15639587827818471</c:v>
                </c:pt>
                <c:pt idx="29">
                  <c:v>0.16261786177644788</c:v>
                </c:pt>
                <c:pt idx="30">
                  <c:v>0.16871917296701835</c:v>
                </c:pt>
                <c:pt idx="31">
                  <c:v>0.17470181058420733</c:v>
                </c:pt>
                <c:pt idx="32">
                  <c:v>0.18056804537962018</c:v>
                </c:pt>
                <c:pt idx="33">
                  <c:v>0.1863203459366041</c:v>
                </c:pt>
                <c:pt idx="34">
                  <c:v>0.19196131929818727</c:v>
                </c:pt>
                <c:pt idx="35">
                  <c:v>0.19749366352693379</c:v>
                </c:pt>
                <c:pt idx="36">
                  <c:v>0.20292012988984076</c:v>
                </c:pt>
                <c:pt idx="37">
                  <c:v>0.20824349281746155</c:v>
                </c:pt>
                <c:pt idx="38">
                  <c:v>0.21346652614909953</c:v>
                </c:pt>
                <c:pt idx="39">
                  <c:v>0.21859198446496683</c:v>
                </c:pt>
                <c:pt idx="40">
                  <c:v>0.22362258853712122</c:v>
                </c:pt>
                <c:pt idx="41">
                  <c:v>0.22856101411591503</c:v>
                </c:pt>
                <c:pt idx="42">
                  <c:v>0.23340988341712735</c:v>
                </c:pt>
                <c:pt idx="43">
                  <c:v>0.23817175879439145</c:v>
                </c:pt>
                <c:pt idx="44">
                  <c:v>0.24284913817784687</c:v>
                </c:pt>
                <c:pt idx="45">
                  <c:v>0.2474444519378089</c:v>
                </c:pt>
                <c:pt idx="46">
                  <c:v>0.25196006089531281</c:v>
                </c:pt>
                <c:pt idx="47">
                  <c:v>0.25639825525258453</c:v>
                </c:pt>
                <c:pt idx="48">
                  <c:v>0.26076125425812735</c:v>
                </c:pt>
                <c:pt idx="49">
                  <c:v>0.26505120645503799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0C-4D97-A30A-6C4D35D1C968}"/>
            </c:ext>
          </c:extLst>
        </c:ser>
        <c:ser>
          <c:idx val="2"/>
          <c:order val="2"/>
          <c:tx>
            <c:strRef>
              <c:f>Delta!$B$26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Delta!$C$26:$AZ$26</c:f>
              <c:numCache>
                <c:formatCode>General</c:formatCode>
                <c:ptCount val="50"/>
                <c:pt idx="0">
                  <c:v>1.1217502453550677E-8</c:v>
                </c:pt>
                <c:pt idx="1">
                  <c:v>4.4152463014191854E-5</c:v>
                </c:pt>
                <c:pt idx="2">
                  <c:v>7.522257491842688E-4</c:v>
                </c:pt>
                <c:pt idx="3">
                  <c:v>3.2160999955850558E-3</c:v>
                </c:pt>
                <c:pt idx="4">
                  <c:v>7.8458863408448435E-3</c:v>
                </c:pt>
                <c:pt idx="5">
                  <c:v>1.4402778602930108E-2</c:v>
                </c:pt>
                <c:pt idx="6">
                  <c:v>2.2425911183962036E-2</c:v>
                </c:pt>
                <c:pt idx="7">
                  <c:v>3.1463320553836806E-2</c:v>
                </c:pt>
                <c:pt idx="8">
                  <c:v>4.1145992558525295E-2</c:v>
                </c:pt>
                <c:pt idx="9">
                  <c:v>5.1195105289887979E-2</c:v>
                </c:pt>
                <c:pt idx="10">
                  <c:v>6.1408139635557142E-2</c:v>
                </c:pt>
                <c:pt idx="11">
                  <c:v>7.1641498120345662E-2</c:v>
                </c:pt>
                <c:pt idx="12">
                  <c:v>8.1795262512578237E-2</c:v>
                </c:pt>
                <c:pt idx="13">
                  <c:v>9.1801260392343501E-2</c:v>
                </c:pt>
                <c:pt idx="14">
                  <c:v>0.10161416217853982</c:v>
                </c:pt>
                <c:pt idx="15">
                  <c:v>0.11120498467252012</c:v>
                </c:pt>
                <c:pt idx="16">
                  <c:v>0.12055639736525385</c:v>
                </c:pt>
                <c:pt idx="17">
                  <c:v>0.12965934377671434</c:v>
                </c:pt>
                <c:pt idx="18">
                  <c:v>0.1385106107017941</c:v>
                </c:pt>
                <c:pt idx="19">
                  <c:v>0.14711107776501312</c:v>
                </c:pt>
                <c:pt idx="20">
                  <c:v>0.15546445509470658</c:v>
                </c:pt>
                <c:pt idx="21">
                  <c:v>0.16357637189580812</c:v>
                </c:pt>
                <c:pt idx="22">
                  <c:v>0.17145371804571125</c:v>
                </c:pt>
                <c:pt idx="23">
                  <c:v>0.1791041687793658</c:v>
                </c:pt>
                <c:pt idx="24">
                  <c:v>0.1865358423295817</c:v>
                </c:pt>
                <c:pt idx="25">
                  <c:v>0.19375705443414803</c:v>
                </c:pt>
                <c:pt idx="26">
                  <c:v>0.20077614361505003</c:v>
                </c:pt>
                <c:pt idx="27">
                  <c:v>0.20760134827496235</c:v>
                </c:pt>
                <c:pt idx="28">
                  <c:v>0.21424072178129899</c:v>
                </c:pt>
                <c:pt idx="29">
                  <c:v>0.22070207540533249</c:v>
                </c:pt>
                <c:pt idx="30">
                  <c:v>0.22699294166455727</c:v>
                </c:pt>
                <c:pt idx="31">
                  <c:v>0.23312055256974043</c:v>
                </c:pt>
                <c:pt idx="32">
                  <c:v>0.23909182870816301</c:v>
                </c:pt>
                <c:pt idx="33">
                  <c:v>0.24491337614629433</c:v>
                </c:pt>
                <c:pt idx="34">
                  <c:v>0.25059148891190036</c:v>
                </c:pt>
                <c:pt idx="35">
                  <c:v>0.25613215539145551</c:v>
                </c:pt>
                <c:pt idx="36">
                  <c:v>0.26154106740713817</c:v>
                </c:pt>
                <c:pt idx="37">
                  <c:v>0.26682363105734525</c:v>
                </c:pt>
                <c:pt idx="38">
                  <c:v>0.27198497864376758</c:v>
                </c:pt>
                <c:pt idx="39">
                  <c:v>0.27702998118727484</c:v>
                </c:pt>
                <c:pt idx="40">
                  <c:v>0.28196326116934611</c:v>
                </c:pt>
                <c:pt idx="41">
                  <c:v>0.28678920523678819</c:v>
                </c:pt>
                <c:pt idx="42">
                  <c:v>0.29151197668332007</c:v>
                </c:pt>
                <c:pt idx="43">
                  <c:v>0.29613552757850015</c:v>
                </c:pt>
                <c:pt idx="44">
                  <c:v>0.3006636104570517</c:v>
                </c:pt>
                <c:pt idx="45">
                  <c:v>0.3050997895134186</c:v>
                </c:pt>
                <c:pt idx="46">
                  <c:v>0.30944745126994583</c:v>
                </c:pt>
                <c:pt idx="47">
                  <c:v>0.31370981470445936</c:v>
                </c:pt>
                <c:pt idx="48">
                  <c:v>0.31788994083567279</c:v>
                </c:pt>
                <c:pt idx="49">
                  <c:v>0.32199074177395015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0C-4D97-A30A-6C4D35D1C968}"/>
            </c:ext>
          </c:extLst>
        </c:ser>
        <c:ser>
          <c:idx val="3"/>
          <c:order val="3"/>
          <c:tx>
            <c:strRef>
              <c:f>Delta!$B$27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Delta!$C$27:$AZ$27</c:f>
              <c:numCache>
                <c:formatCode>General</c:formatCode>
                <c:ptCount val="50"/>
                <c:pt idx="0">
                  <c:v>3.3782456328086734E-6</c:v>
                </c:pt>
                <c:pt idx="1">
                  <c:v>8.1830678243053191E-4</c:v>
                </c:pt>
                <c:pt idx="2">
                  <c:v>5.4794346275411467E-3</c:v>
                </c:pt>
                <c:pt idx="3">
                  <c:v>1.4648825269289092E-2</c:v>
                </c:pt>
                <c:pt idx="4">
                  <c:v>2.6918022682862624E-2</c:v>
                </c:pt>
                <c:pt idx="5">
                  <c:v>4.0860172111759546E-2</c:v>
                </c:pt>
                <c:pt idx="6">
                  <c:v>5.5498237073536412E-2</c:v>
                </c:pt>
                <c:pt idx="7">
                  <c:v>7.0237080583764377E-2</c:v>
                </c:pt>
                <c:pt idx="8">
                  <c:v>8.4734011793984751E-2</c:v>
                </c:pt>
                <c:pt idx="9">
                  <c:v>9.8801576761747459E-2</c:v>
                </c:pt>
                <c:pt idx="10">
                  <c:v>0.11234538879358122</c:v>
                </c:pt>
                <c:pt idx="11">
                  <c:v>0.12532619251817742</c:v>
                </c:pt>
                <c:pt idx="12">
                  <c:v>0.13773700476185918</c:v>
                </c:pt>
                <c:pt idx="13">
                  <c:v>0.14958935042423369</c:v>
                </c:pt>
                <c:pt idx="14">
                  <c:v>0.16090495521696008</c:v>
                </c:pt>
                <c:pt idx="15">
                  <c:v>0.17171072632004164</c:v>
                </c:pt>
                <c:pt idx="16">
                  <c:v>0.18203572901297627</c:v>
                </c:pt>
                <c:pt idx="17">
                  <c:v>0.19190938439799884</c:v>
                </c:pt>
                <c:pt idx="18">
                  <c:v>0.20136041885932376</c:v>
                </c:pt>
                <c:pt idx="19">
                  <c:v>0.21041627797587964</c:v>
                </c:pt>
                <c:pt idx="20">
                  <c:v>0.21910282731158265</c:v>
                </c:pt>
                <c:pt idx="21">
                  <c:v>0.22744422938818318</c:v>
                </c:pt>
                <c:pt idx="22">
                  <c:v>0.23546292738649943</c:v>
                </c:pt>
                <c:pt idx="23">
                  <c:v>0.24317969182166643</c:v>
                </c:pt>
                <c:pt idx="24">
                  <c:v>0.25061370260316312</c:v>
                </c:pt>
                <c:pt idx="25">
                  <c:v>0.2577826491380274</c:v>
                </c:pt>
                <c:pt idx="26">
                  <c:v>0.26470283767146119</c:v>
                </c:pt>
                <c:pt idx="27">
                  <c:v>0.27138929924413274</c:v>
                </c:pt>
                <c:pt idx="28">
                  <c:v>0.27785589432940017</c:v>
                </c:pt>
                <c:pt idx="29">
                  <c:v>0.2841154119321706</c:v>
                </c:pt>
                <c:pt idx="30">
                  <c:v>0.29017966202529016</c:v>
                </c:pt>
                <c:pt idx="31">
                  <c:v>0.29605956088826813</c:v>
                </c:pt>
                <c:pt idx="32">
                  <c:v>0.30176520933847961</c:v>
                </c:pt>
                <c:pt idx="33">
                  <c:v>0.30730596409901423</c:v>
                </c:pt>
                <c:pt idx="34">
                  <c:v>0.31269050269041154</c:v>
                </c:pt>
                <c:pt idx="35">
                  <c:v>0.31792688230527566</c:v>
                </c:pt>
                <c:pt idx="36">
                  <c:v>0.32302259315128312</c:v>
                </c:pt>
                <c:pt idx="37">
                  <c:v>0.32798460674654939</c:v>
                </c:pt>
                <c:pt idx="38">
                  <c:v>0.33281941963298078</c:v>
                </c:pt>
                <c:pt idx="39">
                  <c:v>0.33753309294546507</c:v>
                </c:pt>
                <c:pt idx="40">
                  <c:v>0.34213128824231698</c:v>
                </c:pt>
                <c:pt idx="41">
                  <c:v>0.34661929996833829</c:v>
                </c:pt>
                <c:pt idx="42">
                  <c:v>0.35100208488805074</c:v>
                </c:pt>
                <c:pt idx="43">
                  <c:v>0.35528428879426999</c:v>
                </c:pt>
                <c:pt idx="44">
                  <c:v>0.35947027076681459</c:v>
                </c:pt>
                <c:pt idx="45">
                  <c:v>0.36356412522811909</c:v>
                </c:pt>
                <c:pt idx="46">
                  <c:v>0.36756970201692407</c:v>
                </c:pt>
                <c:pt idx="47">
                  <c:v>0.37149062467802979</c:v>
                </c:pt>
                <c:pt idx="48">
                  <c:v>0.37533030714521254</c:v>
                </c:pt>
                <c:pt idx="49">
                  <c:v>0.37909196897565967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10C-4D97-A30A-6C4D35D1C968}"/>
            </c:ext>
          </c:extLst>
        </c:ser>
        <c:ser>
          <c:idx val="4"/>
          <c:order val="4"/>
          <c:tx>
            <c:strRef>
              <c:f>Delta!$B$28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Delta!$C$28:$AZ$28</c:f>
              <c:numCache>
                <c:formatCode>General</c:formatCode>
                <c:ptCount val="50"/>
                <c:pt idx="0">
                  <c:v>2.4998248472572982E-4</c:v>
                </c:pt>
                <c:pt idx="1">
                  <c:v>7.5966424381891306E-3</c:v>
                </c:pt>
                <c:pt idx="2">
                  <c:v>2.5300139283739118E-2</c:v>
                </c:pt>
                <c:pt idx="3">
                  <c:v>4.7535275559280651E-2</c:v>
                </c:pt>
                <c:pt idx="4">
                  <c:v>7.0537829580775702E-2</c:v>
                </c:pt>
                <c:pt idx="5">
                  <c:v>9.2718991154622676E-2</c:v>
                </c:pt>
                <c:pt idx="6">
                  <c:v>0.11351617326502472</c:v>
                </c:pt>
                <c:pt idx="7">
                  <c:v>0.1328013323700564</c:v>
                </c:pt>
                <c:pt idx="8">
                  <c:v>0.1506224847545854</c:v>
                </c:pt>
                <c:pt idx="9">
                  <c:v>0.16709271590694216</c:v>
                </c:pt>
                <c:pt idx="10">
                  <c:v>0.18234255949247846</c:v>
                </c:pt>
                <c:pt idx="11">
                  <c:v>0.19649998953177067</c:v>
                </c:pt>
                <c:pt idx="12">
                  <c:v>0.20968264557955749</c:v>
                </c:pt>
                <c:pt idx="13">
                  <c:v>0.22199550018168396</c:v>
                </c:pt>
                <c:pt idx="14">
                  <c:v>0.2335308976570119</c:v>
                </c:pt>
                <c:pt idx="15">
                  <c:v>0.24436955432911361</c:v>
                </c:pt>
                <c:pt idx="16">
                  <c:v>0.25458187243130437</c:v>
                </c:pt>
                <c:pt idx="17">
                  <c:v>0.26422927666514739</c:v>
                </c:pt>
                <c:pt idx="18">
                  <c:v>0.27336545117782207</c:v>
                </c:pt>
                <c:pt idx="19">
                  <c:v>0.2820374343620774</c:v>
                </c:pt>
                <c:pt idx="20">
                  <c:v>0.29028656558317556</c:v>
                </c:pt>
                <c:pt idx="21">
                  <c:v>0.29814929381803845</c:v>
                </c:pt>
                <c:pt idx="22">
                  <c:v>0.30565786403090789</c:v>
                </c:pt>
                <c:pt idx="23">
                  <c:v>0.31284089822087402</c:v>
                </c:pt>
                <c:pt idx="24">
                  <c:v>0.31972388708888866</c:v>
                </c:pt>
                <c:pt idx="25">
                  <c:v>0.32632960647715559</c:v>
                </c:pt>
                <c:pt idx="26">
                  <c:v>0.33267847075158674</c:v>
                </c:pt>
                <c:pt idx="27">
                  <c:v>0.33878883340951266</c:v>
                </c:pt>
                <c:pt idx="28">
                  <c:v>0.34467724351235207</c:v>
                </c:pt>
                <c:pt idx="29">
                  <c:v>0.35035866509647884</c:v>
                </c:pt>
                <c:pt idx="30">
                  <c:v>0.35584666549700661</c:v>
                </c:pt>
                <c:pt idx="31">
                  <c:v>0.36115357750482757</c:v>
                </c:pt>
                <c:pt idx="32">
                  <c:v>0.36629063943853774</c:v>
                </c:pt>
                <c:pt idx="33">
                  <c:v>0.37126811652192115</c:v>
                </c:pt>
                <c:pt idx="34">
                  <c:v>0.37609540638928918</c:v>
                </c:pt>
                <c:pt idx="35">
                  <c:v>0.38078113107346356</c:v>
                </c:pt>
                <c:pt idx="36">
                  <c:v>0.38533321744632221</c:v>
                </c:pt>
                <c:pt idx="37">
                  <c:v>0.38975896776448393</c:v>
                </c:pt>
                <c:pt idx="38">
                  <c:v>0.3940651217105211</c:v>
                </c:pt>
                <c:pt idx="39">
                  <c:v>0.39825791110296044</c:v>
                </c:pt>
                <c:pt idx="40">
                  <c:v>0.40234310826805381</c:v>
                </c:pt>
                <c:pt idx="41">
                  <c:v>0.40632606891621559</c:v>
                </c:pt>
                <c:pt idx="42">
                  <c:v>0.41021177024072375</c:v>
                </c:pt>
                <c:pt idx="43">
                  <c:v>0.41400484485137434</c:v>
                </c:pt>
                <c:pt idx="44">
                  <c:v>0.41770961106769822</c:v>
                </c:pt>
                <c:pt idx="45">
                  <c:v>0.42133010002217691</c:v>
                </c:pt>
                <c:pt idx="46">
                  <c:v>0.42487007996126691</c:v>
                </c:pt>
                <c:pt idx="47">
                  <c:v>0.42833307807900156</c:v>
                </c:pt>
                <c:pt idx="48">
                  <c:v>0.43172240017291069</c:v>
                </c:pt>
                <c:pt idx="49">
                  <c:v>0.4350411483736476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0C-4D97-A30A-6C4D35D1C968}"/>
            </c:ext>
          </c:extLst>
        </c:ser>
        <c:ser>
          <c:idx val="5"/>
          <c:order val="5"/>
          <c:tx>
            <c:strRef>
              <c:f>Delta!$B$29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Delta!$C$29:$AZ$29</c:f>
              <c:numCache>
                <c:formatCode>General</c:formatCode>
                <c:ptCount val="50"/>
                <c:pt idx="0">
                  <c:v>5.8309081379025133E-3</c:v>
                </c:pt>
                <c:pt idx="1">
                  <c:v>4.006477982445996E-2</c:v>
                </c:pt>
                <c:pt idx="2">
                  <c:v>8.0542811303141545E-2</c:v>
                </c:pt>
                <c:pt idx="3">
                  <c:v>0.11703172121234473</c:v>
                </c:pt>
                <c:pt idx="4">
                  <c:v>0.14844720364554423</c:v>
                </c:pt>
                <c:pt idx="5">
                  <c:v>0.17544466250951118</c:v>
                </c:pt>
                <c:pt idx="6">
                  <c:v>0.19884963648426759</c:v>
                </c:pt>
                <c:pt idx="7">
                  <c:v>0.21936358982447049</c:v>
                </c:pt>
                <c:pt idx="8">
                  <c:v>0.23753708342668731</c:v>
                </c:pt>
                <c:pt idx="9">
                  <c:v>0.2537950995737065</c:v>
                </c:pt>
                <c:pt idx="10">
                  <c:v>0.26846657883359648</c:v>
                </c:pt>
                <c:pt idx="11">
                  <c:v>0.2818085467068363</c:v>
                </c:pt>
                <c:pt idx="12">
                  <c:v>0.29402419148654468</c:v>
                </c:pt>
                <c:pt idx="13">
                  <c:v>0.30527608448867577</c:v>
                </c:pt>
                <c:pt idx="14">
                  <c:v>0.31569582174174898</c:v>
                </c:pt>
                <c:pt idx="15">
                  <c:v>0.32539109837098185</c:v>
                </c:pt>
                <c:pt idx="16">
                  <c:v>0.33445094989646668</c:v>
                </c:pt>
                <c:pt idx="17">
                  <c:v>0.34294967882467542</c:v>
                </c:pt>
                <c:pt idx="18">
                  <c:v>0.350949830181433</c:v>
                </c:pt>
                <c:pt idx="19">
                  <c:v>0.35850447187481499</c:v>
                </c:pt>
                <c:pt idx="20">
                  <c:v>0.36565896130919351</c:v>
                </c:pt>
                <c:pt idx="21">
                  <c:v>0.37245232811557638</c:v>
                </c:pt>
                <c:pt idx="22">
                  <c:v>0.37891836693560565</c:v>
                </c:pt>
                <c:pt idx="23">
                  <c:v>0.38508650893776336</c:v>
                </c:pt>
                <c:pt idx="24">
                  <c:v>0.39098252280993057</c:v>
                </c:pt>
                <c:pt idx="25">
                  <c:v>0.39662908310719347</c:v>
                </c:pt>
                <c:pt idx="26">
                  <c:v>0.40204623450961674</c:v>
                </c:pt>
                <c:pt idx="27">
                  <c:v>0.40725177371859</c:v>
                </c:pt>
                <c:pt idx="28">
                  <c:v>0.41226156567410671</c:v>
                </c:pt>
                <c:pt idx="29">
                  <c:v>0.41708980700977716</c:v>
                </c:pt>
                <c:pt idx="30">
                  <c:v>0.42174924682722104</c:v>
                </c:pt>
                <c:pt idx="31">
                  <c:v>0.42625137271853641</c:v>
                </c:pt>
                <c:pt idx="32">
                  <c:v>0.43060656831731203</c:v>
                </c:pt>
                <c:pt idx="33">
                  <c:v>0.4348242473870238</c:v>
                </c:pt>
                <c:pt idx="34">
                  <c:v>0.43891296846734734</c:v>
                </c:pt>
                <c:pt idx="35">
                  <c:v>0.44288053332541777</c:v>
                </c:pt>
                <c:pt idx="36">
                  <c:v>0.44673407184965563</c:v>
                </c:pt>
                <c:pt idx="37">
                  <c:v>0.45048011554059192</c:v>
                </c:pt>
                <c:pt idx="38">
                  <c:v>0.45412466136771346</c:v>
                </c:pt>
                <c:pt idx="39">
                  <c:v>0.45767322745215844</c:v>
                </c:pt>
                <c:pt idx="40">
                  <c:v>0.4611309017856835</c:v>
                </c:pt>
                <c:pt idx="41">
                  <c:v>0.46450238499409358</c:v>
                </c:pt>
                <c:pt idx="42">
                  <c:v>0.46779202798852265</c:v>
                </c:pt>
                <c:pt idx="43">
                  <c:v>0.47100386521302007</c:v>
                </c:pt>
                <c:pt idx="44">
                  <c:v>0.4741416440859037</c:v>
                </c:pt>
                <c:pt idx="45">
                  <c:v>0.47720885114065364</c:v>
                </c:pt>
                <c:pt idx="46">
                  <c:v>0.48020873529605357</c:v>
                </c:pt>
                <c:pt idx="47">
                  <c:v>0.48314432862193474</c:v>
                </c:pt>
                <c:pt idx="48">
                  <c:v>0.48601846491390588</c:v>
                </c:pt>
                <c:pt idx="49">
                  <c:v>0.48883379634600066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10C-4D97-A30A-6C4D35D1C968}"/>
            </c:ext>
          </c:extLst>
        </c:ser>
        <c:ser>
          <c:idx val="6"/>
          <c:order val="6"/>
          <c:tx>
            <c:strRef>
              <c:f>Delta!$B$30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Delta!$C$30:$AZ$30</c:f>
              <c:numCache>
                <c:formatCode>General</c:formatCode>
                <c:ptCount val="50"/>
                <c:pt idx="0">
                  <c:v>5.278154999693481E-2</c:v>
                </c:pt>
                <c:pt idx="1">
                  <c:v>0.13330906924780192</c:v>
                </c:pt>
                <c:pt idx="2">
                  <c:v>0.18952524812777738</c:v>
                </c:pt>
                <c:pt idx="3">
                  <c:v>0.2302330146985728</c:v>
                </c:pt>
                <c:pt idx="4">
                  <c:v>0.26142924756390207</c:v>
                </c:pt>
                <c:pt idx="5">
                  <c:v>0.28640779285454132</c:v>
                </c:pt>
                <c:pt idx="6">
                  <c:v>0.30707780777053395</c:v>
                </c:pt>
                <c:pt idx="7">
                  <c:v>0.32461969070784658</c:v>
                </c:pt>
                <c:pt idx="8">
                  <c:v>0.33980470618375225</c:v>
                </c:pt>
                <c:pt idx="9">
                  <c:v>0.35316016226972924</c:v>
                </c:pt>
                <c:pt idx="10">
                  <c:v>0.36506025783707302</c:v>
                </c:pt>
                <c:pt idx="11">
                  <c:v>0.37577888315468977</c:v>
                </c:pt>
                <c:pt idx="12">
                  <c:v>0.38552179285122318</c:v>
                </c:pt>
                <c:pt idx="13">
                  <c:v>0.39444701662134507</c:v>
                </c:pt>
                <c:pt idx="14">
                  <c:v>0.40267826359116315</c:v>
                </c:pt>
                <c:pt idx="15">
                  <c:v>0.41031399247866929</c:v>
                </c:pt>
                <c:pt idx="16">
                  <c:v>0.41743371087780085</c:v>
                </c:pt>
                <c:pt idx="17">
                  <c:v>0.42410245130310503</c:v>
                </c:pt>
                <c:pt idx="18">
                  <c:v>0.43037401664793751</c:v>
                </c:pt>
                <c:pt idx="19">
                  <c:v>0.43629337610345331</c:v>
                </c:pt>
                <c:pt idx="20">
                  <c:v>0.44189846265102495</c:v>
                </c:pt>
                <c:pt idx="21">
                  <c:v>0.44722154131108316</c:v>
                </c:pt>
                <c:pt idx="22">
                  <c:v>0.45229026442465065</c:v>
                </c:pt>
                <c:pt idx="23">
                  <c:v>0.45712849533526745</c:v>
                </c:pt>
                <c:pt idx="24">
                  <c:v>0.46175695835143238</c:v>
                </c:pt>
                <c:pt idx="25">
                  <c:v>0.46619375678267777</c:v>
                </c:pt>
                <c:pt idx="26">
                  <c:v>0.47045478964324927</c:v>
                </c:pt>
                <c:pt idx="27">
                  <c:v>0.47455408970351598</c:v>
                </c:pt>
                <c:pt idx="28">
                  <c:v>0.47850409989936815</c:v>
                </c:pt>
                <c:pt idx="29">
                  <c:v>0.48231590099564642</c:v>
                </c:pt>
                <c:pt idx="30">
                  <c:v>0.48599940037882688</c:v>
                </c:pt>
                <c:pt idx="31">
                  <c:v>0.48956348961171509</c:v>
                </c:pt>
                <c:pt idx="32">
                  <c:v>0.49301617670113479</c:v>
                </c:pt>
                <c:pt idx="33">
                  <c:v>0.49636469775623449</c:v>
                </c:pt>
                <c:pt idx="34">
                  <c:v>0.49961561174225017</c:v>
                </c:pt>
                <c:pt idx="35">
                  <c:v>0.50277488128514203</c:v>
                </c:pt>
                <c:pt idx="36">
                  <c:v>0.50584794190061788</c:v>
                </c:pt>
                <c:pt idx="37">
                  <c:v>0.50883976156585198</c:v>
                </c:pt>
                <c:pt idx="38">
                  <c:v>0.51175489219362258</c:v>
                </c:pt>
                <c:pt idx="39">
                  <c:v>0.51459751428423428</c:v>
                </c:pt>
                <c:pt idx="40">
                  <c:v>0.51737147580369114</c:v>
                </c:pt>
                <c:pt idx="41">
                  <c:v>0.52008032615444821</c:v>
                </c:pt>
                <c:pt idx="42">
                  <c:v>0.52272734595803705</c:v>
                </c:pt>
                <c:pt idx="43">
                  <c:v>0.52531557324954403</c:v>
                </c:pt>
                <c:pt idx="44">
                  <c:v>0.52784782658657559</c:v>
                </c:pt>
                <c:pt idx="45">
                  <c:v>0.53032672549557058</c:v>
                </c:pt>
                <c:pt idx="46">
                  <c:v>0.53275470861261276</c:v>
                </c:pt>
                <c:pt idx="47">
                  <c:v>0.53513404982155865</c:v>
                </c:pt>
                <c:pt idx="48">
                  <c:v>0.5374668726471532</c:v>
                </c:pt>
                <c:pt idx="49">
                  <c:v>0.53975516312316763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10C-4D97-A30A-6C4D35D1C968}"/>
            </c:ext>
          </c:extLst>
        </c:ser>
        <c:ser>
          <c:idx val="7"/>
          <c:order val="7"/>
          <c:tx>
            <c:strRef>
              <c:f>Delta!$B$31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Delta!$C$31:$AZ$31</c:f>
              <c:numCache>
                <c:formatCode>General</c:formatCode>
                <c:ptCount val="50"/>
                <c:pt idx="0">
                  <c:v>0.22255758462414449</c:v>
                </c:pt>
                <c:pt idx="1">
                  <c:v>0.3062898934344146</c:v>
                </c:pt>
                <c:pt idx="2">
                  <c:v>0.34971752968021519</c:v>
                </c:pt>
                <c:pt idx="3">
                  <c:v>0.37803686566564765</c:v>
                </c:pt>
                <c:pt idx="4">
                  <c:v>0.39873130138189328</c:v>
                </c:pt>
                <c:pt idx="5">
                  <c:v>0.41491980008730484</c:v>
                </c:pt>
                <c:pt idx="6">
                  <c:v>0.42816924322332078</c:v>
                </c:pt>
                <c:pt idx="7">
                  <c:v>0.4393670542417723</c:v>
                </c:pt>
                <c:pt idx="8">
                  <c:v>0.4490598842795181</c:v>
                </c:pt>
                <c:pt idx="9">
                  <c:v>0.45760612784927152</c:v>
                </c:pt>
                <c:pt idx="10">
                  <c:v>0.46525235136922211</c:v>
                </c:pt>
                <c:pt idx="11">
                  <c:v>0.47217482402712885</c:v>
                </c:pt>
                <c:pt idx="12">
                  <c:v>0.47850356929715504</c:v>
                </c:pt>
                <c:pt idx="13">
                  <c:v>0.48433702958586061</c:v>
                </c:pt>
                <c:pt idx="14">
                  <c:v>0.48975139603061985</c:v>
                </c:pt>
                <c:pt idx="15">
                  <c:v>0.49480676032088439</c:v>
                </c:pt>
                <c:pt idx="16">
                  <c:v>0.49955129669299941</c:v>
                </c:pt>
                <c:pt idx="17">
                  <c:v>0.50402418071952249</c:v>
                </c:pt>
                <c:pt idx="18">
                  <c:v>0.50825767381225684</c:v>
                </c:pt>
                <c:pt idx="19">
                  <c:v>0.51227864232904818</c:v>
                </c:pt>
                <c:pt idx="20">
                  <c:v>0.51610968469145047</c:v>
                </c:pt>
                <c:pt idx="21">
                  <c:v>0.51976998117968054</c:v>
                </c:pt>
                <c:pt idx="22">
                  <c:v>0.52327594394049248</c:v>
                </c:pt>
                <c:pt idx="23">
                  <c:v>0.52664172069704729</c:v>
                </c:pt>
                <c:pt idx="24">
                  <c:v>0.52987958973399629</c:v>
                </c:pt>
                <c:pt idx="25">
                  <c:v>0.53300027298721719</c:v>
                </c:pt>
                <c:pt idx="26">
                  <c:v>0.53601318668433895</c:v>
                </c:pt>
                <c:pt idx="27">
                  <c:v>0.53892664382474942</c:v>
                </c:pt>
                <c:pt idx="28">
                  <c:v>0.54174801913089643</c:v>
                </c:pt>
                <c:pt idx="29">
                  <c:v>0.54448388447384266</c:v>
                </c:pt>
                <c:pt idx="30">
                  <c:v>0.54714012086206809</c:v>
                </c:pt>
                <c:pt idx="31">
                  <c:v>0.54972201167254986</c:v>
                </c:pt>
                <c:pt idx="32">
                  <c:v>0.55223432075305845</c:v>
                </c:pt>
                <c:pt idx="33">
                  <c:v>0.55468135823454923</c:v>
                </c:pt>
                <c:pt idx="34">
                  <c:v>0.55706703629244669</c:v>
                </c:pt>
                <c:pt idx="35">
                  <c:v>0.55939491663575436</c:v>
                </c:pt>
                <c:pt idx="36">
                  <c:v>0.56166825114757812</c:v>
                </c:pt>
                <c:pt idx="37">
                  <c:v>0.56389001682390893</c:v>
                </c:pt>
                <c:pt idx="38">
                  <c:v>0.56606294594038431</c:v>
                </c:pt>
                <c:pt idx="39">
                  <c:v>0.56818955220522305</c:v>
                </c:pt>
                <c:pt idx="40">
                  <c:v>0.57027215352011473</c:v>
                </c:pt>
                <c:pt idx="41">
                  <c:v>0.57231289186170176</c:v>
                </c:pt>
                <c:pt idx="42">
                  <c:v>0.57431375070843294</c:v>
                </c:pt>
                <c:pt idx="43">
                  <c:v>0.57627657036646029</c:v>
                </c:pt>
                <c:pt idx="44">
                  <c:v>0.57820306149038636</c:v>
                </c:pt>
                <c:pt idx="45">
                  <c:v>0.58009481704734711</c:v>
                </c:pt>
                <c:pt idx="46">
                  <c:v>0.58195332293402713</c:v>
                </c:pt>
                <c:pt idx="47">
                  <c:v>0.58377996742410165</c:v>
                </c:pt>
                <c:pt idx="48">
                  <c:v>0.58557604959697751</c:v>
                </c:pt>
                <c:pt idx="49">
                  <c:v>0.58734278687654107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10C-4D97-A30A-6C4D35D1C968}"/>
            </c:ext>
          </c:extLst>
        </c:ser>
        <c:ser>
          <c:idx val="8"/>
          <c:order val="8"/>
          <c:tx>
            <c:strRef>
              <c:f>Delta!$B$32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Delta!$C$32:$AZ$32</c:f>
              <c:numCache>
                <c:formatCode>General</c:formatCode>
                <c:ptCount val="50"/>
                <c:pt idx="0">
                  <c:v>0.51891639999929629</c:v>
                </c:pt>
                <c:pt idx="1">
                  <c:v>0.5267418038869226</c:v>
                </c:pt>
                <c:pt idx="2">
                  <c:v>0.53273961671267711</c:v>
                </c:pt>
                <c:pt idx="3">
                  <c:v>0.53779029390666466</c:v>
                </c:pt>
                <c:pt idx="4">
                  <c:v>0.54223501331161406</c:v>
                </c:pt>
                <c:pt idx="5">
                  <c:v>0.54624882106468031</c:v>
                </c:pt>
                <c:pt idx="6">
                  <c:v>0.54993574324296035</c:v>
                </c:pt>
                <c:pt idx="7">
                  <c:v>0.55336358492889404</c:v>
                </c:pt>
                <c:pt idx="8">
                  <c:v>0.55657946195545982</c:v>
                </c:pt>
                <c:pt idx="9">
                  <c:v>0.5596176923702425</c:v>
                </c:pt>
                <c:pt idx="10">
                  <c:v>0.56250419357487125</c:v>
                </c:pt>
                <c:pt idx="11">
                  <c:v>0.56525910863091922</c:v>
                </c:pt>
                <c:pt idx="12">
                  <c:v>0.56789846248781028</c:v>
                </c:pt>
                <c:pt idx="13">
                  <c:v>0.57043525317537325</c:v>
                </c:pt>
                <c:pt idx="14">
                  <c:v>0.57288019711595339</c:v>
                </c:pt>
                <c:pt idx="15">
                  <c:v>0.57524225381748262</c:v>
                </c:pt>
                <c:pt idx="16">
                  <c:v>0.57752900488282433</c:v>
                </c:pt>
                <c:pt idx="17">
                  <c:v>0.57974693392650745</c:v>
                </c:pt>
                <c:pt idx="18">
                  <c:v>0.58190163734082867</c:v>
                </c:pt>
                <c:pt idx="19">
                  <c:v>0.58399798571368178</c:v>
                </c:pt>
                <c:pt idx="20">
                  <c:v>0.58604024932793053</c:v>
                </c:pt>
                <c:pt idx="21">
                  <c:v>0.58803219705493692</c:v>
                </c:pt>
                <c:pt idx="22">
                  <c:v>0.5899771752288796</c:v>
                </c:pt>
                <c:pt idx="23">
                  <c:v>0.59187817124380615</c:v>
                </c:pt>
                <c:pt idx="24">
                  <c:v>0.59373786534231576</c:v>
                </c:pt>
                <c:pt idx="25">
                  <c:v>0.5955586731705319</c:v>
                </c:pt>
                <c:pt idx="26">
                  <c:v>0.59734278103568972</c:v>
                </c:pt>
                <c:pt idx="27">
                  <c:v>0.59909217534027071</c:v>
                </c:pt>
                <c:pt idx="28">
                  <c:v>0.60080866732714822</c:v>
                </c:pt>
                <c:pt idx="29">
                  <c:v>0.60249391401788088</c:v>
                </c:pt>
                <c:pt idx="30">
                  <c:v>0.60414943603659454</c:v>
                </c:pt>
                <c:pt idx="31">
                  <c:v>0.60577663286776451</c:v>
                </c:pt>
                <c:pt idx="32">
                  <c:v>0.60737679598563687</c:v>
                </c:pt>
                <c:pt idx="33">
                  <c:v>0.60895112020740272</c:v>
                </c:pt>
                <c:pt idx="34">
                  <c:v>0.61050071355539248</c:v>
                </c:pt>
                <c:pt idx="35">
                  <c:v>0.6120266058609285</c:v>
                </c:pt>
                <c:pt idx="36">
                  <c:v>0.61352975630075135</c:v>
                </c:pt>
                <c:pt idx="37">
                  <c:v>0.61501106002361017</c:v>
                </c:pt>
                <c:pt idx="38">
                  <c:v>0.61647135399782416</c:v>
                </c:pt>
                <c:pt idx="39">
                  <c:v>0.61791142218895267</c:v>
                </c:pt>
                <c:pt idx="40">
                  <c:v>0.61933200015909173</c:v>
                </c:pt>
                <c:pt idx="41">
                  <c:v>0.62073377916488592</c:v>
                </c:pt>
                <c:pt idx="42">
                  <c:v>0.62211740981949015</c:v>
                </c:pt>
                <c:pt idx="43">
                  <c:v>0.62348350537390973</c:v>
                </c:pt>
                <c:pt idx="44">
                  <c:v>0.62483264466500554</c:v>
                </c:pt>
                <c:pt idx="45">
                  <c:v>0.62616537477066125</c:v>
                </c:pt>
                <c:pt idx="46">
                  <c:v>0.6274822134069169</c:v>
                </c:pt>
                <c:pt idx="47">
                  <c:v>0.62878365109708745</c:v>
                </c:pt>
                <c:pt idx="48">
                  <c:v>0.63007015313884207</c:v>
                </c:pt>
                <c:pt idx="49">
                  <c:v>0.63134216139179089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10C-4D97-A30A-6C4D35D1C968}"/>
            </c:ext>
          </c:extLst>
        </c:ser>
        <c:ser>
          <c:idx val="9"/>
          <c:order val="9"/>
          <c:tx>
            <c:strRef>
              <c:f>Delta!$B$33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Delta!$C$33:$AZ$33</c:f>
              <c:numCache>
                <c:formatCode>General</c:formatCode>
                <c:ptCount val="50"/>
                <c:pt idx="0">
                  <c:v>0.79357096026156482</c:v>
                </c:pt>
                <c:pt idx="1">
                  <c:v>0.72992052908241489</c:v>
                </c:pt>
                <c:pt idx="2">
                  <c:v>0.70109401201543453</c:v>
                </c:pt>
                <c:pt idx="3">
                  <c:v>0.68459548536557635</c:v>
                </c:pt>
                <c:pt idx="4">
                  <c:v>0.67402849627857031</c:v>
                </c:pt>
                <c:pt idx="5">
                  <c:v>0.66681258720741177</c:v>
                </c:pt>
                <c:pt idx="6">
                  <c:v>0.66168859212232867</c:v>
                </c:pt>
                <c:pt idx="7">
                  <c:v>0.65796272969308234</c:v>
                </c:pt>
                <c:pt idx="8">
                  <c:v>0.65521889020886748</c:v>
                </c:pt>
                <c:pt idx="9">
                  <c:v>0.65319132580079731</c:v>
                </c:pt>
                <c:pt idx="10">
                  <c:v>0.65170189219219721</c:v>
                </c:pt>
                <c:pt idx="11">
                  <c:v>0.6506264784872503</c:v>
                </c:pt>
                <c:pt idx="12">
                  <c:v>0.64987586057560209</c:v>
                </c:pt>
                <c:pt idx="13">
                  <c:v>0.64938420044951983</c:v>
                </c:pt>
                <c:pt idx="14">
                  <c:v>0.64910183637721541</c:v>
                </c:pt>
                <c:pt idx="15">
                  <c:v>0.64899059770782763</c:v>
                </c:pt>
                <c:pt idx="16">
                  <c:v>0.64902066558526905</c:v>
                </c:pt>
                <c:pt idx="17">
                  <c:v>0.64916841315629237</c:v>
                </c:pt>
                <c:pt idx="18">
                  <c:v>0.64941488501799927</c:v>
                </c:pt>
                <c:pt idx="19">
                  <c:v>0.64974470477957968</c:v>
                </c:pt>
                <c:pt idx="20">
                  <c:v>0.65014527596208149</c:v>
                </c:pt>
                <c:pt idx="21">
                  <c:v>0.65060618800972925</c:v>
                </c:pt>
                <c:pt idx="22">
                  <c:v>0.65111876835068938</c:v>
                </c:pt>
                <c:pt idx="23">
                  <c:v>0.65167574016684626</c:v>
                </c:pt>
                <c:pt idx="24">
                  <c:v>0.65227095781564448</c:v>
                </c:pt>
                <c:pt idx="25">
                  <c:v>0.65289920006704394</c:v>
                </c:pt>
                <c:pt idx="26">
                  <c:v>0.65355600691886329</c:v>
                </c:pt>
                <c:pt idx="27">
                  <c:v>0.65423754963212577</c:v>
                </c:pt>
                <c:pt idx="28">
                  <c:v>0.65494052635443267</c:v>
                </c:pt>
                <c:pt idx="29">
                  <c:v>0.6556620776426314</c:v>
                </c:pt>
                <c:pt idx="30">
                  <c:v>0.65639971759879501</c:v>
                </c:pt>
                <c:pt idx="31">
                  <c:v>0.65715127735813028</c:v>
                </c:pt>
                <c:pt idx="32">
                  <c:v>0.65791485842403574</c:v>
                </c:pt>
                <c:pt idx="33">
                  <c:v>0.65868879390996038</c:v>
                </c:pt>
                <c:pt idx="34">
                  <c:v>0.65947161617279471</c:v>
                </c:pt>
                <c:pt idx="35">
                  <c:v>0.66026202964551983</c:v>
                </c:pt>
                <c:pt idx="36">
                  <c:v>0.66105888792431555</c:v>
                </c:pt>
                <c:pt idx="37">
                  <c:v>0.66186117435643776</c:v>
                </c:pt>
                <c:pt idx="38">
                  <c:v>0.66266798552383532</c:v>
                </c:pt>
                <c:pt idx="39">
                  <c:v>0.66347851713393957</c:v>
                </c:pt>
                <c:pt idx="40">
                  <c:v>0.66429205192088059</c:v>
                </c:pt>
                <c:pt idx="41">
                  <c:v>0.66510794923324434</c:v>
                </c:pt>
                <c:pt idx="42">
                  <c:v>0.66592563604262678</c:v>
                </c:pt>
                <c:pt idx="43">
                  <c:v>0.66674459915390871</c:v>
                </c:pt>
                <c:pt idx="44">
                  <c:v>0.66756437843582073</c:v>
                </c:pt>
                <c:pt idx="45">
                  <c:v>0.66838456092090226</c:v>
                </c:pt>
                <c:pt idx="46">
                  <c:v>0.66920477564883019</c:v>
                </c:pt>
                <c:pt idx="47">
                  <c:v>0.67002468914745328</c:v>
                </c:pt>
                <c:pt idx="48">
                  <c:v>0.67084400146261247</c:v>
                </c:pt>
                <c:pt idx="49">
                  <c:v>0.67166244266164088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10C-4D97-A30A-6C4D35D1C968}"/>
            </c:ext>
          </c:extLst>
        </c:ser>
        <c:ser>
          <c:idx val="10"/>
          <c:order val="10"/>
          <c:tx>
            <c:strRef>
              <c:f>Delta!$B$34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Delta!$C$34:$AZ$34</c:f>
              <c:numCache>
                <c:formatCode>General</c:formatCode>
                <c:ptCount val="50"/>
                <c:pt idx="0">
                  <c:v>0.93995791805464912</c:v>
                </c:pt>
                <c:pt idx="1">
                  <c:v>0.87132614165736733</c:v>
                </c:pt>
                <c:pt idx="2">
                  <c:v>0.82950660741686155</c:v>
                </c:pt>
                <c:pt idx="3">
                  <c:v>0.80188165059672933</c:v>
                </c:pt>
                <c:pt idx="4">
                  <c:v>0.78230772963384743</c:v>
                </c:pt>
                <c:pt idx="5">
                  <c:v>0.76773686176629652</c:v>
                </c:pt>
                <c:pt idx="6">
                  <c:v>0.7564993813863905</c:v>
                </c:pt>
                <c:pt idx="7">
                  <c:v>0.74760249342748353</c:v>
                </c:pt>
                <c:pt idx="8">
                  <c:v>0.74041691025313783</c:v>
                </c:pt>
                <c:pt idx="9">
                  <c:v>0.73452316868917078</c:v>
                </c:pt>
                <c:pt idx="10">
                  <c:v>0.72963014233988588</c:v>
                </c:pt>
                <c:pt idx="11">
                  <c:v>0.72552898703054525</c:v>
                </c:pt>
                <c:pt idx="12">
                  <c:v>0.72206570766150402</c:v>
                </c:pt>
                <c:pt idx="13">
                  <c:v>0.71912408515736215</c:v>
                </c:pt>
                <c:pt idx="14">
                  <c:v>0.71661465024900706</c:v>
                </c:pt>
                <c:pt idx="15">
                  <c:v>0.71446733339559498</c:v>
                </c:pt>
                <c:pt idx="16">
                  <c:v>0.71262642928690934</c:v>
                </c:pt>
                <c:pt idx="17">
                  <c:v>0.71104706367147696</c:v>
                </c:pt>
                <c:pt idx="18">
                  <c:v>0.70969266163658562</c:v>
                </c:pt>
                <c:pt idx="19">
                  <c:v>0.7085330993545631</c:v>
                </c:pt>
                <c:pt idx="20">
                  <c:v>0.70754333214476461</c:v>
                </c:pt>
                <c:pt idx="21">
                  <c:v>0.70670236076419779</c:v>
                </c:pt>
                <c:pt idx="22">
                  <c:v>0.70599244195817479</c:v>
                </c:pt>
                <c:pt idx="23">
                  <c:v>0.7053984781231657</c:v>
                </c:pt>
                <c:pt idx="24">
                  <c:v>0.70490754014610268</c:v>
                </c:pt>
                <c:pt idx="25">
                  <c:v>0.70450849052869868</c:v>
                </c:pt>
                <c:pt idx="26">
                  <c:v>0.7041916829117274</c:v>
                </c:pt>
                <c:pt idx="27">
                  <c:v>0.70394872042886014</c:v>
                </c:pt>
                <c:pt idx="28">
                  <c:v>0.7037722598100421</c:v>
                </c:pt>
                <c:pt idx="29">
                  <c:v>0.70365585138940701</c:v>
                </c:pt>
                <c:pt idx="30">
                  <c:v>0.70359380753164003</c:v>
                </c:pt>
                <c:pt idx="31">
                  <c:v>0.70358109373011823</c:v>
                </c:pt>
                <c:pt idx="32">
                  <c:v>0.70361323792623109</c:v>
                </c:pt>
                <c:pt idx="33">
                  <c:v>0.7036862545744379</c:v>
                </c:pt>
                <c:pt idx="34">
                  <c:v>0.7037965807180262</c:v>
                </c:pt>
                <c:pt idx="35">
                  <c:v>0.70394102190751273</c:v>
                </c:pt>
                <c:pt idx="36">
                  <c:v>0.70411670623129807</c:v>
                </c:pt>
                <c:pt idx="37">
                  <c:v>0.70432104506858673</c:v>
                </c:pt>
                <c:pt idx="38">
                  <c:v>0.70455169944122109</c:v>
                </c:pt>
                <c:pt idx="39">
                  <c:v>0.70480655105134726</c:v>
                </c:pt>
                <c:pt idx="40">
                  <c:v>0.70508367725869603</c:v>
                </c:pt>
                <c:pt idx="41">
                  <c:v>0.7053813293844835</c:v>
                </c:pt>
                <c:pt idx="42">
                  <c:v>0.7056979138359134</c:v>
                </c:pt>
                <c:pt idx="43">
                  <c:v>0.70603197563161157</c:v>
                </c:pt>
                <c:pt idx="44">
                  <c:v>0.70638218397841335</c:v>
                </c:pt>
                <c:pt idx="45">
                  <c:v>0.70674731960705739</c:v>
                </c:pt>
                <c:pt idx="46">
                  <c:v>0.7071262636211697</c:v>
                </c:pt>
                <c:pt idx="47">
                  <c:v>0.70751798765244223</c:v>
                </c:pt>
                <c:pt idx="48">
                  <c:v>0.70792154514676187</c:v>
                </c:pt>
                <c:pt idx="49">
                  <c:v>0.70833606363246282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10C-4D97-A30A-6C4D35D1C968}"/>
            </c:ext>
          </c:extLst>
        </c:ser>
        <c:ser>
          <c:idx val="11"/>
          <c:order val="11"/>
          <c:tx>
            <c:strRef>
              <c:f>Delta!$B$35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Delta!$C$35:$AZ$35</c:f>
              <c:numCache>
                <c:formatCode>General</c:formatCode>
                <c:ptCount val="50"/>
                <c:pt idx="0">
                  <c:v>0.98800422406854482</c:v>
                </c:pt>
                <c:pt idx="1">
                  <c:v>0.94841416414843493</c:v>
                </c:pt>
                <c:pt idx="2">
                  <c:v>0.91276887593354383</c:v>
                </c:pt>
                <c:pt idx="3">
                  <c:v>0.88488828305391432</c:v>
                </c:pt>
                <c:pt idx="4">
                  <c:v>0.8630953437034381</c:v>
                </c:pt>
                <c:pt idx="5">
                  <c:v>0.84574392541104026</c:v>
                </c:pt>
                <c:pt idx="6">
                  <c:v>0.83165762889347106</c:v>
                </c:pt>
                <c:pt idx="7">
                  <c:v>0.82002413987768763</c:v>
                </c:pt>
                <c:pt idx="8">
                  <c:v>0.81027566906216286</c:v>
                </c:pt>
                <c:pt idx="9">
                  <c:v>0.80200640740621953</c:v>
                </c:pt>
                <c:pt idx="10">
                  <c:v>0.79491947342995273</c:v>
                </c:pt>
                <c:pt idx="11">
                  <c:v>0.78879288210338216</c:v>
                </c:pt>
                <c:pt idx="12">
                  <c:v>0.78345734627370889</c:v>
                </c:pt>
                <c:pt idx="13">
                  <c:v>0.77878147630208594</c:v>
                </c:pt>
                <c:pt idx="14">
                  <c:v>0.77466168809838998</c:v>
                </c:pt>
                <c:pt idx="15">
                  <c:v>0.77101517246758522</c:v>
                </c:pt>
                <c:pt idx="16">
                  <c:v>0.76777489866514936</c:v>
                </c:pt>
                <c:pt idx="17">
                  <c:v>0.76488599819098524</c:v>
                </c:pt>
                <c:pt idx="18">
                  <c:v>0.76230310357616227</c:v>
                </c:pt>
                <c:pt idx="19">
                  <c:v>0.75998835998968672</c:v>
                </c:pt>
                <c:pt idx="20">
                  <c:v>0.75790991882476644</c:v>
                </c:pt>
                <c:pt idx="21">
                  <c:v>0.75604078188057566</c:v>
                </c:pt>
                <c:pt idx="22">
                  <c:v>0.75435790418546023</c:v>
                </c:pt>
                <c:pt idx="23">
                  <c:v>0.75284149011470203</c:v>
                </c:pt>
                <c:pt idx="24">
                  <c:v>0.75147443570383365</c:v>
                </c:pt>
                <c:pt idx="25">
                  <c:v>0.75024188276370052</c:v>
                </c:pt>
                <c:pt idx="26">
                  <c:v>0.74913085937474755</c:v>
                </c:pt>
                <c:pt idx="27">
                  <c:v>0.7481299877561316</c:v>
                </c:pt>
                <c:pt idx="28">
                  <c:v>0.74722924515320388</c:v>
                </c:pt>
                <c:pt idx="29">
                  <c:v>0.74641976679143052</c:v>
                </c:pt>
                <c:pt idx="30">
                  <c:v>0.74569368246524304</c:v>
                </c:pt>
                <c:pt idx="31">
                  <c:v>0.74504398021490315</c:v>
                </c:pt>
                <c:pt idx="32">
                  <c:v>0.74446439196685987</c:v>
                </c:pt>
                <c:pt idx="33">
                  <c:v>0.74394929709608681</c:v>
                </c:pt>
                <c:pt idx="34">
                  <c:v>0.74349364070031942</c:v>
                </c:pt>
                <c:pt idx="35">
                  <c:v>0.74309286401940955</c:v>
                </c:pt>
                <c:pt idx="36">
                  <c:v>0.74274284493438492</c:v>
                </c:pt>
                <c:pt idx="37">
                  <c:v>0.74243984687431064</c:v>
                </c:pt>
                <c:pt idx="38">
                  <c:v>0.74218047476991011</c:v>
                </c:pt>
                <c:pt idx="39">
                  <c:v>0.74196163694002004</c:v>
                </c:pt>
                <c:pt idx="40">
                  <c:v>0.74178051199455419</c:v>
                </c:pt>
                <c:pt idx="41">
                  <c:v>0.74163451999655328</c:v>
                </c:pt>
                <c:pt idx="42">
                  <c:v>0.74152129725435389</c:v>
                </c:pt>
                <c:pt idx="43">
                  <c:v>0.74143867421929044</c:v>
                </c:pt>
                <c:pt idx="44">
                  <c:v>0.7413846560495716</c:v>
                </c:pt>
                <c:pt idx="45">
                  <c:v>0.7413574054708757</c:v>
                </c:pt>
                <c:pt idx="46">
                  <c:v>0.74135522762181916</c:v>
                </c:pt>
                <c:pt idx="47">
                  <c:v>0.74137655662009583</c:v>
                </c:pt>
                <c:pt idx="48">
                  <c:v>0.74141994362468844</c:v>
                </c:pt>
                <c:pt idx="49">
                  <c:v>0.74148404620256403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10C-4D97-A30A-6C4D35D1C968}"/>
            </c:ext>
          </c:extLst>
        </c:ser>
        <c:ser>
          <c:idx val="12"/>
          <c:order val="12"/>
          <c:tx>
            <c:strRef>
              <c:f>Delta!$B$36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Delta!$C$36:$AZ$36</c:f>
              <c:numCache>
                <c:formatCode>General</c:formatCode>
                <c:ptCount val="50"/>
                <c:pt idx="0">
                  <c:v>0.99830623193923973</c:v>
                </c:pt>
                <c:pt idx="1">
                  <c:v>0.9823760534317052</c:v>
                </c:pt>
                <c:pt idx="2">
                  <c:v>0.95963958476134859</c:v>
                </c:pt>
                <c:pt idx="3">
                  <c:v>0.93776106845399343</c:v>
                </c:pt>
                <c:pt idx="4">
                  <c:v>0.91853340172068842</c:v>
                </c:pt>
                <c:pt idx="5">
                  <c:v>0.90200659044195886</c:v>
                </c:pt>
                <c:pt idx="6">
                  <c:v>0.88783196322373703</c:v>
                </c:pt>
                <c:pt idx="7">
                  <c:v>0.87562125149536263</c:v>
                </c:pt>
                <c:pt idx="8">
                  <c:v>0.86503450040480123</c:v>
                </c:pt>
                <c:pt idx="9">
                  <c:v>0.85579311074329822</c:v>
                </c:pt>
                <c:pt idx="10">
                  <c:v>0.84767325376920599</c:v>
                </c:pt>
                <c:pt idx="11">
                  <c:v>0.84049564093646389</c:v>
                </c:pt>
                <c:pt idx="12">
                  <c:v>0.83411609200229975</c:v>
                </c:pt>
                <c:pt idx="13">
                  <c:v>0.82841785932926038</c:v>
                </c:pt>
                <c:pt idx="14">
                  <c:v>0.82330564788877481</c:v>
                </c:pt>
                <c:pt idx="15">
                  <c:v>0.81870102600765715</c:v>
                </c:pt>
                <c:pt idx="16">
                  <c:v>0.8145389131715145</c:v>
                </c:pt>
                <c:pt idx="17">
                  <c:v>0.81076488391057833</c:v>
                </c:pt>
                <c:pt idx="18">
                  <c:v>0.80733308591355057</c:v>
                </c:pt>
                <c:pt idx="19">
                  <c:v>0.80420462073819765</c:v>
                </c:pt>
                <c:pt idx="20">
                  <c:v>0.80134627444347384</c:v>
                </c:pt>
                <c:pt idx="21">
                  <c:v>0.79872951457967079</c:v>
                </c:pt>
                <c:pt idx="22">
                  <c:v>0.79632969139800991</c:v>
                </c:pt>
                <c:pt idx="23">
                  <c:v>0.79412539683463423</c:v>
                </c:pt>
                <c:pt idx="24">
                  <c:v>0.79209794632892327</c:v>
                </c:pt>
                <c:pt idx="25">
                  <c:v>0.79023095700323709</c:v>
                </c:pt>
                <c:pt idx="26">
                  <c:v>0.7885100019976452</c:v>
                </c:pt>
                <c:pt idx="27">
                  <c:v>0.78692232542120943</c:v>
                </c:pt>
                <c:pt idx="28">
                  <c:v>0.78545660588307509</c:v>
                </c:pt>
                <c:pt idx="29">
                  <c:v>0.78410275921225236</c:v>
                </c:pt>
                <c:pt idx="30">
                  <c:v>0.78285177298823272</c:v>
                </c:pt>
                <c:pt idx="31">
                  <c:v>0.78169556704747278</c:v>
                </c:pt>
                <c:pt idx="32">
                  <c:v>0.78062687532141095</c:v>
                </c:pt>
                <c:pt idx="33">
                  <c:v>0.7796391452866307</c:v>
                </c:pt>
                <c:pt idx="34">
                  <c:v>0.77872645203101665</c:v>
                </c:pt>
                <c:pt idx="35">
                  <c:v>0.77788342450878645</c:v>
                </c:pt>
                <c:pt idx="36">
                  <c:v>0.77710518200767997</c:v>
                </c:pt>
                <c:pt idx="37">
                  <c:v>0.77638727921015382</c:v>
                </c:pt>
                <c:pt idx="38">
                  <c:v>0.77572565851744935</c:v>
                </c:pt>
                <c:pt idx="39">
                  <c:v>0.77511660853638908</c:v>
                </c:pt>
                <c:pt idx="40">
                  <c:v>0.77455672781557094</c:v>
                </c:pt>
                <c:pt idx="41">
                  <c:v>0.77404289306948471</c:v>
                </c:pt>
                <c:pt idx="42">
                  <c:v>0.77357223125306285</c:v>
                </c:pt>
                <c:pt idx="43">
                  <c:v>0.7731420949508816</c:v>
                </c:pt>
                <c:pt idx="44">
                  <c:v>0.77275004062901287</c:v>
                </c:pt>
                <c:pt idx="45">
                  <c:v>0.77239380936682056</c:v>
                </c:pt>
                <c:pt idx="46">
                  <c:v>0.7720713097435552</c:v>
                </c:pt>
                <c:pt idx="47">
                  <c:v>0.77178060260256687</c:v>
                </c:pt>
                <c:pt idx="48">
                  <c:v>0.77151988745610334</c:v>
                </c:pt>
                <c:pt idx="49">
                  <c:v>0.77128749032735988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10C-4D97-A30A-6C4D35D1C968}"/>
            </c:ext>
          </c:extLst>
        </c:ser>
        <c:ser>
          <c:idx val="13"/>
          <c:order val="13"/>
          <c:tx>
            <c:strRef>
              <c:f>Delta!$B$37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Delta!$C$37:$AZ$37</c:f>
              <c:numCache>
                <c:formatCode>General</c:formatCode>
                <c:ptCount val="50"/>
                <c:pt idx="0">
                  <c:v>0.99982531626414572</c:v>
                </c:pt>
                <c:pt idx="1">
                  <c:v>0.99479497737862488</c:v>
                </c:pt>
                <c:pt idx="2">
                  <c:v>0.98296199066116863</c:v>
                </c:pt>
                <c:pt idx="3">
                  <c:v>0.96848451708238714</c:v>
                </c:pt>
                <c:pt idx="4">
                  <c:v>0.95390232385199913</c:v>
                </c:pt>
                <c:pt idx="5">
                  <c:v>0.9402142801511969</c:v>
                </c:pt>
                <c:pt idx="6">
                  <c:v>0.92772250848626392</c:v>
                </c:pt>
                <c:pt idx="7">
                  <c:v>0.91644879859772543</c:v>
                </c:pt>
                <c:pt idx="8">
                  <c:v>0.90631047116941144</c:v>
                </c:pt>
                <c:pt idx="9">
                  <c:v>0.89719292559733332</c:v>
                </c:pt>
                <c:pt idx="10">
                  <c:v>0.88897903737389494</c:v>
                </c:pt>
                <c:pt idx="11">
                  <c:v>0.8815603627368549</c:v>
                </c:pt>
                <c:pt idx="12">
                  <c:v>0.87484062708497556</c:v>
                </c:pt>
                <c:pt idx="13">
                  <c:v>0.86873599496390286</c:v>
                </c:pt>
                <c:pt idx="14">
                  <c:v>0.86317408529565187</c:v>
                </c:pt>
                <c:pt idx="15">
                  <c:v>0.85809259113583936</c:v>
                </c:pt>
                <c:pt idx="16">
                  <c:v>0.85343787131348137</c:v>
                </c:pt>
                <c:pt idx="17">
                  <c:v>0.84916365964424545</c:v>
                </c:pt>
                <c:pt idx="18">
                  <c:v>0.84522993792045253</c:v>
                </c:pt>
                <c:pt idx="19">
                  <c:v>0.84160197553171501</c:v>
                </c:pt>
                <c:pt idx="20">
                  <c:v>0.83824952116468987</c:v>
                </c:pt>
                <c:pt idx="21">
                  <c:v>0.83514612650216724</c:v>
                </c:pt>
                <c:pt idx="22">
                  <c:v>0.83226858156440675</c:v>
                </c:pt>
                <c:pt idx="23">
                  <c:v>0.82959644318508963</c:v>
                </c:pt>
                <c:pt idx="24">
                  <c:v>0.82711164063784071</c:v>
                </c:pt>
                <c:pt idx="25">
                  <c:v>0.82479814497758941</c:v>
                </c:pt>
                <c:pt idx="26">
                  <c:v>0.82264169096945594</c:v>
                </c:pt>
                <c:pt idx="27">
                  <c:v>0.82062954246290754</c:v>
                </c:pt>
                <c:pt idx="28">
                  <c:v>0.81875029372883756</c:v>
                </c:pt>
                <c:pt idx="29">
                  <c:v>0.81699370064357868</c:v>
                </c:pt>
                <c:pt idx="30">
                  <c:v>0.81535053671878033</c:v>
                </c:pt>
                <c:pt idx="31">
                  <c:v>0.81381246988166467</c:v>
                </c:pt>
                <c:pt idx="32">
                  <c:v>0.81237195664435846</c:v>
                </c:pt>
                <c:pt idx="33">
                  <c:v>0.8110221508961285</c:v>
                </c:pt>
                <c:pt idx="34">
                  <c:v>0.80975682503527047</c:v>
                </c:pt>
                <c:pt idx="35">
                  <c:v>0.80857030154998499</c:v>
                </c:pt>
                <c:pt idx="36">
                  <c:v>0.80745739347747991</c:v>
                </c:pt>
                <c:pt idx="37">
                  <c:v>0.80641335243193102</c:v>
                </c:pt>
                <c:pt idx="38">
                  <c:v>0.80543382310614586</c:v>
                </c:pt>
                <c:pt idx="39">
                  <c:v>0.8045148033278835</c:v>
                </c:pt>
                <c:pt idx="40">
                  <c:v>0.8036526088970154</c:v>
                </c:pt>
                <c:pt idx="41">
                  <c:v>0.80284384254987895</c:v>
                </c:pt>
                <c:pt idx="42">
                  <c:v>0.80208536649692608</c:v>
                </c:pt>
                <c:pt idx="43">
                  <c:v>0.80137427806283157</c:v>
                </c:pt>
                <c:pt idx="44">
                  <c:v>0.80070788802762782</c:v>
                </c:pt>
                <c:pt idx="45">
                  <c:v>0.80008370132558593</c:v>
                </c:pt>
                <c:pt idx="46">
                  <c:v>0.79949939980745621</c:v>
                </c:pt>
                <c:pt idx="47">
                  <c:v>0.79895282681290514</c:v>
                </c:pt>
                <c:pt idx="48">
                  <c:v>0.79844197333484324</c:v>
                </c:pt>
                <c:pt idx="49">
                  <c:v>0.79796496558691377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10C-4D97-A30A-6C4D35D1C968}"/>
            </c:ext>
          </c:extLst>
        </c:ser>
        <c:ser>
          <c:idx val="14"/>
          <c:order val="14"/>
          <c:tx>
            <c:strRef>
              <c:f>Delta!$B$38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Delta!$C$38:$AZ$38</c:f>
              <c:numCache>
                <c:formatCode>General</c:formatCode>
                <c:ptCount val="50"/>
                <c:pt idx="0">
                  <c:v>0.99998640314018139</c:v>
                </c:pt>
                <c:pt idx="1">
                  <c:v>0.99865188998007925</c:v>
                </c:pt>
                <c:pt idx="2">
                  <c:v>0.99337921785148087</c:v>
                </c:pt>
                <c:pt idx="3">
                  <c:v>0.98496017489321974</c:v>
                </c:pt>
                <c:pt idx="4">
                  <c:v>0.97507573833647321</c:v>
                </c:pt>
                <c:pt idx="5">
                  <c:v>0.96483221684018183</c:v>
                </c:pt>
                <c:pt idx="6">
                  <c:v>0.95481273623086027</c:v>
                </c:pt>
                <c:pt idx="7">
                  <c:v>0.94529214699556019</c:v>
                </c:pt>
                <c:pt idx="8">
                  <c:v>0.93638087415065951</c:v>
                </c:pt>
                <c:pt idx="9">
                  <c:v>0.92810491023994268</c:v>
                </c:pt>
                <c:pt idx="10">
                  <c:v>0.92044836377481254</c:v>
                </c:pt>
                <c:pt idx="11">
                  <c:v>0.91337585752270423</c:v>
                </c:pt>
                <c:pt idx="12">
                  <c:v>0.90684426475380653</c:v>
                </c:pt>
                <c:pt idx="13">
                  <c:v>0.90080878767234707</c:v>
                </c:pt>
                <c:pt idx="14">
                  <c:v>0.89522601216204511</c:v>
                </c:pt>
                <c:pt idx="15">
                  <c:v>0.89005533922078739</c:v>
                </c:pt>
                <c:pt idx="16">
                  <c:v>0.88525954704595555</c:v>
                </c:pt>
                <c:pt idx="17">
                  <c:v>0.88080489432473497</c:v>
                </c:pt>
                <c:pt idx="18">
                  <c:v>0.87666098999602649</c:v>
                </c:pt>
                <c:pt idx="19">
                  <c:v>0.87280055331254425</c:v>
                </c:pt>
                <c:pt idx="20">
                  <c:v>0.86919913182089226</c:v>
                </c:pt>
                <c:pt idx="21">
                  <c:v>0.86583481345852564</c:v>
                </c:pt>
                <c:pt idx="22">
                  <c:v>0.86268795133379672</c:v>
                </c:pt>
                <c:pt idx="23">
                  <c:v>0.85974090988039731</c:v>
                </c:pt>
                <c:pt idx="24">
                  <c:v>0.85697783560711094</c:v>
                </c:pt>
                <c:pt idx="25">
                  <c:v>0.85438445270714336</c:v>
                </c:pt>
                <c:pt idx="26">
                  <c:v>0.85194788227017393</c:v>
                </c:pt>
                <c:pt idx="27">
                  <c:v>0.84965648313433739</c:v>
                </c:pt>
                <c:pt idx="28">
                  <c:v>0.84749971216564512</c:v>
                </c:pt>
                <c:pt idx="29">
                  <c:v>0.84546800175065795</c:v>
                </c:pt>
                <c:pt idx="30">
                  <c:v>0.84355265241406552</c:v>
                </c:pt>
                <c:pt idx="31">
                  <c:v>0.84174573865705637</c:v>
                </c:pt>
                <c:pt idx="32">
                  <c:v>0.8400400263160438</c:v>
                </c:pt>
                <c:pt idx="33">
                  <c:v>0.83842889994318892</c:v>
                </c:pt>
                <c:pt idx="34">
                  <c:v>0.8369062988993492</c:v>
                </c:pt>
                <c:pt idx="35">
                  <c:v>0.83546666102169909</c:v>
                </c:pt>
                <c:pt idx="36">
                  <c:v>0.83410487288078916</c:v>
                </c:pt>
                <c:pt idx="37">
                  <c:v>0.83281622577559544</c:v>
                </c:pt>
                <c:pt idx="38">
                  <c:v>0.83159637673143105</c:v>
                </c:pt>
                <c:pt idx="39">
                  <c:v>0.83044131386615572</c:v>
                </c:pt>
                <c:pt idx="40">
                  <c:v>0.82934732557673785</c:v>
                </c:pt>
                <c:pt idx="41">
                  <c:v>0.82831097307265555</c:v>
                </c:pt>
                <c:pt idx="42">
                  <c:v>0.82732906584652122</c:v>
                </c:pt>
                <c:pt idx="43">
                  <c:v>0.82639863972712369</c:v>
                </c:pt>
                <c:pt idx="44">
                  <c:v>0.82551693720712416</c:v>
                </c:pt>
                <c:pt idx="45">
                  <c:v>0.82468138977801386</c:v>
                </c:pt>
                <c:pt idx="46">
                  <c:v>0.82388960203965023</c:v>
                </c:pt>
                <c:pt idx="47">
                  <c:v>0.823139337381526</c:v>
                </c:pt>
                <c:pt idx="48">
                  <c:v>0.82242850505864395</c:v>
                </c:pt>
                <c:pt idx="49">
                  <c:v>0.82175514850703979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10C-4D97-A30A-6C4D35D1C968}"/>
            </c:ext>
          </c:extLst>
        </c:ser>
        <c:ser>
          <c:idx val="15"/>
          <c:order val="15"/>
          <c:tx>
            <c:strRef>
              <c:f>Delta!$B$39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Delta!$C$39:$AZ$39</c:f>
              <c:numCache>
                <c:formatCode>General</c:formatCode>
                <c:ptCount val="50"/>
                <c:pt idx="0">
                  <c:v>0.99999917643923686</c:v>
                </c:pt>
                <c:pt idx="1">
                  <c:v>0.99968959215435294</c:v>
                </c:pt>
                <c:pt idx="2">
                  <c:v>0.99761170131759624</c:v>
                </c:pt>
                <c:pt idx="3">
                  <c:v>0.99319515409537595</c:v>
                </c:pt>
                <c:pt idx="4">
                  <c:v>0.987063941065492</c:v>
                </c:pt>
                <c:pt idx="5">
                  <c:v>0.97998098357938546</c:v>
                </c:pt>
                <c:pt idx="6">
                  <c:v>0.97250574341060869</c:v>
                </c:pt>
                <c:pt idx="7">
                  <c:v>0.9649914282191755</c:v>
                </c:pt>
                <c:pt idx="8">
                  <c:v>0.95764540824748623</c:v>
                </c:pt>
                <c:pt idx="9">
                  <c:v>0.95058198959185258</c:v>
                </c:pt>
                <c:pt idx="10">
                  <c:v>0.94385839476434752</c:v>
                </c:pt>
                <c:pt idx="11">
                  <c:v>0.93749754196810553</c:v>
                </c:pt>
                <c:pt idx="12">
                  <c:v>0.9315021035556853</c:v>
                </c:pt>
                <c:pt idx="13">
                  <c:v>0.92586311059898629</c:v>
                </c:pt>
                <c:pt idx="14">
                  <c:v>0.92056520501120953</c:v>
                </c:pt>
                <c:pt idx="15">
                  <c:v>0.91558983663775007</c:v>
                </c:pt>
                <c:pt idx="16">
                  <c:v>0.91091719701009333</c:v>
                </c:pt>
                <c:pt idx="17">
                  <c:v>0.90652737304469355</c:v>
                </c:pt>
                <c:pt idx="18">
                  <c:v>0.90240101732937894</c:v>
                </c:pt>
                <c:pt idx="19">
                  <c:v>0.89851971842195577</c:v>
                </c:pt>
                <c:pt idx="20">
                  <c:v>0.89486618542892538</c:v>
                </c:pt>
                <c:pt idx="21">
                  <c:v>0.89142431851722892</c:v>
                </c:pt>
                <c:pt idx="22">
                  <c:v>0.88817921050979554</c:v>
                </c:pt>
                <c:pt idx="23">
                  <c:v>0.88511710808853661</c:v>
                </c:pt>
                <c:pt idx="24">
                  <c:v>0.88222535061430718</c:v>
                </c:pt>
                <c:pt idx="25">
                  <c:v>0.87949229788090455</c:v>
                </c:pt>
                <c:pt idx="26">
                  <c:v>0.87690725383924817</c:v>
                </c:pt>
                <c:pt idx="27">
                  <c:v>0.87446039058151104</c:v>
                </c:pt>
                <c:pt idx="28">
                  <c:v>0.8721426751123591</c:v>
                </c:pt>
                <c:pt idx="29">
                  <c:v>0.86994580030636615</c:v>
                </c:pt>
                <c:pt idx="30">
                  <c:v>0.86786212073377345</c:v>
                </c:pt>
                <c:pt idx="31">
                  <c:v>0.86588459358713898</c:v>
                </c:pt>
                <c:pt idx="32">
                  <c:v>0.86400672466568595</c:v>
                </c:pt>
                <c:pt idx="33">
                  <c:v>0.8622225192113997</c:v>
                </c:pt>
                <c:pt idx="34">
                  <c:v>0.86052643730119605</c:v>
                </c:pt>
                <c:pt idx="35">
                  <c:v>0.85891335345657371</c:v>
                </c:pt>
                <c:pt idx="36">
                  <c:v>0.85737852011876825</c:v>
                </c:pt>
                <c:pt idx="37">
                  <c:v>0.85591753464221598</c:v>
                </c:pt>
                <c:pt idx="38">
                  <c:v>0.85452630947463359</c:v>
                </c:pt>
                <c:pt idx="39">
                  <c:v>0.85320104521339801</c:v>
                </c:pt>
                <c:pt idx="40">
                  <c:v>0.85193820625201755</c:v>
                </c:pt>
                <c:pt idx="41">
                  <c:v>0.85073449875535412</c:v>
                </c:pt>
                <c:pt idx="42">
                  <c:v>0.84958685072666618</c:v>
                </c:pt>
                <c:pt idx="43">
                  <c:v>0.84849239395275633</c:v>
                </c:pt>
                <c:pt idx="44">
                  <c:v>0.84744844763516447</c:v>
                </c:pt>
                <c:pt idx="45">
                  <c:v>0.84645250353524748</c:v>
                </c:pt>
                <c:pt idx="46">
                  <c:v>0.84550221247909474</c:v>
                </c:pt>
                <c:pt idx="47">
                  <c:v>0.84459537208459934</c:v>
                </c:pt>
                <c:pt idx="48">
                  <c:v>0.84372991558770938</c:v>
                </c:pt>
                <c:pt idx="49">
                  <c:v>0.8429039016580514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10C-4D97-A30A-6C4D35D1C968}"/>
            </c:ext>
          </c:extLst>
        </c:ser>
        <c:ser>
          <c:idx val="16"/>
          <c:order val="16"/>
          <c:tx>
            <c:strRef>
              <c:f>Delta!$B$40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Delta!$C$40:$AZ$40</c:f>
              <c:numCache>
                <c:formatCode>General</c:formatCode>
                <c:ptCount val="50"/>
                <c:pt idx="0">
                  <c:v>0.99999996008829672</c:v>
                </c:pt>
                <c:pt idx="1">
                  <c:v>0.99993565599706147</c:v>
                </c:pt>
                <c:pt idx="2">
                  <c:v>0.99919396953371908</c:v>
                </c:pt>
                <c:pt idx="3">
                  <c:v>0.99706463005532564</c:v>
                </c:pt>
                <c:pt idx="4">
                  <c:v>0.9935275944696309</c:v>
                </c:pt>
                <c:pt idx="5">
                  <c:v>0.98893439681623385</c:v>
                </c:pt>
                <c:pt idx="6">
                  <c:v>0.98367272820713014</c:v>
                </c:pt>
                <c:pt idx="7">
                  <c:v>0.97805296953813903</c:v>
                </c:pt>
                <c:pt idx="8">
                  <c:v>0.97229624527713165</c:v>
                </c:pt>
                <c:pt idx="9">
                  <c:v>0.96655118639654458</c:v>
                </c:pt>
                <c:pt idx="10">
                  <c:v>0.96091377292747471</c:v>
                </c:pt>
                <c:pt idx="11">
                  <c:v>0.95544350726145821</c:v>
                </c:pt>
                <c:pt idx="12">
                  <c:v>0.95017519398193306</c:v>
                </c:pt>
                <c:pt idx="13">
                  <c:v>0.94512714047457236</c:v>
                </c:pt>
                <c:pt idx="14">
                  <c:v>0.94030675572790823</c:v>
                </c:pt>
                <c:pt idx="15">
                  <c:v>0.93571434163899236</c:v>
                </c:pt>
                <c:pt idx="16">
                  <c:v>0.93134565211879805</c:v>
                </c:pt>
                <c:pt idx="17">
                  <c:v>0.92719361792621136</c:v>
                </c:pt>
                <c:pt idx="18">
                  <c:v>0.92324950724689181</c:v>
                </c:pt>
                <c:pt idx="19">
                  <c:v>0.91950370400292614</c:v>
                </c:pt>
                <c:pt idx="20">
                  <c:v>0.91594622648341406</c:v>
                </c:pt>
                <c:pt idx="21">
                  <c:v>0.9125670690951263</c:v>
                </c:pt>
                <c:pt idx="22">
                  <c:v>0.90935642339173028</c:v>
                </c:pt>
                <c:pt idx="23">
                  <c:v>0.90630481665296148</c:v>
                </c:pt>
                <c:pt idx="24">
                  <c:v>0.90340319421918036</c:v>
                </c:pt>
                <c:pt idx="25">
                  <c:v>0.90064296360236429</c:v>
                </c:pt>
                <c:pt idx="26">
                  <c:v>0.89801601281062093</c:v>
                </c:pt>
                <c:pt idx="27">
                  <c:v>0.89551471149155926</c:v>
                </c:pt>
                <c:pt idx="28">
                  <c:v>0.89313190085618699</c:v>
                </c:pt>
                <c:pt idx="29">
                  <c:v>0.89086087651205026</c:v>
                </c:pt>
                <c:pt idx="30">
                  <c:v>0.88869536705806285</c:v>
                </c:pt>
                <c:pt idx="31">
                  <c:v>0.88662951040174853</c:v>
                </c:pt>
                <c:pt idx="32">
                  <c:v>0.88465782913500135</c:v>
                </c:pt>
                <c:pt idx="33">
                  <c:v>0.88277520586634617</c:v>
                </c:pt>
                <c:pt idx="34">
                  <c:v>0.88097685910034351</c:v>
                </c:pt>
                <c:pt idx="35">
                  <c:v>0.87925832003952709</c:v>
                </c:pt>
                <c:pt idx="36">
                  <c:v>0.87761541053404946</c:v>
                </c:pt>
                <c:pt idx="37">
                  <c:v>0.87604422230002188</c:v>
                </c:pt>
                <c:pt idx="38">
                  <c:v>0.87454109745600184</c:v>
                </c:pt>
                <c:pt idx="39">
                  <c:v>0.87310261037867953</c:v>
                </c:pt>
                <c:pt idx="40">
                  <c:v>0.87172555084681502</c:v>
                </c:pt>
                <c:pt idx="41">
                  <c:v>0.87040690842206447</c:v>
                </c:pt>
                <c:pt idx="42">
                  <c:v>0.86914385800306726</c:v>
                </c:pt>
                <c:pt idx="43">
                  <c:v>0.86793374648258959</c:v>
                </c:pt>
                <c:pt idx="44">
                  <c:v>0.86677408043488025</c:v>
                </c:pt>
                <c:pt idx="45">
                  <c:v>0.86566251476041689</c:v>
                </c:pt>
                <c:pt idx="46">
                  <c:v>0.86459684221702826</c:v>
                </c:pt>
                <c:pt idx="47">
                  <c:v>0.8635749837693103</c:v>
                </c:pt>
                <c:pt idx="48">
                  <c:v>0.86259497969187304</c:v>
                </c:pt>
                <c:pt idx="49">
                  <c:v>0.86165498136593754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10C-4D97-A30A-6C4D35D1C968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555746736"/>
        <c:axId val="555743856"/>
        <c:axId val="249271712"/>
      </c:surface3DChart>
      <c:catAx>
        <c:axId val="55574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43856"/>
        <c:crosses val="autoZero"/>
        <c:auto val="1"/>
        <c:lblAlgn val="ctr"/>
        <c:lblOffset val="100"/>
        <c:noMultiLvlLbl val="0"/>
      </c:catAx>
      <c:valAx>
        <c:axId val="55574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46736"/>
        <c:crosses val="autoZero"/>
        <c:crossBetween val="midCat"/>
      </c:valAx>
      <c:serAx>
        <c:axId val="249271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4385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Delta,</a:t>
            </a:r>
            <a:r>
              <a:rPr lang="en-US" baseline="0"/>
              <a:t> vol=40%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55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Delta!$B$45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Delta!$C$45:$AZ$45</c:f>
              <c:numCache>
                <c:formatCode>General</c:formatCode>
                <c:ptCount val="50"/>
                <c:pt idx="0">
                  <c:v>3.6348798618850601E-5</c:v>
                </c:pt>
                <c:pt idx="1">
                  <c:v>2.9347952278814616E-3</c:v>
                </c:pt>
                <c:pt idx="2">
                  <c:v>1.360988181147996E-2</c:v>
                </c:pt>
                <c:pt idx="3">
                  <c:v>3.0265004057260802E-2</c:v>
                </c:pt>
                <c:pt idx="4">
                  <c:v>4.9784954467223613E-2</c:v>
                </c:pt>
                <c:pt idx="5">
                  <c:v>7.0187182774665971E-2</c:v>
                </c:pt>
                <c:pt idx="6">
                  <c:v>9.0426217613309767E-2</c:v>
                </c:pt>
                <c:pt idx="7">
                  <c:v>0.10999496331968239</c:v>
                </c:pt>
                <c:pt idx="8">
                  <c:v>0.12867223491743277</c:v>
                </c:pt>
                <c:pt idx="9">
                  <c:v>0.14638508011679635</c:v>
                </c:pt>
                <c:pt idx="10">
                  <c:v>0.16313595237605982</c:v>
                </c:pt>
                <c:pt idx="11">
                  <c:v>0.17896423964249314</c:v>
                </c:pt>
                <c:pt idx="12">
                  <c:v>0.19392586790274308</c:v>
                </c:pt>
                <c:pt idx="13">
                  <c:v>0.20808250359311675</c:v>
                </c:pt>
                <c:pt idx="14">
                  <c:v>0.22149591812442285</c:v>
                </c:pt>
                <c:pt idx="15">
                  <c:v>0.23422515725615581</c:v>
                </c:pt>
                <c:pt idx="16">
                  <c:v>0.24632524179349535</c:v>
                </c:pt>
                <c:pt idx="17">
                  <c:v>0.25784670102891127</c:v>
                </c:pt>
                <c:pt idx="18">
                  <c:v>0.26883555112730839</c:v>
                </c:pt>
                <c:pt idx="19">
                  <c:v>0.27933350159524006</c:v>
                </c:pt>
                <c:pt idx="20">
                  <c:v>0.28937826843258113</c:v>
                </c:pt>
                <c:pt idx="21">
                  <c:v>0.29900392651809304</c:v>
                </c:pt>
                <c:pt idx="22">
                  <c:v>0.30824126453022821</c:v>
                </c:pt>
                <c:pt idx="23">
                  <c:v>0.31711812329593969</c:v>
                </c:pt>
                <c:pt idx="24">
                  <c:v>0.3256597085017835</c:v>
                </c:pt>
                <c:pt idx="25">
                  <c:v>0.33388887437341552</c:v>
                </c:pt>
                <c:pt idx="26">
                  <c:v>0.34182637805914323</c:v>
                </c:pt>
                <c:pt idx="27">
                  <c:v>0.34949110610236778</c:v>
                </c:pt>
                <c:pt idx="28">
                  <c:v>0.3569002751790083</c:v>
                </c:pt>
                <c:pt idx="29">
                  <c:v>0.36406960957634826</c:v>
                </c:pt>
                <c:pt idx="30">
                  <c:v>0.37101349791624305</c:v>
                </c:pt>
                <c:pt idx="31">
                  <c:v>0.37774513150641048</c:v>
                </c:pt>
                <c:pt idx="32">
                  <c:v>0.38427662651378192</c:v>
                </c:pt>
                <c:pt idx="33">
                  <c:v>0.39061913193706671</c:v>
                </c:pt>
                <c:pt idx="34">
                  <c:v>0.39678292513624147</c:v>
                </c:pt>
                <c:pt idx="35">
                  <c:v>0.40277749646773625</c:v>
                </c:pt>
                <c:pt idx="36">
                  <c:v>0.40861162438204168</c:v>
                </c:pt>
                <c:pt idx="37">
                  <c:v>0.41429344216778757</c:v>
                </c:pt>
                <c:pt idx="38">
                  <c:v>0.41983049737330103</c:v>
                </c:pt>
                <c:pt idx="39">
                  <c:v>0.42522980480229544</c:v>
                </c:pt>
                <c:pt idx="40">
                  <c:v>0.43049789386314785</c:v>
                </c:pt>
                <c:pt idx="41">
                  <c:v>0.43564085094942484</c:v>
                </c:pt>
                <c:pt idx="42">
                  <c:v>0.44066435744113563</c:v>
                </c:pt>
                <c:pt idx="43">
                  <c:v>0.44557372383992944</c:v>
                </c:pt>
                <c:pt idx="44">
                  <c:v>0.45037392048554237</c:v>
                </c:pt>
                <c:pt idx="45">
                  <c:v>0.45506960524385925</c:v>
                </c:pt>
                <c:pt idx="46">
                  <c:v>0.45966514850773377</c:v>
                </c:pt>
                <c:pt idx="47">
                  <c:v>0.46416465580915051</c:v>
                </c:pt>
                <c:pt idx="48">
                  <c:v>0.46857198830446917</c:v>
                </c:pt>
                <c:pt idx="49">
                  <c:v>0.47289078136256424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3-4103-BA5F-253CC19E4C7A}"/>
            </c:ext>
          </c:extLst>
        </c:ser>
        <c:ser>
          <c:idx val="1"/>
          <c:order val="1"/>
          <c:tx>
            <c:strRef>
              <c:f>Delta!$B$46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Delta!$C$46:$AZ$46</c:f>
              <c:numCache>
                <c:formatCode>General</c:formatCode>
                <c:ptCount val="50"/>
                <c:pt idx="0">
                  <c:v>4.2728488546924404E-4</c:v>
                </c:pt>
                <c:pt idx="1">
                  <c:v>1.051273913450264E-2</c:v>
                </c:pt>
                <c:pt idx="2">
                  <c:v>3.2663889910136988E-2</c:v>
                </c:pt>
                <c:pt idx="3">
                  <c:v>5.9318937498893519E-2</c:v>
                </c:pt>
                <c:pt idx="4">
                  <c:v>8.6291874805857233E-2</c:v>
                </c:pt>
                <c:pt idx="5">
                  <c:v>0.11198072234702855</c:v>
                </c:pt>
                <c:pt idx="6">
                  <c:v>0.13589239512780618</c:v>
                </c:pt>
                <c:pt idx="7">
                  <c:v>0.15797175049937368</c:v>
                </c:pt>
                <c:pt idx="8">
                  <c:v>0.17832717034907883</c:v>
                </c:pt>
                <c:pt idx="9">
                  <c:v>0.19711889872301622</c:v>
                </c:pt>
                <c:pt idx="10">
                  <c:v>0.21451386883190346</c:v>
                </c:pt>
                <c:pt idx="11">
                  <c:v>0.23066826366925255</c:v>
                </c:pt>
                <c:pt idx="12">
                  <c:v>0.24572180715035019</c:v>
                </c:pt>
                <c:pt idx="13">
                  <c:v>0.2597969751822673</c:v>
                </c:pt>
                <c:pt idx="14">
                  <c:v>0.273000162439339</c:v>
                </c:pt>
                <c:pt idx="15">
                  <c:v>0.28542350457572935</c:v>
                </c:pt>
                <c:pt idx="16">
                  <c:v>0.29714679446464531</c:v>
                </c:pt>
                <c:pt idx="17">
                  <c:v>0.30823926426944614</c:v>
                </c:pt>
                <c:pt idx="18">
                  <c:v>0.31876115555360818</c:v>
                </c:pt>
                <c:pt idx="19">
                  <c:v>0.32876506603937317</c:v>
                </c:pt>
                <c:pt idx="20">
                  <c:v>0.33829708907669576</c:v>
                </c:pt>
                <c:pt idx="21">
                  <c:v>0.3473977713604377</c:v>
                </c:pt>
                <c:pt idx="22">
                  <c:v>0.35610291583533005</c:v>
                </c:pt>
                <c:pt idx="23">
                  <c:v>0.36444425474762099</c:v>
                </c:pt>
                <c:pt idx="24">
                  <c:v>0.37245001464328276</c:v>
                </c:pt>
                <c:pt idx="25">
                  <c:v>0.38014539177875106</c:v>
                </c:pt>
                <c:pt idx="26">
                  <c:v>0.38755295332611189</c:v>
                </c:pt>
                <c:pt idx="27">
                  <c:v>0.39469297706945788</c:v>
                </c:pt>
                <c:pt idx="28">
                  <c:v>0.40158374002487252</c:v>
                </c:pt>
                <c:pt idx="29">
                  <c:v>0.40824176454108435</c:v>
                </c:pt>
                <c:pt idx="30">
                  <c:v>0.41468202890007333</c:v>
                </c:pt>
                <c:pt idx="31">
                  <c:v>0.42091814818279433</c:v>
                </c:pt>
                <c:pt idx="32">
                  <c:v>0.42696253014489016</c:v>
                </c:pt>
                <c:pt idx="33">
                  <c:v>0.43282651001763006</c:v>
                </c:pt>
                <c:pt idx="34">
                  <c:v>0.43852046747417944</c:v>
                </c:pt>
                <c:pt idx="35">
                  <c:v>0.44405392845101516</c:v>
                </c:pt>
                <c:pt idx="36">
                  <c:v>0.44943565406475838</c:v>
                </c:pt>
                <c:pt idx="37">
                  <c:v>0.45467371849649713</c:v>
                </c:pt>
                <c:pt idx="38">
                  <c:v>0.45977557741321967</c:v>
                </c:pt>
                <c:pt idx="39">
                  <c:v>0.46474812824678075</c:v>
                </c:pt>
                <c:pt idx="40">
                  <c:v>0.46959776344484505</c:v>
                </c:pt>
                <c:pt idx="41">
                  <c:v>0.47433041763745992</c:v>
                </c:pt>
                <c:pt idx="42">
                  <c:v>0.47895160952082649</c:v>
                </c:pt>
                <c:pt idx="43">
                  <c:v>0.48346647914127072</c:v>
                </c:pt>
                <c:pt idx="44">
                  <c:v>0.48787982116314299</c:v>
                </c:pt>
                <c:pt idx="45">
                  <c:v>0.49219611462101098</c:v>
                </c:pt>
                <c:pt idx="46">
                  <c:v>0.49641954958627732</c:v>
                </c:pt>
                <c:pt idx="47">
                  <c:v>0.50055405111901408</c:v>
                </c:pt>
                <c:pt idx="48">
                  <c:v>0.50460330082551696</c:v>
                </c:pt>
                <c:pt idx="49">
                  <c:v>0.50857075629934234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D3-4103-BA5F-253CC19E4C7A}"/>
            </c:ext>
          </c:extLst>
        </c:ser>
        <c:ser>
          <c:idx val="2"/>
          <c:order val="2"/>
          <c:tx>
            <c:strRef>
              <c:f>Delta!$B$47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Delta!$C$47:$AZ$47</c:f>
              <c:numCache>
                <c:formatCode>General</c:formatCode>
                <c:ptCount val="50"/>
                <c:pt idx="0">
                  <c:v>2.9924113097969758E-3</c:v>
                </c:pt>
                <c:pt idx="1">
                  <c:v>2.9162282770729148E-2</c:v>
                </c:pt>
                <c:pt idx="2">
                  <c:v>6.6193749134958235E-2</c:v>
                </c:pt>
                <c:pt idx="3">
                  <c:v>0.10247416506520698</c:v>
                </c:pt>
                <c:pt idx="4">
                  <c:v>0.13524445862330023</c:v>
                </c:pt>
                <c:pt idx="5">
                  <c:v>0.16431448488991046</c:v>
                </c:pt>
                <c:pt idx="6">
                  <c:v>0.19010165873202847</c:v>
                </c:pt>
                <c:pt idx="7">
                  <c:v>0.21310592913364301</c:v>
                </c:pt>
                <c:pt idx="8">
                  <c:v>0.2337761844504363</c:v>
                </c:pt>
                <c:pt idx="9">
                  <c:v>0.25248592719738844</c:v>
                </c:pt>
                <c:pt idx="10">
                  <c:v>0.26953876271604549</c:v>
                </c:pt>
                <c:pt idx="11">
                  <c:v>0.28518036325967305</c:v>
                </c:pt>
                <c:pt idx="12">
                  <c:v>0.29961015441343708</c:v>
                </c:pt>
                <c:pt idx="13">
                  <c:v>0.3129910688249794</c:v>
                </c:pt>
                <c:pt idx="14">
                  <c:v>0.3254572611565324</c:v>
                </c:pt>
                <c:pt idx="15">
                  <c:v>0.33712009305478297</c:v>
                </c:pt>
                <c:pt idx="16">
                  <c:v>0.34807275288643552</c:v>
                </c:pt>
                <c:pt idx="17">
                  <c:v>0.35839382798203667</c:v>
                </c:pt>
                <c:pt idx="18">
                  <c:v>0.36815008104144986</c:v>
                </c:pt>
                <c:pt idx="19">
                  <c:v>0.37739862258955037</c:v>
                </c:pt>
                <c:pt idx="20">
                  <c:v>0.38618862360414741</c:v>
                </c:pt>
                <c:pt idx="21">
                  <c:v>0.39456267609286716</c:v>
                </c:pt>
                <c:pt idx="22">
                  <c:v>0.40255788231368816</c:v>
                </c:pt>
                <c:pt idx="23">
                  <c:v>0.41020673331111279</c:v>
                </c:pt>
                <c:pt idx="24">
                  <c:v>0.41753782265167289</c:v>
                </c:pt>
                <c:pt idx="25">
                  <c:v>0.42457643029079289</c:v>
                </c:pt>
                <c:pt idx="26">
                  <c:v>0.43134500335381365</c:v>
                </c:pt>
                <c:pt idx="27">
                  <c:v>0.43786355451394665</c:v>
                </c:pt>
                <c:pt idx="28">
                  <c:v>0.44414999405375627</c:v>
                </c:pt>
                <c:pt idx="29">
                  <c:v>0.45022040820989573</c:v>
                </c:pt>
                <c:pt idx="30">
                  <c:v>0.4560892937371312</c:v>
                </c:pt>
                <c:pt idx="31">
                  <c:v>0.46176975657877584</c:v>
                </c:pt>
                <c:pt idx="32">
                  <c:v>0.46727368094395511</c:v>
                </c:pt>
                <c:pt idx="33">
                  <c:v>0.47261187385525133</c:v>
                </c:pt>
                <c:pt idx="34">
                  <c:v>0.47779418925993722</c:v>
                </c:pt>
                <c:pt idx="35">
                  <c:v>0.48282963503207305</c:v>
                </c:pt>
                <c:pt idx="36">
                  <c:v>0.48772646558455635</c:v>
                </c:pt>
                <c:pt idx="37">
                  <c:v>0.49249226232453253</c:v>
                </c:pt>
                <c:pt idx="38">
                  <c:v>0.49713400379559403</c:v>
                </c:pt>
                <c:pt idx="39">
                  <c:v>0.50165812703540635</c:v>
                </c:pt>
                <c:pt idx="40">
                  <c:v>0.50607058142202777</c:v>
                </c:pt>
                <c:pt idx="41">
                  <c:v>0.51037687607400606</c:v>
                </c:pt>
                <c:pt idx="42">
                  <c:v>0.51458212169884177</c:v>
                </c:pt>
                <c:pt idx="43">
                  <c:v>0.51869106764414719</c:v>
                </c:pt>
                <c:pt idx="44">
                  <c:v>0.52270813478995759</c:v>
                </c:pt>
                <c:pt idx="45">
                  <c:v>0.52663744482452124</c:v>
                </c:pt>
                <c:pt idx="46">
                  <c:v>0.53048284636583687</c:v>
                </c:pt>
                <c:pt idx="47">
                  <c:v>0.53424793832427908</c:v>
                </c:pt>
                <c:pt idx="48">
                  <c:v>0.53793609084549021</c:v>
                </c:pt>
                <c:pt idx="49">
                  <c:v>0.54155046412543162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D3-4103-BA5F-253CC19E4C7A}"/>
            </c:ext>
          </c:extLst>
        </c:ser>
        <c:ser>
          <c:idx val="3"/>
          <c:order val="3"/>
          <c:tx>
            <c:strRef>
              <c:f>Delta!$B$48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Delta!$C$48:$AZ$48</c:f>
              <c:numCache>
                <c:formatCode>General</c:formatCode>
                <c:ptCount val="50"/>
                <c:pt idx="0">
                  <c:v>1.3791200219193302E-2</c:v>
                </c:pt>
                <c:pt idx="1">
                  <c:v>6.5832485090132453E-2</c:v>
                </c:pt>
                <c:pt idx="2">
                  <c:v>0.11705357528675224</c:v>
                </c:pt>
                <c:pt idx="3">
                  <c:v>0.15990199888113449</c:v>
                </c:pt>
                <c:pt idx="4">
                  <c:v>0.19544327877901002</c:v>
                </c:pt>
                <c:pt idx="5">
                  <c:v>0.22536287402130098</c:v>
                </c:pt>
                <c:pt idx="6">
                  <c:v>0.25099366683999813</c:v>
                </c:pt>
                <c:pt idx="7">
                  <c:v>0.27330433377669394</c:v>
                </c:pt>
                <c:pt idx="8">
                  <c:v>0.29299538112299139</c:v>
                </c:pt>
                <c:pt idx="9">
                  <c:v>0.31058064052082335</c:v>
                </c:pt>
                <c:pt idx="10">
                  <c:v>0.32644418764821215</c:v>
                </c:pt>
                <c:pt idx="11">
                  <c:v>0.34087863774100191</c:v>
                </c:pt>
                <c:pt idx="12">
                  <c:v>0.35411094888388894</c:v>
                </c:pt>
                <c:pt idx="13">
                  <c:v>0.36632004943763552</c:v>
                </c:pt>
                <c:pt idx="14">
                  <c:v>0.37764909444356476</c:v>
                </c:pt>
                <c:pt idx="15">
                  <c:v>0.38821414515192038</c:v>
                </c:pt>
                <c:pt idx="16">
                  <c:v>0.39811042566493376</c:v>
                </c:pt>
                <c:pt idx="17">
                  <c:v>0.40741690902710193</c:v>
                </c:pt>
                <c:pt idx="18">
                  <c:v>0.41619973134634747</c:v>
                </c:pt>
                <c:pt idx="19">
                  <c:v>0.42451477006807481</c:v>
                </c:pt>
                <c:pt idx="20">
                  <c:v>0.43240961684804458</c:v>
                </c:pt>
                <c:pt idx="21">
                  <c:v>0.4399251055868133</c:v>
                </c:pt>
                <c:pt idx="22">
                  <c:v>0.44709650921463712</c:v>
                </c:pt>
                <c:pt idx="23">
                  <c:v>0.45395448674063954</c:v>
                </c:pt>
                <c:pt idx="24">
                  <c:v>0.46052583984846002</c:v>
                </c:pt>
                <c:pt idx="25">
                  <c:v>0.4668341226928221</c:v>
                </c:pt>
                <c:pt idx="26">
                  <c:v>0.47290013741925119</c:v>
                </c:pt>
                <c:pt idx="27">
                  <c:v>0.47874233990006554</c:v>
                </c:pt>
                <c:pt idx="28">
                  <c:v>0.48437717432082955</c:v>
                </c:pt>
                <c:pt idx="29">
                  <c:v>0.48981935092909773</c:v>
                </c:pt>
                <c:pt idx="30">
                  <c:v>0.49508207803560694</c:v>
                </c:pt>
                <c:pt idx="31">
                  <c:v>0.50017725693353243</c:v>
                </c:pt>
                <c:pt idx="32">
                  <c:v>0.5051156465601625</c:v>
                </c:pt>
                <c:pt idx="33">
                  <c:v>0.50990700331505301</c:v>
                </c:pt>
                <c:pt idx="34">
                  <c:v>0.51456020035980077</c:v>
                </c:pt>
                <c:pt idx="35">
                  <c:v>0.51908332987737693</c:v>
                </c:pt>
                <c:pt idx="36">
                  <c:v>0.52348379110508292</c:v>
                </c:pt>
                <c:pt idx="37">
                  <c:v>0.52776836643141323</c:v>
                </c:pt>
                <c:pt idx="38">
                  <c:v>0.53194328743120745</c:v>
                </c:pt>
                <c:pt idx="39">
                  <c:v>0.53601429238119502</c:v>
                </c:pt>
                <c:pt idx="40">
                  <c:v>0.53998667653102927</c:v>
                </c:pt>
                <c:pt idx="41">
                  <c:v>0.54386533618916799</c:v>
                </c:pt>
                <c:pt idx="42">
                  <c:v>0.54765480750771012</c:v>
                </c:pt>
                <c:pt idx="43">
                  <c:v>0.55135930070724748</c:v>
                </c:pt>
                <c:pt idx="44">
                  <c:v>0.55498273036544388</c:v>
                </c:pt>
                <c:pt idx="45">
                  <c:v>0.55852874229636651</c:v>
                </c:pt>
                <c:pt idx="46">
                  <c:v>0.56200073746757617</c:v>
                </c:pt>
                <c:pt idx="47">
                  <c:v>0.56540189333548008</c:v>
                </c:pt>
                <c:pt idx="48">
                  <c:v>0.5687351829239653</c:v>
                </c:pt>
                <c:pt idx="49">
                  <c:v>0.57200339192485661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D3-4103-BA5F-253CC19E4C7A}"/>
            </c:ext>
          </c:extLst>
        </c:ser>
        <c:ser>
          <c:idx val="4"/>
          <c:order val="4"/>
          <c:tx>
            <c:strRef>
              <c:f>Delta!$B$49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Delta!$C$49:$AZ$49</c:f>
              <c:numCache>
                <c:formatCode>General</c:formatCode>
                <c:ptCount val="50"/>
                <c:pt idx="0">
                  <c:v>4.5232166826357695E-2</c:v>
                </c:pt>
                <c:pt idx="1">
                  <c:v>0.12573476660876617</c:v>
                </c:pt>
                <c:pt idx="2">
                  <c:v>0.18532172601710542</c:v>
                </c:pt>
                <c:pt idx="3">
                  <c:v>0.22972590021732603</c:v>
                </c:pt>
                <c:pt idx="4">
                  <c:v>0.26440206825440993</c:v>
                </c:pt>
                <c:pt idx="5">
                  <c:v>0.29256442982550196</c:v>
                </c:pt>
                <c:pt idx="6">
                  <c:v>0.31613993431871834</c:v>
                </c:pt>
                <c:pt idx="7">
                  <c:v>0.33634498536164692</c:v>
                </c:pt>
                <c:pt idx="8">
                  <c:v>0.35398599803509384</c:v>
                </c:pt>
                <c:pt idx="9">
                  <c:v>0.36962040571176735</c:v>
                </c:pt>
                <c:pt idx="10">
                  <c:v>0.38364727638171875</c:v>
                </c:pt>
                <c:pt idx="11">
                  <c:v>0.39636084596642496</c:v>
                </c:pt>
                <c:pt idx="12">
                  <c:v>0.40798354332467751</c:v>
                </c:pt>
                <c:pt idx="13">
                  <c:v>0.41868714769065773</c:v>
                </c:pt>
                <c:pt idx="14">
                  <c:v>0.42860679551102504</c:v>
                </c:pt>
                <c:pt idx="15">
                  <c:v>0.43785052263626045</c:v>
                </c:pt>
                <c:pt idx="16">
                  <c:v>0.4465059301532594</c:v>
                </c:pt>
                <c:pt idx="17">
                  <c:v>0.45464494511975417</c:v>
                </c:pt>
                <c:pt idx="18">
                  <c:v>0.4623272881378962</c:v>
                </c:pt>
                <c:pt idx="19">
                  <c:v>0.4696030437194853</c:v>
                </c:pt>
                <c:pt idx="20">
                  <c:v>0.47651459582703398</c:v>
                </c:pt>
                <c:pt idx="21">
                  <c:v>0.48309810623486343</c:v>
                </c:pt>
                <c:pt idx="22">
                  <c:v>0.48938465833691452</c:v>
                </c:pt>
                <c:pt idx="23">
                  <c:v>0.4954011525523136</c:v>
                </c:pt>
                <c:pt idx="24">
                  <c:v>0.50117101483206639</c:v>
                </c:pt>
                <c:pt idx="25">
                  <c:v>0.50671476282286954</c:v>
                </c:pt>
                <c:pt idx="26">
                  <c:v>0.51205046240397722</c:v>
                </c:pt>
                <c:pt idx="27">
                  <c:v>0.51719409891900581</c:v>
                </c:pt>
                <c:pt idx="28">
                  <c:v>0.52215988139250236</c:v>
                </c:pt>
                <c:pt idx="29">
                  <c:v>0.52696049363181263</c:v>
                </c:pt>
                <c:pt idx="30">
                  <c:v>0.53160730288355651</c:v>
                </c:pt>
                <c:pt idx="31">
                  <c:v>0.53611053430946942</c:v>
                </c:pt>
                <c:pt idx="32">
                  <c:v>0.5404794177388812</c:v>
                </c:pt>
                <c:pt idx="33">
                  <c:v>0.5447223117835619</c:v>
                </c:pt>
                <c:pt idx="34">
                  <c:v>0.54884680935070751</c:v>
                </c:pt>
                <c:pt idx="35">
                  <c:v>0.55285982777936749</c:v>
                </c:pt>
                <c:pt idx="36">
                  <c:v>0.55676768619512962</c:v>
                </c:pt>
                <c:pt idx="37">
                  <c:v>0.5605761721837792</c:v>
                </c:pt>
                <c:pt idx="38">
                  <c:v>0.56429059949475369</c:v>
                </c:pt>
                <c:pt idx="39">
                  <c:v>0.56791585817552204</c:v>
                </c:pt>
                <c:pt idx="40">
                  <c:v>0.57145645829049585</c:v>
                </c:pt>
                <c:pt idx="41">
                  <c:v>0.57491656817909398</c:v>
                </c:pt>
                <c:pt idx="42">
                  <c:v>0.57830004804670487</c:v>
                </c:pt>
                <c:pt idx="43">
                  <c:v>0.5816104795515471</c:v>
                </c:pt>
                <c:pt idx="44">
                  <c:v>0.58485119194362345</c:v>
                </c:pt>
                <c:pt idx="45">
                  <c:v>0.58802528522430353</c:v>
                </c:pt>
                <c:pt idx="46">
                  <c:v>0.59113565072278729</c:v>
                </c:pt>
                <c:pt idx="47">
                  <c:v>0.5941849894258322</c:v>
                </c:pt>
                <c:pt idx="48">
                  <c:v>0.59717582834734784</c:v>
                </c:pt>
                <c:pt idx="49">
                  <c:v>0.60011053518287927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D3-4103-BA5F-253CC19E4C7A}"/>
            </c:ext>
          </c:extLst>
        </c:ser>
        <c:ser>
          <c:idx val="5"/>
          <c:order val="5"/>
          <c:tx>
            <c:strRef>
              <c:f>Delta!$B$50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Delta!$C$50:$AZ$50</c:f>
              <c:numCache>
                <c:formatCode>General</c:formatCode>
                <c:ptCount val="50"/>
                <c:pt idx="0">
                  <c:v>0.11243617506121638</c:v>
                </c:pt>
                <c:pt idx="1">
                  <c:v>0.2095782853157486</c:v>
                </c:pt>
                <c:pt idx="2">
                  <c:v>0.26810429772510852</c:v>
                </c:pt>
                <c:pt idx="3">
                  <c:v>0.30849881949673674</c:v>
                </c:pt>
                <c:pt idx="4">
                  <c:v>0.33889082669355786</c:v>
                </c:pt>
                <c:pt idx="5">
                  <c:v>0.36307804213620654</c:v>
                </c:pt>
                <c:pt idx="6">
                  <c:v>0.38309214483647591</c:v>
                </c:pt>
                <c:pt idx="7">
                  <c:v>0.4001309771418155</c:v>
                </c:pt>
                <c:pt idx="8">
                  <c:v>0.41495334564628428</c:v>
                </c:pt>
                <c:pt idx="9">
                  <c:v>0.42806710328227227</c:v>
                </c:pt>
                <c:pt idx="10">
                  <c:v>0.43982721269800579</c:v>
                </c:pt>
                <c:pt idx="11">
                  <c:v>0.4504906312174804</c:v>
                </c:pt>
                <c:pt idx="12">
                  <c:v>0.4602488327175141</c:v>
                </c:pt>
                <c:pt idx="13">
                  <c:v>0.46924800313645465</c:v>
                </c:pt>
                <c:pt idx="14">
                  <c:v>0.47760208281747407</c:v>
                </c:pt>
                <c:pt idx="15">
                  <c:v>0.48540147415917123</c:v>
                </c:pt>
                <c:pt idx="16">
                  <c:v>0.49271902378784854</c:v>
                </c:pt>
                <c:pt idx="17">
                  <c:v>0.49961423563029866</c:v>
                </c:pt>
                <c:pt idx="18">
                  <c:v>0.50613630335864257</c:v>
                </c:pt>
                <c:pt idx="19">
                  <c:v>0.51232633546348627</c:v>
                </c:pt>
                <c:pt idx="20">
                  <c:v>0.51821901613051369</c:v>
                </c:pt>
                <c:pt idx="21">
                  <c:v>0.52384386416404083</c:v>
                </c:pt>
                <c:pt idx="22">
                  <c:v>0.52922620053420411</c:v>
                </c:pt>
                <c:pt idx="23">
                  <c:v>0.53438790136939418</c:v>
                </c:pt>
                <c:pt idx="24">
                  <c:v>0.53934799069841521</c:v>
                </c:pt>
                <c:pt idx="25">
                  <c:v>0.54412311193988194</c:v>
                </c:pt>
                <c:pt idx="26">
                  <c:v>0.54872790655031389</c:v>
                </c:pt>
                <c:pt idx="27">
                  <c:v>0.55317532080514553</c:v>
                </c:pt>
                <c:pt idx="28">
                  <c:v>0.55747685638581812</c:v>
                </c:pt>
                <c:pt idx="29">
                  <c:v>0.56164277661704709</c:v>
                </c:pt>
                <c:pt idx="30">
                  <c:v>0.5656822773982908</c:v>
                </c:pt>
                <c:pt idx="31">
                  <c:v>0.56960362980235024</c:v>
                </c:pt>
                <c:pt idx="32">
                  <c:v>0.57341429976579006</c:v>
                </c:pt>
                <c:pt idx="33">
                  <c:v>0.57712104912697981</c:v>
                </c:pt>
                <c:pt idx="34">
                  <c:v>0.58073002137687157</c:v>
                </c:pt>
                <c:pt idx="35">
                  <c:v>0.58424681480303509</c:v>
                </c:pt>
                <c:pt idx="36">
                  <c:v>0.58767654517698897</c:v>
                </c:pt>
                <c:pt idx="37">
                  <c:v>0.59102389972064651</c:v>
                </c:pt>
                <c:pt idx="38">
                  <c:v>0.59429318376191809</c:v>
                </c:pt>
                <c:pt idx="39">
                  <c:v>0.59748836123155791</c:v>
                </c:pt>
                <c:pt idx="40">
                  <c:v>0.60061308994775553</c:v>
                </c:pt>
                <c:pt idx="41">
                  <c:v>0.60367075247014479</c:v>
                </c:pt>
                <c:pt idx="42">
                  <c:v>0.60666448317196797</c:v>
                </c:pt>
                <c:pt idx="43">
                  <c:v>0.60959719207134611</c:v>
                </c:pt>
                <c:pt idx="44">
                  <c:v>0.61247158587474571</c:v>
                </c:pt>
                <c:pt idx="45">
                  <c:v>0.61529018661376234</c:v>
                </c:pt>
                <c:pt idx="46">
                  <c:v>0.61805534819710672</c:v>
                </c:pt>
                <c:pt idx="47">
                  <c:v>0.62076927115070513</c:v>
                </c:pt>
                <c:pt idx="48">
                  <c:v>0.62343401577816748</c:v>
                </c:pt>
                <c:pt idx="49">
                  <c:v>0.62605151393996661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D3-4103-BA5F-253CC19E4C7A}"/>
            </c:ext>
          </c:extLst>
        </c:ser>
        <c:ser>
          <c:idx val="6"/>
          <c:order val="6"/>
          <c:tx>
            <c:strRef>
              <c:f>Delta!$B$51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Delta!$C$51:$AZ$51</c:f>
              <c:numCache>
                <c:formatCode>General</c:formatCode>
                <c:ptCount val="50"/>
                <c:pt idx="0">
                  <c:v>0.22309065574114884</c:v>
                </c:pt>
                <c:pt idx="1">
                  <c:v>0.31264738900926425</c:v>
                </c:pt>
                <c:pt idx="2">
                  <c:v>0.36029694556710035</c:v>
                </c:pt>
                <c:pt idx="3">
                  <c:v>0.39197641006635819</c:v>
                </c:pt>
                <c:pt idx="4">
                  <c:v>0.41550489713399108</c:v>
                </c:pt>
                <c:pt idx="5">
                  <c:v>0.43417080716206979</c:v>
                </c:pt>
                <c:pt idx="6">
                  <c:v>0.44963789751983563</c:v>
                </c:pt>
                <c:pt idx="7">
                  <c:v>0.46285427356997333</c:v>
                </c:pt>
                <c:pt idx="8">
                  <c:v>0.47440724227051817</c:v>
                </c:pt>
                <c:pt idx="9">
                  <c:v>0.48468386657648194</c:v>
                </c:pt>
                <c:pt idx="10">
                  <c:v>0.49395175437327304</c:v>
                </c:pt>
                <c:pt idx="11">
                  <c:v>0.50240312252979091</c:v>
                </c:pt>
                <c:pt idx="12">
                  <c:v>0.51018040359494143</c:v>
                </c:pt>
                <c:pt idx="13">
                  <c:v>0.51739190941314617</c:v>
                </c:pt>
                <c:pt idx="14">
                  <c:v>0.52412182729800927</c:v>
                </c:pt>
                <c:pt idx="15">
                  <c:v>0.53043683079550608</c:v>
                </c:pt>
                <c:pt idx="16">
                  <c:v>0.53639058652758587</c:v>
                </c:pt>
                <c:pt idx="17">
                  <c:v>0.54202690843046319</c:v>
                </c:pt>
                <c:pt idx="18">
                  <c:v>0.547382016482162</c:v>
                </c:pt>
                <c:pt idx="19">
                  <c:v>0.55248618710535036</c:v>
                </c:pt>
                <c:pt idx="20">
                  <c:v>0.55736498084718145</c:v>
                </c:pt>
                <c:pt idx="21">
                  <c:v>0.56204017032076969</c:v>
                </c:pt>
                <c:pt idx="22">
                  <c:v>0.5665304517364752</c:v>
                </c:pt>
                <c:pt idx="23">
                  <c:v>0.57085199762144978</c:v>
                </c:pt>
                <c:pt idx="24">
                  <c:v>0.57501889126529915</c:v>
                </c:pt>
                <c:pt idx="25">
                  <c:v>0.57904347189293048</c:v>
                </c:pt>
                <c:pt idx="26">
                  <c:v>0.5829366116237078</c:v>
                </c:pt>
                <c:pt idx="27">
                  <c:v>0.58670793971901714</c:v>
                </c:pt>
                <c:pt idx="28">
                  <c:v>0.59036602567358543</c:v>
                </c:pt>
                <c:pt idx="29">
                  <c:v>0.59391852986404525</c:v>
                </c:pt>
                <c:pt idx="30">
                  <c:v>0.59737232839587873</c:v>
                </c:pt>
                <c:pt idx="31">
                  <c:v>0.60073361726080055</c:v>
                </c:pt>
                <c:pt idx="32">
                  <c:v>0.60400799977607811</c:v>
                </c:pt>
                <c:pt idx="33">
                  <c:v>0.60720056041783987</c:v>
                </c:pt>
                <c:pt idx="34">
                  <c:v>0.6103159275066381</c:v>
                </c:pt>
                <c:pt idx="35">
                  <c:v>0.61335832670177981</c:v>
                </c:pt>
                <c:pt idx="36">
                  <c:v>0.61633162687263843</c:v>
                </c:pt>
                <c:pt idx="37">
                  <c:v>0.6192393796123129</c:v>
                </c:pt>
                <c:pt idx="38">
                  <c:v>0.62208485342105968</c:v>
                </c:pt>
                <c:pt idx="39">
                  <c:v>0.6248710633986635</c:v>
                </c:pt>
                <c:pt idx="40">
                  <c:v>0.62760079713500816</c:v>
                </c:pt>
                <c:pt idx="41">
                  <c:v>0.63027663736797446</c:v>
                </c:pt>
                <c:pt idx="42">
                  <c:v>0.6329009818809721</c:v>
                </c:pt>
                <c:pt idx="43">
                  <c:v>0.63547606103393273</c:v>
                </c:pt>
                <c:pt idx="44">
                  <c:v>0.63800395325764914</c:v>
                </c:pt>
                <c:pt idx="45">
                  <c:v>0.64048659878897385</c:v>
                </c:pt>
                <c:pt idx="46">
                  <c:v>0.64292581188130338</c:v>
                </c:pt>
                <c:pt idx="47">
                  <c:v>0.6453232916891507</c:v>
                </c:pt>
                <c:pt idx="48">
                  <c:v>0.64768063199603654</c:v>
                </c:pt>
                <c:pt idx="49">
                  <c:v>0.64999932993026976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D3-4103-BA5F-253CC19E4C7A}"/>
            </c:ext>
          </c:extLst>
        </c:ser>
        <c:ser>
          <c:idx val="7"/>
          <c:order val="7"/>
          <c:tx>
            <c:strRef>
              <c:f>Delta!$B$52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Delta!$C$52:$AZ$52</c:f>
              <c:numCache>
                <c:formatCode>General</c:formatCode>
                <c:ptCount val="50"/>
                <c:pt idx="0">
                  <c:v>0.3690547708387194</c:v>
                </c:pt>
                <c:pt idx="1">
                  <c:v>0.42617722149121895</c:v>
                </c:pt>
                <c:pt idx="2">
                  <c:v>0.4558544795480643</c:v>
                </c:pt>
                <c:pt idx="3">
                  <c:v>0.47589780066988158</c:v>
                </c:pt>
                <c:pt idx="4">
                  <c:v>0.4911242045127357</c:v>
                </c:pt>
                <c:pt idx="5">
                  <c:v>0.50348505750802586</c:v>
                </c:pt>
                <c:pt idx="6">
                  <c:v>0.51395234445237192</c:v>
                </c:pt>
                <c:pt idx="7">
                  <c:v>0.52307669879380081</c:v>
                </c:pt>
                <c:pt idx="8">
                  <c:v>0.53119894479835106</c:v>
                </c:pt>
                <c:pt idx="9">
                  <c:v>0.53854419075348625</c:v>
                </c:pt>
                <c:pt idx="10">
                  <c:v>0.54526869329803718</c:v>
                </c:pt>
                <c:pt idx="11">
                  <c:v>0.55148526450238888</c:v>
                </c:pt>
                <c:pt idx="12">
                  <c:v>0.55727798836580722</c:v>
                </c:pt>
                <c:pt idx="13">
                  <c:v>0.56271121064090002</c:v>
                </c:pt>
                <c:pt idx="14">
                  <c:v>0.56783527592126681</c:v>
                </c:pt>
                <c:pt idx="15">
                  <c:v>0.57269032550478327</c:v>
                </c:pt>
                <c:pt idx="16">
                  <c:v>0.57730889104572092</c:v>
                </c:pt>
                <c:pt idx="17">
                  <c:v>0.58171771395402005</c:v>
                </c:pt>
                <c:pt idx="18">
                  <c:v>0.58593905179691852</c:v>
                </c:pt>
                <c:pt idx="19">
                  <c:v>0.58999163576649438</c:v>
                </c:pt>
                <c:pt idx="20">
                  <c:v>0.59389138525736551</c:v>
                </c:pt>
                <c:pt idx="21">
                  <c:v>0.59765194986601289</c:v>
                </c:pt>
                <c:pt idx="22">
                  <c:v>0.60128512649989996</c:v>
                </c:pt>
                <c:pt idx="23">
                  <c:v>0.60480118460403898</c:v>
                </c:pt>
                <c:pt idx="24">
                  <c:v>0.60820912277336259</c:v>
                </c:pt>
                <c:pt idx="25">
                  <c:v>0.61151687342782668</c:v>
                </c:pt>
                <c:pt idx="26">
                  <c:v>0.61473146768465403</c:v>
                </c:pt>
                <c:pt idx="27">
                  <c:v>0.617859169379533</c:v>
                </c:pt>
                <c:pt idx="28">
                  <c:v>0.62090558492483205</c:v>
                </c:pt>
                <c:pt idx="29">
                  <c:v>0.6238757540601797</c:v>
                </c:pt>
                <c:pt idx="30">
                  <c:v>0.62677422535801997</c:v>
                </c:pt>
                <c:pt idx="31">
                  <c:v>0.62960511946502495</c:v>
                </c:pt>
                <c:pt idx="32">
                  <c:v>0.63237218240123627</c:v>
                </c:pt>
                <c:pt idx="33">
                  <c:v>0.63507883074119742</c:v>
                </c:pt>
                <c:pt idx="34">
                  <c:v>0.63772819012198667</c:v>
                </c:pt>
                <c:pt idx="35">
                  <c:v>0.64032312823128867</c:v>
                </c:pt>
                <c:pt idx="36">
                  <c:v>0.64286628320232841</c:v>
                </c:pt>
                <c:pt idx="37">
                  <c:v>0.64536008816558321</c:v>
                </c:pt>
                <c:pt idx="38">
                  <c:v>0.64780679256786677</c:v>
                </c:pt>
                <c:pt idx="39">
                  <c:v>0.65020848075889248</c:v>
                </c:pt>
                <c:pt idx="40">
                  <c:v>0.65256708825723053</c:v>
                </c:pt>
                <c:pt idx="41">
                  <c:v>0.65488441603673553</c:v>
                </c:pt>
                <c:pt idx="42">
                  <c:v>0.65716214311728105</c:v>
                </c:pt>
                <c:pt idx="43">
                  <c:v>0.65940183769714</c:v>
                </c:pt>
                <c:pt idx="44">
                  <c:v>0.6616049670263624</c:v>
                </c:pt>
                <c:pt idx="45">
                  <c:v>0.66377290618932328</c:v>
                </c:pt>
                <c:pt idx="46">
                  <c:v>0.66590694593888844</c:v>
                </c:pt>
                <c:pt idx="47">
                  <c:v>0.66800829970333764</c:v>
                </c:pt>
                <c:pt idx="48">
                  <c:v>0.67007810986943939</c:v>
                </c:pt>
                <c:pt idx="49">
                  <c:v>0.67211745343025231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8D3-4103-BA5F-253CC19E4C7A}"/>
            </c:ext>
          </c:extLst>
        </c:ser>
        <c:ser>
          <c:idx val="8"/>
          <c:order val="8"/>
          <c:tx>
            <c:strRef>
              <c:f>Delta!$B$53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Delta!$C$53:$AZ$53</c:f>
              <c:numCache>
                <c:formatCode>General</c:formatCode>
                <c:ptCount val="50"/>
                <c:pt idx="0">
                  <c:v>0.52836130900185174</c:v>
                </c:pt>
                <c:pt idx="1">
                  <c:v>0.54007515440860199</c:v>
                </c:pt>
                <c:pt idx="2">
                  <c:v>0.54904051427844991</c:v>
                </c:pt>
                <c:pt idx="3">
                  <c:v>0.55657946195545982</c:v>
                </c:pt>
                <c:pt idx="4">
                  <c:v>0.56320457211528641</c:v>
                </c:pt>
                <c:pt idx="5">
                  <c:v>0.56917896198055495</c:v>
                </c:pt>
                <c:pt idx="6">
                  <c:v>0.57465907506793834</c:v>
                </c:pt>
                <c:pt idx="7">
                  <c:v>0.57974693392650745</c:v>
                </c:pt>
                <c:pt idx="8">
                  <c:v>0.58451346694099515</c:v>
                </c:pt>
                <c:pt idx="9">
                  <c:v>0.58901036286872965</c:v>
                </c:pt>
                <c:pt idx="10">
                  <c:v>0.59327667759883407</c:v>
                </c:pt>
                <c:pt idx="11">
                  <c:v>0.59734278103568972</c:v>
                </c:pt>
                <c:pt idx="12">
                  <c:v>0.60123284664154708</c:v>
                </c:pt>
                <c:pt idx="13">
                  <c:v>0.60496649199295116</c:v>
                </c:pt>
                <c:pt idx="14">
                  <c:v>0.60855989955510725</c:v>
                </c:pt>
                <c:pt idx="15">
                  <c:v>0.6120266058609285</c:v>
                </c:pt>
                <c:pt idx="16">
                  <c:v>0.61537807168890857</c:v>
                </c:pt>
                <c:pt idx="17">
                  <c:v>0.61862410325459449</c:v>
                </c:pt>
                <c:pt idx="18">
                  <c:v>0.62177316941688865</c:v>
                </c:pt>
                <c:pt idx="19">
                  <c:v>0.62483264466500554</c:v>
                </c:pt>
                <c:pt idx="20">
                  <c:v>0.62780899807570822</c:v>
                </c:pt>
                <c:pt idx="21">
                  <c:v>0.6307079422427182</c:v>
                </c:pt>
                <c:pt idx="22">
                  <c:v>0.63353455208287435</c:v>
                </c:pt>
                <c:pt idx="23">
                  <c:v>0.6362933606506207</c:v>
                </c:pt>
                <c:pt idx="24">
                  <c:v>0.63898843717850951</c:v>
                </c:pt>
                <c:pt idx="25">
                  <c:v>0.64162345121685915</c:v>
                </c:pt>
                <c:pt idx="26">
                  <c:v>0.64420172578582313</c:v>
                </c:pt>
                <c:pt idx="27">
                  <c:v>0.64672628175773994</c:v>
                </c:pt>
                <c:pt idx="28">
                  <c:v>0.64919987517704203</c:v>
                </c:pt>
                <c:pt idx="29">
                  <c:v>0.65162502884545082</c:v>
                </c:pt>
                <c:pt idx="30">
                  <c:v>0.65400405921480276</c:v>
                </c:pt>
                <c:pt idx="31">
                  <c:v>0.65633909941300272</c:v>
                </c:pt>
                <c:pt idx="32">
                  <c:v>0.65863211906221009</c:v>
                </c:pt>
                <c:pt idx="33">
                  <c:v>0.66088494141951859</c:v>
                </c:pt>
                <c:pt idx="34">
                  <c:v>0.66309925826977012</c:v>
                </c:pt>
                <c:pt idx="35">
                  <c:v>0.66527664292093025</c:v>
                </c:pt>
                <c:pt idx="36">
                  <c:v>0.66741856158964397</c:v>
                </c:pt>
                <c:pt idx="37">
                  <c:v>0.6695263834144114</c:v>
                </c:pt>
                <c:pt idx="38">
                  <c:v>0.67160138929350044</c:v>
                </c:pt>
                <c:pt idx="39">
                  <c:v>0.67364477971208003</c:v>
                </c:pt>
                <c:pt idx="40">
                  <c:v>0.67565768169651563</c:v>
                </c:pt>
                <c:pt idx="41">
                  <c:v>0.67764115501204425</c:v>
                </c:pt>
                <c:pt idx="42">
                  <c:v>0.67959619770217961</c:v>
                </c:pt>
                <c:pt idx="43">
                  <c:v>0.68152375105343233</c:v>
                </c:pt>
                <c:pt idx="44">
                  <c:v>0.68342470405665567</c:v>
                </c:pt>
                <c:pt idx="45">
                  <c:v>0.6852998974261012</c:v>
                </c:pt>
                <c:pt idx="46">
                  <c:v>0.6871501272286864</c:v>
                </c:pt>
                <c:pt idx="47">
                  <c:v>0.68897614816876274</c:v>
                </c:pt>
                <c:pt idx="48">
                  <c:v>0.69077867656758185</c:v>
                </c:pt>
                <c:pt idx="49">
                  <c:v>0.69255839307148281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D3-4103-BA5F-253CC19E4C7A}"/>
            </c:ext>
          </c:extLst>
        </c:ser>
        <c:ser>
          <c:idx val="9"/>
          <c:order val="9"/>
          <c:tx>
            <c:strRef>
              <c:f>Delta!$B$54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Delta!$C$54:$AZ$54</c:f>
              <c:numCache>
                <c:formatCode>General</c:formatCode>
                <c:ptCount val="50"/>
                <c:pt idx="0">
                  <c:v>0.67611824571104273</c:v>
                </c:pt>
                <c:pt idx="1">
                  <c:v>0.64556285071940933</c:v>
                </c:pt>
                <c:pt idx="2">
                  <c:v>0.63530353683739615</c:v>
                </c:pt>
                <c:pt idx="3">
                  <c:v>0.63124876563153487</c:v>
                </c:pt>
                <c:pt idx="4">
                  <c:v>0.62990370035210641</c:v>
                </c:pt>
                <c:pt idx="5">
                  <c:v>0.62996242441975325</c:v>
                </c:pt>
                <c:pt idx="6">
                  <c:v>0.63082418297129694</c:v>
                </c:pt>
                <c:pt idx="7">
                  <c:v>0.63217475322688765</c:v>
                </c:pt>
                <c:pt idx="8">
                  <c:v>0.63383475624841346</c:v>
                </c:pt>
                <c:pt idx="9">
                  <c:v>0.63569510392185968</c:v>
                </c:pt>
                <c:pt idx="10">
                  <c:v>0.63768622515091133</c:v>
                </c:pt>
                <c:pt idx="11">
                  <c:v>0.63976209537161788</c:v>
                </c:pt>
                <c:pt idx="12">
                  <c:v>0.64189138229991727</c:v>
                </c:pt>
                <c:pt idx="13">
                  <c:v>0.64405227007829391</c:v>
                </c:pt>
                <c:pt idx="14">
                  <c:v>0.64622929949243746</c:v>
                </c:pt>
                <c:pt idx="15">
                  <c:v>0.64841136787189346</c:v>
                </c:pt>
                <c:pt idx="16">
                  <c:v>0.65059042368569309</c:v>
                </c:pt>
                <c:pt idx="17">
                  <c:v>0.6527605919168209</c:v>
                </c:pt>
                <c:pt idx="18">
                  <c:v>0.6549175746346424</c:v>
                </c:pt>
                <c:pt idx="19">
                  <c:v>0.65705823198940361</c:v>
                </c:pt>
                <c:pt idx="20">
                  <c:v>0.65918028421389419</c:v>
                </c:pt>
                <c:pt idx="21">
                  <c:v>0.66128209643149849</c:v>
                </c:pt>
                <c:pt idx="22">
                  <c:v>0.66336252115193817</c:v>
                </c:pt>
                <c:pt idx="23">
                  <c:v>0.66542078160343643</c:v>
                </c:pt>
                <c:pt idx="24">
                  <c:v>0.6674563843907737</c:v>
                </c:pt>
                <c:pt idx="25">
                  <c:v>0.66946905348778174</c:v>
                </c:pt>
                <c:pt idx="26">
                  <c:v>0.67145867993353181</c:v>
                </c:pt>
                <c:pt idx="27">
                  <c:v>0.67342528321114214</c:v>
                </c:pt>
                <c:pt idx="28">
                  <c:v>0.67536898140218171</c:v>
                </c:pt>
                <c:pt idx="29">
                  <c:v>0.67728996799127406</c:v>
                </c:pt>
                <c:pt idx="30">
                  <c:v>0.67918849375083457</c:v>
                </c:pt>
                <c:pt idx="31">
                  <c:v>0.68106485253502125</c:v>
                </c:pt>
                <c:pt idx="32">
                  <c:v>0.68291937010195569</c:v>
                </c:pt>
                <c:pt idx="33">
                  <c:v>0.68475239529604037</c:v>
                </c:pt>
                <c:pt idx="34">
                  <c:v>0.6865642930797613</c:v>
                </c:pt>
                <c:pt idx="35">
                  <c:v>0.68835543902205276</c:v>
                </c:pt>
                <c:pt idx="36">
                  <c:v>0.6901262149389128</c:v>
                </c:pt>
                <c:pt idx="37">
                  <c:v>0.69187700544917163</c:v>
                </c:pt>
                <c:pt idx="38">
                  <c:v>0.69360819525966311</c:v>
                </c:pt>
                <c:pt idx="39">
                  <c:v>0.69532016703352617</c:v>
                </c:pt>
                <c:pt idx="40">
                  <c:v>0.69701329972590598</c:v>
                </c:pt>
                <c:pt idx="41">
                  <c:v>0.69868796729508709</c:v>
                </c:pt>
                <c:pt idx="42">
                  <c:v>0.70034453771567862</c:v>
                </c:pt>
                <c:pt idx="43">
                  <c:v>0.70198337223508567</c:v>
                </c:pt>
                <c:pt idx="44">
                  <c:v>0.70360482482604902</c:v>
                </c:pt>
                <c:pt idx="45">
                  <c:v>0.70520924179719002</c:v>
                </c:pt>
                <c:pt idx="46">
                  <c:v>0.70679696153080096</c:v>
                </c:pt>
                <c:pt idx="47">
                  <c:v>0.70836831432295611</c:v>
                </c:pt>
                <c:pt idx="48">
                  <c:v>0.70992362230570483</c:v>
                </c:pt>
                <c:pt idx="49">
                  <c:v>0.71146319943488745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8D3-4103-BA5F-253CC19E4C7A}"/>
            </c:ext>
          </c:extLst>
        </c:ser>
        <c:ser>
          <c:idx val="10"/>
          <c:order val="10"/>
          <c:tx>
            <c:strRef>
              <c:f>Delta!$B$55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Delta!$C$55:$AZ$55</c:f>
              <c:numCache>
                <c:formatCode>General</c:formatCode>
                <c:ptCount val="50"/>
                <c:pt idx="0">
                  <c:v>0.79521324074085409</c:v>
                </c:pt>
                <c:pt idx="1">
                  <c:v>0.73677132806161283</c:v>
                </c:pt>
                <c:pt idx="2">
                  <c:v>0.71166897498697956</c:v>
                </c:pt>
                <c:pt idx="3">
                  <c:v>0.69813673514819785</c:v>
                </c:pt>
                <c:pt idx="4">
                  <c:v>0.69007798097999373</c:v>
                </c:pt>
                <c:pt idx="5">
                  <c:v>0.68506027549519866</c:v>
                </c:pt>
                <c:pt idx="6">
                  <c:v>0.68190844250350346</c:v>
                </c:pt>
                <c:pt idx="7">
                  <c:v>0.67998117873921649</c:v>
                </c:pt>
                <c:pt idx="8">
                  <c:v>0.67889752276808935</c:v>
                </c:pt>
                <c:pt idx="9">
                  <c:v>0.67841652953561393</c:v>
                </c:pt>
                <c:pt idx="10">
                  <c:v>0.67837828152097746</c:v>
                </c:pt>
                <c:pt idx="11">
                  <c:v>0.67867250258230838</c:v>
                </c:pt>
                <c:pt idx="12">
                  <c:v>0.67922075051936703</c:v>
                </c:pt>
                <c:pt idx="13">
                  <c:v>0.67996577625121424</c:v>
                </c:pt>
                <c:pt idx="14">
                  <c:v>0.68086488764682573</c:v>
                </c:pt>
                <c:pt idx="15">
                  <c:v>0.68188565960518654</c:v>
                </c:pt>
                <c:pt idx="16">
                  <c:v>0.68300307474996325</c:v>
                </c:pt>
                <c:pt idx="17">
                  <c:v>0.68419756673834808</c:v>
                </c:pt>
                <c:pt idx="18">
                  <c:v>0.68545365013733406</c:v>
                </c:pt>
                <c:pt idx="19">
                  <c:v>0.68675894146125127</c:v>
                </c:pt>
                <c:pt idx="20">
                  <c:v>0.68810344707336035</c:v>
                </c:pt>
                <c:pt idx="21">
                  <c:v>0.68947903687552947</c:v>
                </c:pt>
                <c:pt idx="22">
                  <c:v>0.6908790497056867</c:v>
                </c:pt>
                <c:pt idx="23">
                  <c:v>0.69229799363884914</c:v>
                </c:pt>
                <c:pt idx="24">
                  <c:v>0.69373131568757618</c:v>
                </c:pt>
                <c:pt idx="25">
                  <c:v>0.69517522293611245</c:v>
                </c:pt>
                <c:pt idx="26">
                  <c:v>0.69662654226236631</c:v>
                </c:pt>
                <c:pt idx="27">
                  <c:v>0.69808260933640931</c:v>
                </c:pt>
                <c:pt idx="28">
                  <c:v>0.6995411800610698</c:v>
                </c:pt>
                <c:pt idx="29">
                  <c:v>0.70100035937994698</c:v>
                </c:pt>
                <c:pt idx="30">
                  <c:v>0.70245854364440063</c:v>
                </c:pt>
                <c:pt idx="31">
                  <c:v>0.70391437365293852</c:v>
                </c:pt>
                <c:pt idx="32">
                  <c:v>0.70536669615494385</c:v>
                </c:pt>
                <c:pt idx="33">
                  <c:v>0.70681453211518752</c:v>
                </c:pt>
                <c:pt idx="34">
                  <c:v>0.70825705041423959</c:v>
                </c:pt>
                <c:pt idx="35">
                  <c:v>0.70969354594665934</c:v>
                </c:pt>
                <c:pt idx="36">
                  <c:v>0.71112342129780426</c:v>
                </c:pt>
                <c:pt idx="37">
                  <c:v>0.71254617134859832</c:v>
                </c:pt>
                <c:pt idx="38">
                  <c:v>0.71396137028822182</c:v>
                </c:pt>
                <c:pt idx="39">
                  <c:v>0.71536866061664361</c:v>
                </c:pt>
                <c:pt idx="40">
                  <c:v>0.71676774379902597</c:v>
                </c:pt>
                <c:pt idx="41">
                  <c:v>0.71815837229735302</c:v>
                </c:pt>
                <c:pt idx="42">
                  <c:v>0.71954034275498913</c:v>
                </c:pt>
                <c:pt idx="43">
                  <c:v>0.7209134901501365</c:v>
                </c:pt>
                <c:pt idx="44">
                  <c:v>0.72227768276651616</c:v>
                </c:pt>
                <c:pt idx="45">
                  <c:v>0.72363281785573808</c:v>
                </c:pt>
                <c:pt idx="46">
                  <c:v>0.72497881788704244</c:v>
                </c:pt>
                <c:pt idx="47">
                  <c:v>0.72631562729739074</c:v>
                </c:pt>
                <c:pt idx="48">
                  <c:v>0.72764320966904483</c:v>
                </c:pt>
                <c:pt idx="49">
                  <c:v>0.72896154527342505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8D3-4103-BA5F-253CC19E4C7A}"/>
            </c:ext>
          </c:extLst>
        </c:ser>
        <c:ser>
          <c:idx val="11"/>
          <c:order val="11"/>
          <c:tx>
            <c:strRef>
              <c:f>Delta!$B$56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Delta!$C$56:$AZ$56</c:f>
              <c:numCache>
                <c:formatCode>General</c:formatCode>
                <c:ptCount val="50"/>
                <c:pt idx="0">
                  <c:v>0.88021583185504604</c:v>
                </c:pt>
                <c:pt idx="1">
                  <c:v>0.81108890153677393</c:v>
                </c:pt>
                <c:pt idx="2">
                  <c:v>0.77671943972975221</c:v>
                </c:pt>
                <c:pt idx="3">
                  <c:v>0.75639716521685774</c:v>
                </c:pt>
                <c:pt idx="4">
                  <c:v>0.74319667438721471</c:v>
                </c:pt>
                <c:pt idx="5">
                  <c:v>0.73413390137873957</c:v>
                </c:pt>
                <c:pt idx="6">
                  <c:v>0.7276985245669445</c:v>
                </c:pt>
                <c:pt idx="7">
                  <c:v>0.72303875290811948</c:v>
                </c:pt>
                <c:pt idx="8">
                  <c:v>0.71963542011049753</c:v>
                </c:pt>
                <c:pt idx="9">
                  <c:v>0.71715306616066388</c:v>
                </c:pt>
                <c:pt idx="10">
                  <c:v>0.71536483500453407</c:v>
                </c:pt>
                <c:pt idx="11">
                  <c:v>0.71411161135791834</c:v>
                </c:pt>
                <c:pt idx="12">
                  <c:v>0.7132784047815599</c:v>
                </c:pt>
                <c:pt idx="13">
                  <c:v>0.71278001434305782</c:v>
                </c:pt>
                <c:pt idx="14">
                  <c:v>0.71255196442030311</c:v>
                </c:pt>
                <c:pt idx="15">
                  <c:v>0.71254457257773407</c:v>
                </c:pt>
                <c:pt idx="16">
                  <c:v>0.71271895109651995</c:v>
                </c:pt>
                <c:pt idx="17">
                  <c:v>0.71304424219192442</c:v>
                </c:pt>
                <c:pt idx="18">
                  <c:v>0.71349566314057644</c:v>
                </c:pt>
                <c:pt idx="19">
                  <c:v>0.71405309659886251</c:v>
                </c:pt>
                <c:pt idx="20">
                  <c:v>0.71470005613882304</c:v>
                </c:pt>
                <c:pt idx="21">
                  <c:v>0.71542291516782497</c:v>
                </c:pt>
                <c:pt idx="22">
                  <c:v>0.71621032403103158</c:v>
                </c:pt>
                <c:pt idx="23">
                  <c:v>0.71705276372950333</c:v>
                </c:pt>
                <c:pt idx="24">
                  <c:v>0.71794220026230193</c:v>
                </c:pt>
                <c:pt idx="25">
                  <c:v>0.7188718140654482</c:v>
                </c:pt>
                <c:pt idx="26">
                  <c:v>0.7198357861754815</c:v>
                </c:pt>
                <c:pt idx="27">
                  <c:v>0.72082912771629937</c:v>
                </c:pt>
                <c:pt idx="28">
                  <c:v>0.72184754281265784</c:v>
                </c:pt>
                <c:pt idx="29">
                  <c:v>0.72288731753825886</c:v>
                </c:pt>
                <c:pt idx="30">
                  <c:v>0.72394522931865968</c:v>
                </c:pt>
                <c:pt idx="31">
                  <c:v>0.72501847253587903</c:v>
                </c:pt>
                <c:pt idx="32">
                  <c:v>0.7261045970631963</c:v>
                </c:pt>
                <c:pt idx="33">
                  <c:v>0.72720145719226925</c:v>
                </c:pt>
                <c:pt idx="34">
                  <c:v>0.72830716896814551</c:v>
                </c:pt>
                <c:pt idx="35">
                  <c:v>0.72942007436891587</c:v>
                </c:pt>
                <c:pt idx="36">
                  <c:v>0.73053871108993107</c:v>
                </c:pt>
                <c:pt idx="37">
                  <c:v>0.73166178694237893</c:v>
                </c:pt>
                <c:pt idx="38">
                  <c:v>0.7327881580706469</c:v>
                </c:pt>
                <c:pt idx="39">
                  <c:v>0.73391681034551604</c:v>
                </c:pt>
                <c:pt idx="40">
                  <c:v>0.73504684341070659</c:v>
                </c:pt>
                <c:pt idx="41">
                  <c:v>0.7361774569559637</c:v>
                </c:pt>
                <c:pt idx="42">
                  <c:v>0.73730793886629287</c:v>
                </c:pt>
                <c:pt idx="43">
                  <c:v>0.73843765495833558</c:v>
                </c:pt>
                <c:pt idx="44">
                  <c:v>0.7395660400644295</c:v>
                </c:pt>
                <c:pt idx="45">
                  <c:v>0.74069259026511935</c:v>
                </c:pt>
                <c:pt idx="46">
                  <c:v>0.74181685610365933</c:v>
                </c:pt>
                <c:pt idx="47">
                  <c:v>0.74293843664290993</c:v>
                </c:pt>
                <c:pt idx="48">
                  <c:v>0.74405697424710637</c:v>
                </c:pt>
                <c:pt idx="49">
                  <c:v>0.74517214998922932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8D3-4103-BA5F-253CC19E4C7A}"/>
            </c:ext>
          </c:extLst>
        </c:ser>
        <c:ser>
          <c:idx val="12"/>
          <c:order val="12"/>
          <c:tx>
            <c:strRef>
              <c:f>Delta!$B$57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Delta!$C$57:$AZ$57</c:f>
              <c:numCache>
                <c:formatCode>General</c:formatCode>
                <c:ptCount val="50"/>
                <c:pt idx="0">
                  <c:v>0.93480042009614039</c:v>
                </c:pt>
                <c:pt idx="1">
                  <c:v>0.86860722319458827</c:v>
                </c:pt>
                <c:pt idx="2">
                  <c:v>0.8303167771142137</c:v>
                </c:pt>
                <c:pt idx="3">
                  <c:v>0.80592899227632175</c:v>
                </c:pt>
                <c:pt idx="4">
                  <c:v>0.78921576011256067</c:v>
                </c:pt>
                <c:pt idx="5">
                  <c:v>0.77718615535252056</c:v>
                </c:pt>
                <c:pt idx="6">
                  <c:v>0.76823248267039035</c:v>
                </c:pt>
                <c:pt idx="7">
                  <c:v>0.76141151560368958</c:v>
                </c:pt>
                <c:pt idx="8">
                  <c:v>0.75613168702939038</c:v>
                </c:pt>
                <c:pt idx="9">
                  <c:v>0.75200220647013261</c:v>
                </c:pt>
                <c:pt idx="10">
                  <c:v>0.7487540088667346</c:v>
                </c:pt>
                <c:pt idx="11">
                  <c:v>0.74619549137089491</c:v>
                </c:pt>
                <c:pt idx="12">
                  <c:v>0.74418634836810016</c:v>
                </c:pt>
                <c:pt idx="13">
                  <c:v>0.7426213939370746</c:v>
                </c:pt>
                <c:pt idx="14">
                  <c:v>0.74142017407246608</c:v>
                </c:pt>
                <c:pt idx="15">
                  <c:v>0.74052007812711207</c:v>
                </c:pt>
                <c:pt idx="16">
                  <c:v>0.73987164200883204</c:v>
                </c:pt>
                <c:pt idx="17">
                  <c:v>0.73943526731763154</c:v>
                </c:pt>
                <c:pt idx="18">
                  <c:v>0.73917888029653178</c:v>
                </c:pt>
                <c:pt idx="19">
                  <c:v>0.73907622962258757</c:v>
                </c:pt>
                <c:pt idx="20">
                  <c:v>0.73910562774429445</c:v>
                </c:pt>
                <c:pt idx="21">
                  <c:v>0.7392490060590764</c:v>
                </c:pt>
                <c:pt idx="22">
                  <c:v>0.7394911959684447</c:v>
                </c:pt>
                <c:pt idx="23">
                  <c:v>0.73981937502493877</c:v>
                </c:pt>
                <c:pt idx="24">
                  <c:v>0.74022263544306699</c:v>
                </c:pt>
                <c:pt idx="25">
                  <c:v>0.74069164447031677</c:v>
                </c:pt>
                <c:pt idx="26">
                  <c:v>0.74121837453002326</c:v>
                </c:pt>
                <c:pt idx="27">
                  <c:v>0.74179588693227849</c:v>
                </c:pt>
                <c:pt idx="28">
                  <c:v>0.7424181571224866</c:v>
                </c:pt>
                <c:pt idx="29">
                  <c:v>0.74307993243623416</c:v>
                </c:pt>
                <c:pt idx="30">
                  <c:v>0.74377661551062824</c:v>
                </c:pt>
                <c:pt idx="31">
                  <c:v>0.74450416810701781</c:v>
                </c:pt>
                <c:pt idx="32">
                  <c:v>0.74525903129296556</c:v>
                </c:pt>
                <c:pt idx="33">
                  <c:v>0.74603805882687435</c:v>
                </c:pt>
                <c:pt idx="34">
                  <c:v>0.74683846126710229</c:v>
                </c:pt>
                <c:pt idx="35">
                  <c:v>0.74765775884579777</c:v>
                </c:pt>
                <c:pt idx="36">
                  <c:v>0.7484937415469779</c:v>
                </c:pt>
                <c:pt idx="37">
                  <c:v>0.7493444351382792</c:v>
                </c:pt>
                <c:pt idx="38">
                  <c:v>0.75020807214804053</c:v>
                </c:pt>
                <c:pt idx="39">
                  <c:v>0.75108306697001759</c:v>
                </c:pt>
                <c:pt idx="40">
                  <c:v>0.75196799442898765</c:v>
                </c:pt>
                <c:pt idx="41">
                  <c:v>0.75286157126080089</c:v>
                </c:pt>
                <c:pt idx="42">
                  <c:v>0.75376264005681681</c:v>
                </c:pt>
                <c:pt idx="43">
                  <c:v>0.75467015530032944</c:v>
                </c:pt>
                <c:pt idx="44">
                  <c:v>0.75558317118547014</c:v>
                </c:pt>
                <c:pt idx="45">
                  <c:v>0.75650083096026743</c:v>
                </c:pt>
                <c:pt idx="46">
                  <c:v>0.75742235757739429</c:v>
                </c:pt>
                <c:pt idx="47">
                  <c:v>0.75834704547050091</c:v>
                </c:pt>
                <c:pt idx="48">
                  <c:v>0.75927425330239129</c:v>
                </c:pt>
                <c:pt idx="49">
                  <c:v>0.76020339755477973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8D3-4103-BA5F-253CC19E4C7A}"/>
            </c:ext>
          </c:extLst>
        </c:ser>
        <c:ser>
          <c:idx val="13"/>
          <c:order val="13"/>
          <c:tx>
            <c:strRef>
              <c:f>Delta!$B$58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Delta!$C$58:$AZ$58</c:f>
              <c:numCache>
                <c:formatCode>General</c:formatCode>
                <c:ptCount val="50"/>
                <c:pt idx="0">
                  <c:v>0.96676611016617031</c:v>
                </c:pt>
                <c:pt idx="1">
                  <c:v>0.91117618510776843</c:v>
                </c:pt>
                <c:pt idx="2">
                  <c:v>0.87321975231296856</c:v>
                </c:pt>
                <c:pt idx="3">
                  <c:v>0.84716614531784817</c:v>
                </c:pt>
                <c:pt idx="4">
                  <c:v>0.8284430661740726</c:v>
                </c:pt>
                <c:pt idx="5">
                  <c:v>0.81446662562292138</c:v>
                </c:pt>
                <c:pt idx="6">
                  <c:v>0.80372924169692972</c:v>
                </c:pt>
                <c:pt idx="7">
                  <c:v>0.79530038144333182</c:v>
                </c:pt>
                <c:pt idx="8">
                  <c:v>0.78857558854601151</c:v>
                </c:pt>
                <c:pt idx="9">
                  <c:v>0.78314500611625992</c:v>
                </c:pt>
                <c:pt idx="10">
                  <c:v>0.77872062944802334</c:v>
                </c:pt>
                <c:pt idx="11">
                  <c:v>0.77509394460053127</c:v>
                </c:pt>
                <c:pt idx="12">
                  <c:v>0.77211013138345019</c:v>
                </c:pt>
                <c:pt idx="13">
                  <c:v>0.76965173390750141</c:v>
                </c:pt>
                <c:pt idx="14">
                  <c:v>0.76762797255215032</c:v>
                </c:pt>
                <c:pt idx="15">
                  <c:v>0.76596754215870766</c:v>
                </c:pt>
                <c:pt idx="16">
                  <c:v>0.76461363445115649</c:v>
                </c:pt>
                <c:pt idx="17">
                  <c:v>0.76352041993585817</c:v>
                </c:pt>
                <c:pt idx="18">
                  <c:v>0.76265051156835906</c:v>
                </c:pt>
                <c:pt idx="19">
                  <c:v>0.7619731036081745</c:v>
                </c:pt>
                <c:pt idx="20">
                  <c:v>0.76146258410227097</c:v>
                </c:pt>
                <c:pt idx="21">
                  <c:v>0.76109748557842427</c:v>
                </c:pt>
                <c:pt idx="22">
                  <c:v>0.76085968116879199</c:v>
                </c:pt>
                <c:pt idx="23">
                  <c:v>0.7607337614598676</c:v>
                </c:pt>
                <c:pt idx="24">
                  <c:v>0.76070654621025924</c:v>
                </c:pt>
                <c:pt idx="25">
                  <c:v>0.76076669795097018</c:v>
                </c:pt>
                <c:pt idx="26">
                  <c:v>0.76090441341891479</c:v>
                </c:pt>
                <c:pt idx="27">
                  <c:v>0.76111117506969139</c:v>
                </c:pt>
                <c:pt idx="28">
                  <c:v>0.76137954941128783</c:v>
                </c:pt>
                <c:pt idx="29">
                  <c:v>0.7617030221515525</c:v>
                </c:pt>
                <c:pt idx="30">
                  <c:v>0.76207586253102577</c:v>
                </c:pt>
                <c:pt idx="31">
                  <c:v>0.76249301097218136</c:v>
                </c:pt>
                <c:pt idx="32">
                  <c:v>0.76294998549075188</c:v>
                </c:pt>
                <c:pt idx="33">
                  <c:v>0.7634428033064018</c:v>
                </c:pt>
                <c:pt idx="34">
                  <c:v>0.76396791484458604</c:v>
                </c:pt>
                <c:pt idx="35">
                  <c:v>0.76452214790045381</c:v>
                </c:pt>
                <c:pt idx="36">
                  <c:v>0.76510266018343398</c:v>
                </c:pt>
                <c:pt idx="37">
                  <c:v>0.76570689880999643</c:v>
                </c:pt>
                <c:pt idx="38">
                  <c:v>0.76633256558574914</c:v>
                </c:pt>
                <c:pt idx="39">
                  <c:v>0.76697758713414288</c:v>
                </c:pt>
                <c:pt idx="40">
                  <c:v>0.76764008910076664</c:v>
                </c:pt>
                <c:pt idx="41">
                  <c:v>0.76831837379946522</c:v>
                </c:pt>
                <c:pt idx="42">
                  <c:v>0.76901090077682088</c:v>
                </c:pt>
                <c:pt idx="43">
                  <c:v>0.76971626986067621</c:v>
                </c:pt>
                <c:pt idx="44">
                  <c:v>0.77043320633076628</c:v>
                </c:pt>
                <c:pt idx="45">
                  <c:v>0.771160547908599</c:v>
                </c:pt>
                <c:pt idx="46">
                  <c:v>0.77189723331215376</c:v>
                </c:pt>
                <c:pt idx="47">
                  <c:v>0.77264229216084157</c:v>
                </c:pt>
                <c:pt idx="48">
                  <c:v>0.77339483604914516</c:v>
                </c:pt>
                <c:pt idx="49">
                  <c:v>0.77415405063473164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8D3-4103-BA5F-253CC19E4C7A}"/>
            </c:ext>
          </c:extLst>
        </c:ser>
        <c:ser>
          <c:idx val="14"/>
          <c:order val="14"/>
          <c:tx>
            <c:strRef>
              <c:f>Delta!$B$59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Delta!$C$59:$AZ$59</c:f>
              <c:numCache>
                <c:formatCode>General</c:formatCode>
                <c:ptCount val="50"/>
                <c:pt idx="0">
                  <c:v>0.98403647973885566</c:v>
                </c:pt>
                <c:pt idx="1">
                  <c:v>0.94147582473157476</c:v>
                </c:pt>
                <c:pt idx="2">
                  <c:v>0.90670948712270572</c:v>
                </c:pt>
                <c:pt idx="3">
                  <c:v>0.8808782060892546</c:v>
                </c:pt>
                <c:pt idx="4">
                  <c:v>0.86141458089990475</c:v>
                </c:pt>
                <c:pt idx="5">
                  <c:v>0.84638729515909628</c:v>
                </c:pt>
                <c:pt idx="6">
                  <c:v>0.83452737778348751</c:v>
                </c:pt>
                <c:pt idx="7">
                  <c:v>0.82499671068322522</c:v>
                </c:pt>
                <c:pt idx="8">
                  <c:v>0.81722605676269411</c:v>
                </c:pt>
                <c:pt idx="9">
                  <c:v>0.81081691168019066</c:v>
                </c:pt>
                <c:pt idx="10">
                  <c:v>0.80548237650641141</c:v>
                </c:pt>
                <c:pt idx="11">
                  <c:v>0.80101071527298862</c:v>
                </c:pt>
                <c:pt idx="12">
                  <c:v>0.79724223269328021</c:v>
                </c:pt>
                <c:pt idx="13">
                  <c:v>0.79405417296698322</c:v>
                </c:pt>
                <c:pt idx="14">
                  <c:v>0.79135058806995129</c:v>
                </c:pt>
                <c:pt idx="15">
                  <c:v>0.78905537183453434</c:v>
                </c:pt>
                <c:pt idx="16">
                  <c:v>0.78710736387800817</c:v>
                </c:pt>
                <c:pt idx="17">
                  <c:v>0.78545683943597688</c:v>
                </c:pt>
                <c:pt idx="18">
                  <c:v>0.78406294746807415</c:v>
                </c:pt>
                <c:pt idx="19">
                  <c:v>0.78289181047996426</c:v>
                </c:pt>
                <c:pt idx="20">
                  <c:v>0.78191509442255258</c:v>
                </c:pt>
                <c:pt idx="21">
                  <c:v>0.78110891800510263</c:v>
                </c:pt>
                <c:pt idx="22">
                  <c:v>0.7804530107430816</c:v>
                </c:pt>
                <c:pt idx="23">
                  <c:v>0.77993005578106667</c:v>
                </c:pt>
                <c:pt idx="24">
                  <c:v>0.77952517170010704</c:v>
                </c:pt>
                <c:pt idx="25">
                  <c:v>0.77922550007377089</c:v>
                </c:pt>
                <c:pt idx="26">
                  <c:v>0.7790198743421799</c:v>
                </c:pt>
                <c:pt idx="27">
                  <c:v>0.77889855183396262</c:v>
                </c:pt>
                <c:pt idx="28">
                  <c:v>0.77885299527460949</c:v>
                </c:pt>
                <c:pt idx="29">
                  <c:v>0.77887569340516616</c:v>
                </c:pt>
                <c:pt idx="30">
                  <c:v>0.77896001275594895</c:v>
                </c:pt>
                <c:pt idx="31">
                  <c:v>0.77910007442202889</c:v>
                </c:pt>
                <c:pt idx="32">
                  <c:v>0.7792906510417279</c:v>
                </c:pt>
                <c:pt idx="33">
                  <c:v>0.77952708020669381</c:v>
                </c:pt>
                <c:pt idx="34">
                  <c:v>0.77980519131791826</c:v>
                </c:pt>
                <c:pt idx="35">
                  <c:v>0.78012124350794576</c:v>
                </c:pt>
                <c:pt idx="36">
                  <c:v>0.78047187272019247</c:v>
                </c:pt>
                <c:pt idx="37">
                  <c:v>0.78085404640453582</c:v>
                </c:pt>
                <c:pt idx="38">
                  <c:v>0.78126502457837732</c:v>
                </c:pt>
                <c:pt idx="39">
                  <c:v>0.78170232623227709</c:v>
                </c:pt>
                <c:pt idx="40">
                  <c:v>0.78216370024258719</c:v>
                </c:pt>
                <c:pt idx="41">
                  <c:v>0.78264710010053817</c:v>
                </c:pt>
                <c:pt idx="42">
                  <c:v>0.78315066188578841</c:v>
                </c:pt>
                <c:pt idx="43">
                  <c:v>0.78367268500853671</c:v>
                </c:pt>
                <c:pt idx="44">
                  <c:v>0.78421161532257289</c:v>
                </c:pt>
                <c:pt idx="45">
                  <c:v>0.78476603027568803</c:v>
                </c:pt>
                <c:pt idx="46">
                  <c:v>0.78533462581652158</c:v>
                </c:pt>
                <c:pt idx="47">
                  <c:v>0.78591620482038993</c:v>
                </c:pt>
                <c:pt idx="48">
                  <c:v>0.78650966683267165</c:v>
                </c:pt>
                <c:pt idx="49">
                  <c:v>0.78711399895831202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8D3-4103-BA5F-253CC19E4C7A}"/>
            </c:ext>
          </c:extLst>
        </c:ser>
        <c:ser>
          <c:idx val="15"/>
          <c:order val="15"/>
          <c:tx>
            <c:strRef>
              <c:f>Delta!$B$60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Delta!$C$60:$AZ$60</c:f>
              <c:numCache>
                <c:formatCode>General</c:formatCode>
                <c:ptCount val="50"/>
                <c:pt idx="0">
                  <c:v>0.99273097066954352</c:v>
                </c:pt>
                <c:pt idx="1">
                  <c:v>0.96231931456995112</c:v>
                </c:pt>
                <c:pt idx="2">
                  <c:v>0.93228420294986081</c:v>
                </c:pt>
                <c:pt idx="3">
                  <c:v>0.90800507158858346</c:v>
                </c:pt>
                <c:pt idx="4">
                  <c:v>0.88879200936476455</c:v>
                </c:pt>
                <c:pt idx="5">
                  <c:v>0.87345322872898401</c:v>
                </c:pt>
                <c:pt idx="6">
                  <c:v>0.86103529530746403</c:v>
                </c:pt>
                <c:pt idx="7">
                  <c:v>0.85084490557274406</c:v>
                </c:pt>
                <c:pt idx="8">
                  <c:v>0.84238268981732101</c:v>
                </c:pt>
                <c:pt idx="9">
                  <c:v>0.83528471396815041</c:v>
                </c:pt>
                <c:pt idx="10">
                  <c:v>0.82928111351080591</c:v>
                </c:pt>
                <c:pt idx="11">
                  <c:v>0.82416813446055315</c:v>
                </c:pt>
                <c:pt idx="12">
                  <c:v>0.81978927611550167</c:v>
                </c:pt>
                <c:pt idx="13">
                  <c:v>0.81602242224032828</c:v>
                </c:pt>
                <c:pt idx="14">
                  <c:v>0.81277091427294867</c:v>
                </c:pt>
                <c:pt idx="15">
                  <c:v>0.80995725012782704</c:v>
                </c:pt>
                <c:pt idx="16">
                  <c:v>0.80751855958604368</c:v>
                </c:pt>
                <c:pt idx="17">
                  <c:v>0.80540330225176304</c:v>
                </c:pt>
                <c:pt idx="18">
                  <c:v>0.80356882100026894</c:v>
                </c:pt>
                <c:pt idx="19">
                  <c:v>0.80197950371166271</c:v>
                </c:pt>
                <c:pt idx="20">
                  <c:v>0.80060538408493487</c:v>
                </c:pt>
                <c:pt idx="21">
                  <c:v>0.79942106388775225</c:v>
                </c:pt>
                <c:pt idx="22">
                  <c:v>0.79840487362093215</c:v>
                </c:pt>
                <c:pt idx="23">
                  <c:v>0.79753821218461463</c:v>
                </c:pt>
                <c:pt idx="24">
                  <c:v>0.79680502246680474</c:v>
                </c:pt>
                <c:pt idx="25">
                  <c:v>0.79619137123290107</c:v>
                </c:pt>
                <c:pt idx="26">
                  <c:v>0.79568510983784535</c:v>
                </c:pt>
                <c:pt idx="27">
                  <c:v>0.7952755981409293</c:v>
                </c:pt>
                <c:pt idx="28">
                  <c:v>0.79495347826680907</c:v>
                </c:pt>
                <c:pt idx="29">
                  <c:v>0.79471048799277033</c:v>
                </c:pt>
                <c:pt idx="30">
                  <c:v>0.79453930587319721</c:v>
                </c:pt>
                <c:pt idx="31">
                  <c:v>0.79443342196103739</c:v>
                </c:pt>
                <c:pt idx="32">
                  <c:v>0.79438702930999938</c:v>
                </c:pt>
                <c:pt idx="33">
                  <c:v>0.79439493245200921</c:v>
                </c:pt>
                <c:pt idx="34">
                  <c:v>0.79445246982234052</c:v>
                </c:pt>
                <c:pt idx="35">
                  <c:v>0.79455544770800479</c:v>
                </c:pt>
                <c:pt idx="36">
                  <c:v>0.79470008376603218</c:v>
                </c:pt>
                <c:pt idx="37">
                  <c:v>0.79488295852861235</c:v>
                </c:pt>
                <c:pt idx="38">
                  <c:v>0.79510097360510379</c:v>
                </c:pt>
                <c:pt idx="39">
                  <c:v>0.79535131552420124</c:v>
                </c:pt>
                <c:pt idx="40">
                  <c:v>0.79563142434632439</c:v>
                </c:pt>
                <c:pt idx="41">
                  <c:v>0.79593896632666783</c:v>
                </c:pt>
                <c:pt idx="42">
                  <c:v>0.79627181003104042</c:v>
                </c:pt>
                <c:pt idx="43">
                  <c:v>0.79662800540559553</c:v>
                </c:pt>
                <c:pt idx="44">
                  <c:v>0.79700576538243539</c:v>
                </c:pt>
                <c:pt idx="45">
                  <c:v>0.7974034496694653</c:v>
                </c:pt>
                <c:pt idx="46">
                  <c:v>0.79781955042761199</c:v>
                </c:pt>
                <c:pt idx="47">
                  <c:v>0.79825267958383783</c:v>
                </c:pt>
                <c:pt idx="48">
                  <c:v>0.79870155756605188</c:v>
                </c:pt>
                <c:pt idx="49">
                  <c:v>0.79916500327744178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8D3-4103-BA5F-253CC19E4C7A}"/>
            </c:ext>
          </c:extLst>
        </c:ser>
        <c:ser>
          <c:idx val="16"/>
          <c:order val="16"/>
          <c:tx>
            <c:strRef>
              <c:f>Delta!$B$61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Delta!$C$44:$AZ$44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Delta!$C$61:$AZ$61</c:f>
              <c:numCache>
                <c:formatCode>General</c:formatCode>
                <c:ptCount val="50"/>
                <c:pt idx="0">
                  <c:v>0.99684477113655101</c:v>
                </c:pt>
                <c:pt idx="1">
                  <c:v>0.97623574851505368</c:v>
                </c:pt>
                <c:pt idx="2">
                  <c:v>0.95144373521317527</c:v>
                </c:pt>
                <c:pt idx="3">
                  <c:v>0.92953353906359115</c:v>
                </c:pt>
                <c:pt idx="4">
                  <c:v>0.91128461684100237</c:v>
                </c:pt>
                <c:pt idx="5">
                  <c:v>0.89620927302909015</c:v>
                </c:pt>
                <c:pt idx="6">
                  <c:v>0.88369286259387581</c:v>
                </c:pt>
                <c:pt idx="7">
                  <c:v>0.87321366704250614</c:v>
                </c:pt>
                <c:pt idx="8">
                  <c:v>0.86436355159317801</c:v>
                </c:pt>
                <c:pt idx="9">
                  <c:v>0.85682899304336257</c:v>
                </c:pt>
                <c:pt idx="10">
                  <c:v>0.8503687471154171</c:v>
                </c:pt>
                <c:pt idx="11">
                  <c:v>0.84479556165893566</c:v>
                </c:pt>
                <c:pt idx="12">
                  <c:v>0.8399624713823034</c:v>
                </c:pt>
                <c:pt idx="13">
                  <c:v>0.83575278553498977</c:v>
                </c:pt>
                <c:pt idx="14">
                  <c:v>0.83207279933994505</c:v>
                </c:pt>
                <c:pt idx="15">
                  <c:v>0.82884645927256206</c:v>
                </c:pt>
                <c:pt idx="16">
                  <c:v>0.82601142211036538</c:v>
                </c:pt>
                <c:pt idx="17">
                  <c:v>0.82351611210254883</c:v>
                </c:pt>
                <c:pt idx="18">
                  <c:v>0.82131749878169558</c:v>
                </c:pt>
                <c:pt idx="19">
                  <c:v>0.81937940032948497</c:v>
                </c:pt>
                <c:pt idx="20">
                  <c:v>0.81767117435656411</c:v>
                </c:pt>
                <c:pt idx="21">
                  <c:v>0.81616669737031899</c:v>
                </c:pt>
                <c:pt idx="22">
                  <c:v>0.81484356164927041</c:v>
                </c:pt>
                <c:pt idx="23">
                  <c:v>0.81368243751686387</c:v>
                </c:pt>
                <c:pt idx="24">
                  <c:v>0.81266656267410953</c:v>
                </c:pt>
                <c:pt idx="25">
                  <c:v>0.81178133003915598</c:v>
                </c:pt>
                <c:pt idx="26">
                  <c:v>0.8110139526240302</c:v>
                </c:pt>
                <c:pt idx="27">
                  <c:v>0.81035318915388099</c:v>
                </c:pt>
                <c:pt idx="28">
                  <c:v>0.80978911795217123</c:v>
                </c:pt>
                <c:pt idx="29">
                  <c:v>0.80931294945842069</c:v>
                </c:pt>
                <c:pt idx="30">
                  <c:v>0.80891686988108003</c:v>
                </c:pt>
                <c:pt idx="31">
                  <c:v>0.80859391010644566</c:v>
                </c:pt>
                <c:pt idx="32">
                  <c:v>0.80833783522058178</c:v>
                </c:pt>
                <c:pt idx="33">
                  <c:v>0.80814305095254135</c:v>
                </c:pt>
                <c:pt idx="34">
                  <c:v>0.80800452408474011</c:v>
                </c:pt>
                <c:pt idx="35">
                  <c:v>0.807917714452137</c:v>
                </c:pt>
                <c:pt idx="36">
                  <c:v>0.80787851660436605</c:v>
                </c:pt>
                <c:pt idx="37">
                  <c:v>0.80788320956280235</c:v>
                </c:pt>
                <c:pt idx="38">
                  <c:v>0.80792841338921162</c:v>
                </c:pt>
                <c:pt idx="39">
                  <c:v>0.80801105151040675</c:v>
                </c:pt>
                <c:pt idx="40">
                  <c:v>0.80812831792655304</c:v>
                </c:pt>
                <c:pt idx="41">
                  <c:v>0.80827764857893181</c:v>
                </c:pt>
                <c:pt idx="42">
                  <c:v>0.80845669627337968</c:v>
                </c:pt>
                <c:pt idx="43">
                  <c:v>0.80866330865392544</c:v>
                </c:pt>
                <c:pt idx="44">
                  <c:v>0.80889550880179084</c:v>
                </c:pt>
                <c:pt idx="45">
                  <c:v>0.80915147810134336</c:v>
                </c:pt>
                <c:pt idx="46">
                  <c:v>0.80942954106953913</c:v>
                </c:pt>
                <c:pt idx="47">
                  <c:v>0.80972815189102654</c:v>
                </c:pt>
                <c:pt idx="48">
                  <c:v>0.81004588243912845</c:v>
                </c:pt>
                <c:pt idx="49">
                  <c:v>0.81038141159475252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8D3-4103-BA5F-253CC19E4C7A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317935584"/>
        <c:axId val="320220816"/>
        <c:axId val="547799968"/>
      </c:surface3DChart>
      <c:catAx>
        <c:axId val="31793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20816"/>
        <c:crosses val="autoZero"/>
        <c:auto val="1"/>
        <c:lblAlgn val="ctr"/>
        <c:lblOffset val="100"/>
        <c:noMultiLvlLbl val="0"/>
      </c:catAx>
      <c:valAx>
        <c:axId val="32022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35584"/>
        <c:crosses val="autoZero"/>
        <c:crossBetween val="midCat"/>
      </c:valAx>
      <c:serAx>
        <c:axId val="5477999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2081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Gamma,</a:t>
            </a:r>
            <a:r>
              <a:rPr lang="en-US" baseline="0"/>
              <a:t> vol=10%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Gamma!$B$3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Gamma!$C$3:$AZ$3</c:f>
              <c:numCache>
                <c:formatCode>General</c:formatCode>
                <c:ptCount val="50"/>
                <c:pt idx="0">
                  <c:v>9.8181668070315382E-58</c:v>
                </c:pt>
                <c:pt idx="1">
                  <c:v>1.4877614568192042E-29</c:v>
                </c:pt>
                <c:pt idx="2">
                  <c:v>3.3715886606540406E-20</c:v>
                </c:pt>
                <c:pt idx="3">
                  <c:v>1.5374265651823356E-15</c:v>
                </c:pt>
                <c:pt idx="4">
                  <c:v>9.3540877738933165E-13</c:v>
                </c:pt>
                <c:pt idx="5">
                  <c:v>6.6022100125858922E-11</c:v>
                </c:pt>
                <c:pt idx="6">
                  <c:v>1.3641015888556876E-9</c:v>
                </c:pt>
                <c:pt idx="7">
                  <c:v>1.309790020055326E-8</c:v>
                </c:pt>
                <c:pt idx="8">
                  <c:v>7.5530633187758109E-8</c:v>
                </c:pt>
                <c:pt idx="9">
                  <c:v>3.0503159925846612E-7</c:v>
                </c:pt>
                <c:pt idx="10">
                  <c:v>9.5121394259865129E-7</c:v>
                </c:pt>
                <c:pt idx="11">
                  <c:v>2.4443342622052874E-6</c:v>
                </c:pt>
                <c:pt idx="12">
                  <c:v>5.413964489629683E-6</c:v>
                </c:pt>
                <c:pt idx="13">
                  <c:v>1.0672587299213475E-5</c:v>
                </c:pt>
                <c:pt idx="14">
                  <c:v>1.9170056555515457E-5</c:v>
                </c:pt>
                <c:pt idx="15">
                  <c:v>3.1931280756622618E-5</c:v>
                </c:pt>
                <c:pt idx="16">
                  <c:v>4.999000592778726E-5</c:v>
                </c:pt>
                <c:pt idx="17">
                  <c:v>7.4328618349887621E-5</c:v>
                </c:pt>
                <c:pt idx="18">
                  <c:v>1.058298681962173E-4</c:v>
                </c:pt>
                <c:pt idx="19">
                  <c:v>1.4524281869372589E-4</c:v>
                </c:pt>
                <c:pt idx="20">
                  <c:v>1.9316274717843477E-4</c:v>
                </c:pt>
                <c:pt idx="21">
                  <c:v>2.5002320222478573E-4</c:v>
                </c:pt>
                <c:pt idx="22">
                  <c:v>3.1609774186313342E-4</c:v>
                </c:pt>
                <c:pt idx="23">
                  <c:v>3.9150877005365587E-4</c:v>
                </c:pt>
                <c:pt idx="24">
                  <c:v>4.7624111367904195E-4</c:v>
                </c:pt>
                <c:pt idx="25">
                  <c:v>5.7015836483492049E-4</c:v>
                </c:pt>
                <c:pt idx="26">
                  <c:v>6.730204390180387E-4</c:v>
                </c:pt>
                <c:pt idx="27">
                  <c:v>7.8450120319180914E-4</c:v>
                </c:pt>
                <c:pt idx="28">
                  <c:v>9.0420537654301871E-4</c:v>
                </c:pt>
                <c:pt idx="29">
                  <c:v>1.0316841901525141E-3</c:v>
                </c:pt>
                <c:pt idx="30">
                  <c:v>1.1664495110299679E-3</c:v>
                </c:pt>
                <c:pt idx="31">
                  <c:v>1.3079862982968309E-3</c:v>
                </c:pt>
                <c:pt idx="32">
                  <c:v>1.4557633743250606E-3</c:v>
                </c:pt>
                <c:pt idx="33">
                  <c:v>1.6092425710987691E-3</c:v>
                </c:pt>
                <c:pt idx="34">
                  <c:v>1.7678863607937067E-3</c:v>
                </c:pt>
                <c:pt idx="35">
                  <c:v>1.9311641070432544E-3</c:v>
                </c:pt>
                <c:pt idx="36">
                  <c:v>2.0985570856236588E-3</c:v>
                </c:pt>
                <c:pt idx="37">
                  <c:v>2.269562425063854E-3</c:v>
                </c:pt>
                <c:pt idx="38">
                  <c:v>2.4436961125434498E-3</c:v>
                </c:pt>
                <c:pt idx="39">
                  <c:v>2.6204952010288858E-3</c:v>
                </c:pt>
                <c:pt idx="40">
                  <c:v>2.7995193418148983E-3</c:v>
                </c:pt>
                <c:pt idx="41">
                  <c:v>2.9803517538177851E-3</c:v>
                </c:pt>
                <c:pt idx="42">
                  <c:v>3.1625997280112809E-3</c:v>
                </c:pt>
                <c:pt idx="43">
                  <c:v>3.3458947528903918E-3</c:v>
                </c:pt>
                <c:pt idx="44">
                  <c:v>3.5298923351491729E-3</c:v>
                </c:pt>
                <c:pt idx="45">
                  <c:v>3.714271579060526E-3</c:v>
                </c:pt>
                <c:pt idx="46">
                  <c:v>3.8987345784309217E-3</c:v>
                </c:pt>
                <c:pt idx="47">
                  <c:v>4.0830056664795319E-3</c:v>
                </c:pt>
                <c:pt idx="48">
                  <c:v>4.2668305615188272E-3</c:v>
                </c:pt>
                <c:pt idx="49">
                  <c:v>4.4499754398238511E-3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2B-4F0F-92C9-939E73F7C2DC}"/>
            </c:ext>
          </c:extLst>
        </c:ser>
        <c:ser>
          <c:idx val="1"/>
          <c:order val="1"/>
          <c:tx>
            <c:strRef>
              <c:f>Gamma!$B$4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Gamma!$C$4:$AZ$4</c:f>
              <c:numCache>
                <c:formatCode>General</c:formatCode>
                <c:ptCount val="50"/>
                <c:pt idx="0">
                  <c:v>1.867554133449173E-41</c:v>
                </c:pt>
                <c:pt idx="1">
                  <c:v>1.8565304082520695E-21</c:v>
                </c:pt>
                <c:pt idx="2">
                  <c:v>7.8761142092032751E-15</c:v>
                </c:pt>
                <c:pt idx="3">
                  <c:v>1.5539109604002677E-11</c:v>
                </c:pt>
                <c:pt idx="4">
                  <c:v>1.4365666725428543E-9</c:v>
                </c:pt>
                <c:pt idx="5">
                  <c:v>2.8871903156587544E-8</c:v>
                </c:pt>
                <c:pt idx="6">
                  <c:v>2.4319945667214467E-7</c:v>
                </c:pt>
                <c:pt idx="7">
                  <c:v>1.191420089105155E-6</c:v>
                </c:pt>
                <c:pt idx="8">
                  <c:v>4.0707905271917845E-6</c:v>
                </c:pt>
                <c:pt idx="9">
                  <c:v>1.0815693509621757E-5</c:v>
                </c:pt>
                <c:pt idx="10">
                  <c:v>2.3944434431744491E-5</c:v>
                </c:pt>
                <c:pt idx="11">
                  <c:v>4.6248856703093457E-5</c:v>
                </c:pt>
                <c:pt idx="12">
                  <c:v>8.0453437229498616E-5</c:v>
                </c:pt>
                <c:pt idx="13">
                  <c:v>1.2893624729911796E-4</c:v>
                </c:pt>
                <c:pt idx="14">
                  <c:v>1.9355066407409304E-4</c:v>
                </c:pt>
                <c:pt idx="15">
                  <c:v>2.755467711611144E-4</c:v>
                </c:pt>
                <c:pt idx="16">
                  <c:v>3.7557140106388062E-4</c:v>
                </c:pt>
                <c:pt idx="17">
                  <c:v>4.9372059316376692E-4</c:v>
                </c:pt>
                <c:pt idx="18">
                  <c:v>6.2962099770165144E-4</c:v>
                </c:pt>
                <c:pt idx="19">
                  <c:v>7.8252244975753993E-4</c:v>
                </c:pt>
                <c:pt idx="20">
                  <c:v>9.5138980103538816E-4</c:v>
                </c:pt>
                <c:pt idx="21">
                  <c:v>1.1349869508365884E-3</c:v>
                </c:pt>
                <c:pt idx="22">
                  <c:v>1.3319495713363613E-3</c:v>
                </c:pt>
                <c:pt idx="23">
                  <c:v>1.5408453962359101E-3</c:v>
                </c:pt>
                <c:pt idx="24">
                  <c:v>1.7602223937193432E-3</c:v>
                </c:pt>
                <c:pt idx="25">
                  <c:v>1.9886459388581898E-3</c:v>
                </c:pt>
                <c:pt idx="26">
                  <c:v>2.2247264576399734E-3</c:v>
                </c:pt>
                <c:pt idx="27">
                  <c:v>2.4671390999004145E-3</c:v>
                </c:pt>
                <c:pt idx="28">
                  <c:v>2.7146369271330508E-3</c:v>
                </c:pt>
                <c:pt idx="29">
                  <c:v>2.9660589498737341E-3</c:v>
                </c:pt>
                <c:pt idx="30">
                  <c:v>3.2203341661422597E-3</c:v>
                </c:pt>
                <c:pt idx="31">
                  <c:v>3.4764825657431797E-3</c:v>
                </c:pt>
                <c:pt idx="32">
                  <c:v>3.7336138906653086E-3</c:v>
                </c:pt>
                <c:pt idx="33">
                  <c:v>3.9909247868034573E-3</c:v>
                </c:pt>
                <c:pt idx="34">
                  <c:v>4.2476948492530045E-3</c:v>
                </c:pt>
                <c:pt idx="35">
                  <c:v>4.5032819521822528E-3</c:v>
                </c:pt>
                <c:pt idx="36">
                  <c:v>4.7571171629837853E-3</c:v>
                </c:pt>
                <c:pt idx="37">
                  <c:v>5.0086994666185842E-3</c:v>
                </c:pt>
                <c:pt idx="38">
                  <c:v>5.2575904672104148E-3</c:v>
                </c:pt>
                <c:pt idx="39">
                  <c:v>5.5034091875470377E-3</c:v>
                </c:pt>
                <c:pt idx="40">
                  <c:v>5.7458270509649989E-3</c:v>
                </c:pt>
                <c:pt idx="41">
                  <c:v>5.9845631021919355E-3</c:v>
                </c:pt>
                <c:pt idx="42">
                  <c:v>6.2193795024492494E-3</c:v>
                </c:pt>
                <c:pt idx="43">
                  <c:v>6.4500773181101765E-3</c:v>
                </c:pt>
                <c:pt idx="44">
                  <c:v>6.6764926103418526E-3</c:v>
                </c:pt>
                <c:pt idx="45">
                  <c:v>6.8984928245275174E-3</c:v>
                </c:pt>
                <c:pt idx="46">
                  <c:v>7.1159734721358827E-3</c:v>
                </c:pt>
                <c:pt idx="47">
                  <c:v>7.3288550934994361E-3</c:v>
                </c:pt>
                <c:pt idx="48">
                  <c:v>7.5370804872209778E-3</c:v>
                </c:pt>
                <c:pt idx="49">
                  <c:v>7.7406121902881759E-3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2B-4F0F-92C9-939E73F7C2DC}"/>
            </c:ext>
          </c:extLst>
        </c:ser>
        <c:ser>
          <c:idx val="2"/>
          <c:order val="2"/>
          <c:tx>
            <c:strRef>
              <c:f>Gamma!$B$5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Gamma!$C$5:$AZ$5</c:f>
              <c:numCache>
                <c:formatCode>General</c:formatCode>
                <c:ptCount val="50"/>
                <c:pt idx="0">
                  <c:v>7.2920970083605385E-29</c:v>
                </c:pt>
                <c:pt idx="1">
                  <c:v>3.3439581371571196E-15</c:v>
                </c:pt>
                <c:pt idx="2">
                  <c:v>1.0961347486332681E-10</c:v>
                </c:pt>
                <c:pt idx="3">
                  <c:v>1.9009673521623136E-8</c:v>
                </c:pt>
                <c:pt idx="4">
                  <c:v>4.0857545005606398E-7</c:v>
                </c:pt>
                <c:pt idx="5">
                  <c:v>3.1047063387496911E-6</c:v>
                </c:pt>
                <c:pt idx="6">
                  <c:v>1.3055468334454289E-5</c:v>
                </c:pt>
                <c:pt idx="7">
                  <c:v>3.7984667450688666E-5</c:v>
                </c:pt>
                <c:pt idx="8">
                  <c:v>8.6540937665519063E-5</c:v>
                </c:pt>
                <c:pt idx="9">
                  <c:v>1.6626343859570762E-4</c:v>
                </c:pt>
                <c:pt idx="10">
                  <c:v>2.8232321920876173E-4</c:v>
                </c:pt>
                <c:pt idx="11">
                  <c:v>4.3716230282047399E-4</c:v>
                </c:pt>
                <c:pt idx="12">
                  <c:v>6.3074711880356873E-4</c:v>
                </c:pt>
                <c:pt idx="13">
                  <c:v>8.6111092530915796E-4</c:v>
                </c:pt>
                <c:pt idx="14">
                  <c:v>1.1249563903663509E-3</c:v>
                </c:pt>
                <c:pt idx="15">
                  <c:v>1.4181957419552914E-3</c:v>
                </c:pt>
                <c:pt idx="16">
                  <c:v>1.7363808167980457E-3</c:v>
                </c:pt>
                <c:pt idx="17">
                  <c:v>2.0750177136691491E-3</c:v>
                </c:pt>
                <c:pt idx="18">
                  <c:v>2.429780365397074E-3</c:v>
                </c:pt>
                <c:pt idx="19">
                  <c:v>2.7966437332461475E-3</c:v>
                </c:pt>
                <c:pt idx="20">
                  <c:v>3.1719570951389406E-3</c:v>
                </c:pt>
                <c:pt idx="21">
                  <c:v>3.5524749251303988E-3</c:v>
                </c:pt>
                <c:pt idx="22">
                  <c:v>3.9353591752865529E-3</c:v>
                </c:pt>
                <c:pt idx="23">
                  <c:v>4.3181633076544487E-3</c:v>
                </c:pt>
                <c:pt idx="24">
                  <c:v>4.6988055307334055E-3</c:v>
                </c:pt>
                <c:pt idx="25">
                  <c:v>5.0755364320462897E-3</c:v>
                </c:pt>
                <c:pt idx="26">
                  <c:v>5.4469045031631186E-3</c:v>
                </c:pt>
                <c:pt idx="27">
                  <c:v>5.8117218228405853E-3</c:v>
                </c:pt>
                <c:pt idx="28">
                  <c:v>6.1690312931701134E-3</c:v>
                </c:pt>
                <c:pt idx="29">
                  <c:v>6.5180762218454997E-3</c:v>
                </c:pt>
                <c:pt idx="30">
                  <c:v>6.8582726377569908E-3</c:v>
                </c:pt>
                <c:pt idx="31">
                  <c:v>7.1891844609573837E-3</c:v>
                </c:pt>
                <c:pt idx="32">
                  <c:v>7.5105014798205957E-3</c:v>
                </c:pt>
                <c:pt idx="33">
                  <c:v>7.8220199874603439E-3</c:v>
                </c:pt>
                <c:pt idx="34">
                  <c:v>8.1236258743692166E-3</c:v>
                </c:pt>
                <c:pt idx="35">
                  <c:v>8.4152799493561262E-3</c:v>
                </c:pt>
                <c:pt idx="36">
                  <c:v>8.6970052554481894E-3</c:v>
                </c:pt>
                <c:pt idx="37">
                  <c:v>8.9688761540762021E-3</c:v>
                </c:pt>
                <c:pt idx="38">
                  <c:v>9.2310089645536685E-3</c:v>
                </c:pt>
                <c:pt idx="39">
                  <c:v>9.4835539632301003E-3</c:v>
                </c:pt>
                <c:pt idx="40">
                  <c:v>9.7266885655561304E-3</c:v>
                </c:pt>
                <c:pt idx="41">
                  <c:v>9.9606115332469009E-3</c:v>
                </c:pt>
                <c:pt idx="42">
                  <c:v>1.0185538066924585E-2</c:v>
                </c:pt>
                <c:pt idx="43">
                  <c:v>1.0401695661580291E-2</c:v>
                </c:pt>
                <c:pt idx="44">
                  <c:v>1.060932061768317E-2</c:v>
                </c:pt>
                <c:pt idx="45">
                  <c:v>1.0808655114700531E-2</c:v>
                </c:pt>
                <c:pt idx="46">
                  <c:v>1.0999944766195133E-2</c:v>
                </c:pt>
                <c:pt idx="47">
                  <c:v>1.1183436586612196E-2</c:v>
                </c:pt>
                <c:pt idx="48">
                  <c:v>1.1359377309467468E-2</c:v>
                </c:pt>
                <c:pt idx="49">
                  <c:v>1.1528012005023356E-2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2B-4F0F-92C9-939E73F7C2DC}"/>
            </c:ext>
          </c:extLst>
        </c:ser>
        <c:ser>
          <c:idx val="3"/>
          <c:order val="3"/>
          <c:tx>
            <c:strRef>
              <c:f>Gamma!$B$6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Gamma!$C$6:$AZ$6</c:f>
              <c:numCache>
                <c:formatCode>General</c:formatCode>
                <c:ptCount val="50"/>
                <c:pt idx="0">
                  <c:v>2.7634460319906588E-19</c:v>
                </c:pt>
                <c:pt idx="1">
                  <c:v>1.8884525527510622E-10</c:v>
                </c:pt>
                <c:pt idx="2">
                  <c:v>1.5233209793360397E-7</c:v>
                </c:pt>
                <c:pt idx="3">
                  <c:v>4.1442242901485525E-6</c:v>
                </c:pt>
                <c:pt idx="4">
                  <c:v>2.9313355232607502E-5</c:v>
                </c:pt>
                <c:pt idx="5">
                  <c:v>1.0617694808839026E-4</c:v>
                </c:pt>
                <c:pt idx="6">
                  <c:v>2.6300061856659871E-4</c:v>
                </c:pt>
                <c:pt idx="7">
                  <c:v>5.1450381124671068E-4</c:v>
                </c:pt>
                <c:pt idx="8">
                  <c:v>8.6084583659867624E-4</c:v>
                </c:pt>
                <c:pt idx="9">
                  <c:v>1.2919311227899844E-3</c:v>
                </c:pt>
                <c:pt idx="10">
                  <c:v>1.7923798333018394E-3</c:v>
                </c:pt>
                <c:pt idx="11">
                  <c:v>2.3452736849611283E-3</c:v>
                </c:pt>
                <c:pt idx="12">
                  <c:v>2.9344360429402502E-3</c:v>
                </c:pt>
                <c:pt idx="13">
                  <c:v>3.5455794962407088E-3</c:v>
                </c:pt>
                <c:pt idx="14">
                  <c:v>4.1667240165623948E-3</c:v>
                </c:pt>
                <c:pt idx="15">
                  <c:v>4.7881999930811502E-3</c:v>
                </c:pt>
                <c:pt idx="16">
                  <c:v>5.4024437118469371E-3</c:v>
                </c:pt>
                <c:pt idx="17">
                  <c:v>6.0037095379608186E-3</c:v>
                </c:pt>
                <c:pt idx="18">
                  <c:v>6.5877673737268754E-3</c:v>
                </c:pt>
                <c:pt idx="19">
                  <c:v>7.1516197776597028E-3</c:v>
                </c:pt>
                <c:pt idx="20">
                  <c:v>7.6932533872035701E-3</c:v>
                </c:pt>
                <c:pt idx="21">
                  <c:v>8.211428537679262E-3</c:v>
                </c:pt>
                <c:pt idx="22">
                  <c:v>8.7055055394259506E-3</c:v>
                </c:pt>
                <c:pt idx="23">
                  <c:v>9.175303661593779E-3</c:v>
                </c:pt>
                <c:pt idx="24">
                  <c:v>9.6209880929964998E-3</c:v>
                </c:pt>
                <c:pt idx="25">
                  <c:v>1.0042980206275004E-2</c:v>
                </c:pt>
                <c:pt idx="26">
                  <c:v>1.0441886890643732E-2</c:v>
                </c:pt>
                <c:pt idx="27">
                  <c:v>1.0818445296346147E-2</c:v>
                </c:pt>
                <c:pt idx="28">
                  <c:v>1.1173479924798793E-2</c:v>
                </c:pt>
                <c:pt idx="29">
                  <c:v>1.1507869542832887E-2</c:v>
                </c:pt>
                <c:pt idx="30">
                  <c:v>1.1822521874123528E-2</c:v>
                </c:pt>
                <c:pt idx="31">
                  <c:v>1.2118354421281499E-2</c:v>
                </c:pt>
                <c:pt idx="32">
                  <c:v>1.2396280102696821E-2</c:v>
                </c:pt>
                <c:pt idx="33">
                  <c:v>1.2657196657370324E-2</c:v>
                </c:pt>
                <c:pt idx="34">
                  <c:v>1.2901978987950383E-2</c:v>
                </c:pt>
                <c:pt idx="35">
                  <c:v>1.3131473785934397E-2</c:v>
                </c:pt>
                <c:pt idx="36">
                  <c:v>1.3346495921454262E-2</c:v>
                </c:pt>
                <c:pt idx="37">
                  <c:v>1.3547826190039768E-2</c:v>
                </c:pt>
                <c:pt idx="38">
                  <c:v>1.373621009589986E-2</c:v>
                </c:pt>
                <c:pt idx="39">
                  <c:v>1.3912357420204602E-2</c:v>
                </c:pt>
                <c:pt idx="40">
                  <c:v>1.4076942377330435E-2</c:v>
                </c:pt>
                <c:pt idx="41">
                  <c:v>1.4230604205045714E-2</c:v>
                </c:pt>
                <c:pt idx="42">
                  <c:v>1.4373948068553079E-2</c:v>
                </c:pt>
                <c:pt idx="43">
                  <c:v>1.4507546185069763E-2</c:v>
                </c:pt>
                <c:pt idx="44">
                  <c:v>1.4631939096719672E-2</c:v>
                </c:pt>
                <c:pt idx="45">
                  <c:v>1.4747637036123728E-2</c:v>
                </c:pt>
                <c:pt idx="46">
                  <c:v>1.485512134214647E-2</c:v>
                </c:pt>
                <c:pt idx="47">
                  <c:v>1.495484589353129E-2</c:v>
                </c:pt>
                <c:pt idx="48">
                  <c:v>1.5047238536220328E-2</c:v>
                </c:pt>
                <c:pt idx="49">
                  <c:v>1.5132702486471094E-2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2B-4F0F-92C9-939E73F7C2DC}"/>
            </c:ext>
          </c:extLst>
        </c:ser>
        <c:ser>
          <c:idx val="4"/>
          <c:order val="4"/>
          <c:tx>
            <c:strRef>
              <c:f>Gamma!$B$7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Gamma!$C$7:$AZ$7</c:f>
              <c:numCache>
                <c:formatCode>General</c:formatCode>
                <c:ptCount val="50"/>
                <c:pt idx="0">
                  <c:v>3.3905822708430672E-12</c:v>
                </c:pt>
                <c:pt idx="1">
                  <c:v>6.1021351588952594E-7</c:v>
                </c:pt>
                <c:pt idx="2">
                  <c:v>3.1551352715495865E-5</c:v>
                </c:pt>
                <c:pt idx="3">
                  <c:v>2.1731776002153875E-4</c:v>
                </c:pt>
                <c:pt idx="4">
                  <c:v>6.7417515498728662E-4</c:v>
                </c:pt>
                <c:pt idx="5">
                  <c:v>1.4096380488958409E-3</c:v>
                </c:pt>
                <c:pt idx="6">
                  <c:v>2.3582196949555496E-3</c:v>
                </c:pt>
                <c:pt idx="7">
                  <c:v>3.4369932223750682E-3</c:v>
                </c:pt>
                <c:pt idx="8">
                  <c:v>4.5738968285542487E-3</c:v>
                </c:pt>
                <c:pt idx="9">
                  <c:v>5.7155372876400001E-3</c:v>
                </c:pt>
                <c:pt idx="10">
                  <c:v>6.826009463911935E-3</c:v>
                </c:pt>
                <c:pt idx="11">
                  <c:v>7.8830868977911566E-3</c:v>
                </c:pt>
                <c:pt idx="12">
                  <c:v>8.8743607353373982E-3</c:v>
                </c:pt>
                <c:pt idx="13">
                  <c:v>9.7941120622852939E-3</c:v>
                </c:pt>
                <c:pt idx="14">
                  <c:v>1.0641003860392568E-2</c:v>
                </c:pt>
                <c:pt idx="15">
                  <c:v>1.1416458885178874E-2</c:v>
                </c:pt>
                <c:pt idx="16">
                  <c:v>1.2123553089968977E-2</c:v>
                </c:pt>
                <c:pt idx="17">
                  <c:v>1.2766276858927545E-2</c:v>
                </c:pt>
                <c:pt idx="18">
                  <c:v>1.3349051209191403E-2</c:v>
                </c:pt>
                <c:pt idx="19">
                  <c:v>1.3876417664915323E-2</c:v>
                </c:pt>
                <c:pt idx="20">
                  <c:v>1.4352844998591066E-2</c:v>
                </c:pt>
                <c:pt idx="21">
                  <c:v>1.4782613826540546E-2</c:v>
                </c:pt>
                <c:pt idx="22">
                  <c:v>1.5169752537754695E-2</c:v>
                </c:pt>
                <c:pt idx="23">
                  <c:v>1.5518006646572246E-2</c:v>
                </c:pt>
                <c:pt idx="24">
                  <c:v>1.5830829535525757E-2</c:v>
                </c:pt>
                <c:pt idx="25">
                  <c:v>1.6111386541389234E-2</c:v>
                </c:pt>
                <c:pt idx="26">
                  <c:v>1.6362567033840338E-2</c:v>
                </c:pt>
                <c:pt idx="27">
                  <c:v>1.6587000956220531E-2</c:v>
                </c:pt>
                <c:pt idx="28">
                  <c:v>1.6787077524387201E-2</c:v>
                </c:pt>
                <c:pt idx="29">
                  <c:v>1.6964964604488351E-2</c:v>
                </c:pt>
                <c:pt idx="30">
                  <c:v>1.7122627843512966E-2</c:v>
                </c:pt>
                <c:pt idx="31">
                  <c:v>1.7261848995509897E-2</c:v>
                </c:pt>
                <c:pt idx="32">
                  <c:v>1.7384243130865843E-2</c:v>
                </c:pt>
                <c:pt idx="33">
                  <c:v>1.7491274576265117E-2</c:v>
                </c:pt>
                <c:pt idx="34">
                  <c:v>1.7584271536254789E-2</c:v>
                </c:pt>
                <c:pt idx="35">
                  <c:v>1.7664439412282244E-2</c:v>
                </c:pt>
                <c:pt idx="36">
                  <c:v>1.7732872874295067E-2</c:v>
                </c:pt>
                <c:pt idx="37">
                  <c:v>1.7790566762095304E-2</c:v>
                </c:pt>
                <c:pt idx="38">
                  <c:v>1.7838425904472294E-2</c:v>
                </c:pt>
                <c:pt idx="39">
                  <c:v>1.7877273947675212E-2</c:v>
                </c:pt>
                <c:pt idx="40">
                  <c:v>1.7907861283719205E-2</c:v>
                </c:pt>
                <c:pt idx="41">
                  <c:v>1.7930872165161663E-2</c:v>
                </c:pt>
                <c:pt idx="42">
                  <c:v>1.7946931087550258E-2</c:v>
                </c:pt>
                <c:pt idx="43">
                  <c:v>1.7956608514533092E-2</c:v>
                </c:pt>
                <c:pt idx="44">
                  <c:v>1.7960426014155231E-2</c:v>
                </c:pt>
                <c:pt idx="45">
                  <c:v>1.7958860868473807E-2</c:v>
                </c:pt>
                <c:pt idx="46">
                  <c:v>1.7952350212507063E-2</c:v>
                </c:pt>
                <c:pt idx="47">
                  <c:v>1.7941294752804218E-2</c:v>
                </c:pt>
                <c:pt idx="48">
                  <c:v>1.7926062110639199E-2</c:v>
                </c:pt>
                <c:pt idx="49">
                  <c:v>1.7906989830010486E-2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2B-4F0F-92C9-939E73F7C2DC}"/>
            </c:ext>
          </c:extLst>
        </c:ser>
        <c:ser>
          <c:idx val="5"/>
          <c:order val="5"/>
          <c:tx>
            <c:strRef>
              <c:f>Gamma!$B$8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Gamma!$C$8:$AZ$8</c:f>
              <c:numCache>
                <c:formatCode>General</c:formatCode>
                <c:ptCount val="50"/>
                <c:pt idx="0">
                  <c:v>3.4793158250122273E-7</c:v>
                </c:pt>
                <c:pt idx="1">
                  <c:v>1.8120927891742718E-4</c:v>
                </c:pt>
                <c:pt idx="2">
                  <c:v>1.3351896003566924E-3</c:v>
                </c:pt>
                <c:pt idx="3">
                  <c:v>3.4716293491663342E-3</c:v>
                </c:pt>
                <c:pt idx="4">
                  <c:v>6.002867803556796E-3</c:v>
                </c:pt>
                <c:pt idx="5">
                  <c:v>8.5007827825346466E-3</c:v>
                </c:pt>
                <c:pt idx="6">
                  <c:v>1.0765981199439556E-2</c:v>
                </c:pt>
                <c:pt idx="7">
                  <c:v>1.2734636942227621E-2</c:v>
                </c:pt>
                <c:pt idx="8">
                  <c:v>1.4407206646598529E-2</c:v>
                </c:pt>
                <c:pt idx="9">
                  <c:v>1.5810256172317044E-2</c:v>
                </c:pt>
                <c:pt idx="10">
                  <c:v>1.6978284397553434E-2</c:v>
                </c:pt>
                <c:pt idx="11">
                  <c:v>1.7945716109250363E-2</c:v>
                </c:pt>
                <c:pt idx="12">
                  <c:v>1.8743747156104312E-2</c:v>
                </c:pt>
                <c:pt idx="13">
                  <c:v>1.9399412282466211E-2</c:v>
                </c:pt>
                <c:pt idx="14">
                  <c:v>1.9935618528927151E-2</c:v>
                </c:pt>
                <c:pt idx="15">
                  <c:v>2.0371555415962622E-2</c:v>
                </c:pt>
                <c:pt idx="16">
                  <c:v>2.0723213249242645E-2</c:v>
                </c:pt>
                <c:pt idx="17">
                  <c:v>2.1003892934564884E-2</c:v>
                </c:pt>
                <c:pt idx="18">
                  <c:v>2.1224662079564822E-2</c:v>
                </c:pt>
                <c:pt idx="19">
                  <c:v>2.139474487152776E-2</c:v>
                </c:pt>
                <c:pt idx="20">
                  <c:v>2.1521847441877458E-2</c:v>
                </c:pt>
                <c:pt idx="21">
                  <c:v>2.1612425903485721E-2</c:v>
                </c:pt>
                <c:pt idx="22">
                  <c:v>2.16719056929249E-2</c:v>
                </c:pt>
                <c:pt idx="23">
                  <c:v>2.1704860542054501E-2</c:v>
                </c:pt>
                <c:pt idx="24">
                  <c:v>2.1715158426745509E-2</c:v>
                </c:pt>
                <c:pt idx="25">
                  <c:v>2.1706080697378387E-2</c:v>
                </c:pt>
                <c:pt idx="26">
                  <c:v>2.1680419504537175E-2</c:v>
                </c:pt>
                <c:pt idx="27">
                  <c:v>2.1640557676400829E-2</c:v>
                </c:pt>
                <c:pt idx="28">
                  <c:v>2.1588534400753447E-2</c:v>
                </c:pt>
                <c:pt idx="29">
                  <c:v>2.1526099405862077E-2</c:v>
                </c:pt>
                <c:pt idx="30">
                  <c:v>2.1454757802067691E-2</c:v>
                </c:pt>
                <c:pt idx="31">
                  <c:v>2.1375807319016293E-2</c:v>
                </c:pt>
                <c:pt idx="32">
                  <c:v>2.1290369332571966E-2</c:v>
                </c:pt>
                <c:pt idx="33">
                  <c:v>2.1199414803756339E-2</c:v>
                </c:pt>
                <c:pt idx="34">
                  <c:v>2.1103786035546329E-2</c:v>
                </c:pt>
                <c:pt idx="35">
                  <c:v>2.1004214980664671E-2</c:v>
                </c:pt>
                <c:pt idx="36">
                  <c:v>2.0901338695515647E-2</c:v>
                </c:pt>
                <c:pt idx="37">
                  <c:v>2.0795712424927514E-2</c:v>
                </c:pt>
                <c:pt idx="38">
                  <c:v>2.0687820713656921E-2</c:v>
                </c:pt>
                <c:pt idx="39">
                  <c:v>2.0578086869191912E-2</c:v>
                </c:pt>
                <c:pt idx="40">
                  <c:v>2.0466881042717499E-2</c:v>
                </c:pt>
                <c:pt idx="41">
                  <c:v>2.0354527148391106E-2</c:v>
                </c:pt>
                <c:pt idx="42">
                  <c:v>2.0241308803114234E-2</c:v>
                </c:pt>
                <c:pt idx="43">
                  <c:v>2.0127474438042563E-2</c:v>
                </c:pt>
                <c:pt idx="44">
                  <c:v>2.0013241707772886E-2</c:v>
                </c:pt>
                <c:pt idx="45">
                  <c:v>1.9898801302388473E-2</c:v>
                </c:pt>
                <c:pt idx="46">
                  <c:v>1.9784320250465382E-2</c:v>
                </c:pt>
                <c:pt idx="47">
                  <c:v>1.966994478704602E-2</c:v>
                </c:pt>
                <c:pt idx="48">
                  <c:v>1.9555802848917388E-2</c:v>
                </c:pt>
                <c:pt idx="49">
                  <c:v>1.9442006249843845E-2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2B-4F0F-92C9-939E73F7C2DC}"/>
            </c:ext>
          </c:extLst>
        </c:ser>
        <c:ser>
          <c:idx val="6"/>
          <c:order val="6"/>
          <c:tx>
            <c:strRef>
              <c:f>Gamma!$B$9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Gamma!$C$9:$AZ$9</c:f>
              <c:numCache>
                <c:formatCode>General</c:formatCode>
                <c:ptCount val="50"/>
                <c:pt idx="0">
                  <c:v>6.3723381042931444E-4</c:v>
                </c:pt>
                <c:pt idx="1">
                  <c:v>7.2202698909513219E-3</c:v>
                </c:pt>
                <c:pt idx="2">
                  <c:v>1.4851555899595272E-2</c:v>
                </c:pt>
                <c:pt idx="3">
                  <c:v>2.0402828136932075E-2</c:v>
                </c:pt>
                <c:pt idx="4">
                  <c:v>2.40587247501736E-2</c:v>
                </c:pt>
                <c:pt idx="5">
                  <c:v>2.6396354113062119E-2</c:v>
                </c:pt>
                <c:pt idx="6">
                  <c:v>2.7859621858699932E-2</c:v>
                </c:pt>
                <c:pt idx="7">
                  <c:v>2.8743231871235137E-2</c:v>
                </c:pt>
                <c:pt idx="8">
                  <c:v>2.92381675347584E-2</c:v>
                </c:pt>
                <c:pt idx="9">
                  <c:v>2.9469063817634214E-2</c:v>
                </c:pt>
                <c:pt idx="10">
                  <c:v>2.9518562264452687E-2</c:v>
                </c:pt>
                <c:pt idx="11">
                  <c:v>2.9442441919150998E-2</c:v>
                </c:pt>
                <c:pt idx="12">
                  <c:v>2.9278998726647597E-2</c:v>
                </c:pt>
                <c:pt idx="13">
                  <c:v>2.9054934010821321E-2</c:v>
                </c:pt>
                <c:pt idx="14">
                  <c:v>2.8789117348416975E-2</c:v>
                </c:pt>
                <c:pt idx="15">
                  <c:v>2.8495036998019165E-2</c:v>
                </c:pt>
                <c:pt idx="16">
                  <c:v>2.8182425472280361E-2</c:v>
                </c:pt>
                <c:pt idx="17">
                  <c:v>2.7858356943680409E-2</c:v>
                </c:pt>
                <c:pt idx="18">
                  <c:v>2.7528000212608917E-2</c:v>
                </c:pt>
                <c:pt idx="19">
                  <c:v>2.7195143108108638E-2</c:v>
                </c:pt>
                <c:pt idx="20">
                  <c:v>2.6862562717162666E-2</c:v>
                </c:pt>
                <c:pt idx="21">
                  <c:v>2.6532290034906311E-2</c:v>
                </c:pt>
                <c:pt idx="22">
                  <c:v>2.6205801291540386E-2</c:v>
                </c:pt>
                <c:pt idx="23">
                  <c:v>2.5884157693900157E-2</c:v>
                </c:pt>
                <c:pt idx="24">
                  <c:v>2.5568108439573696E-2</c:v>
                </c:pt>
                <c:pt idx="25">
                  <c:v>2.5258167293134105E-2</c:v>
                </c:pt>
                <c:pt idx="26">
                  <c:v>2.4954669937826211E-2</c:v>
                </c:pt>
                <c:pt idx="27">
                  <c:v>2.4657817217182819E-2</c:v>
                </c:pt>
                <c:pt idx="28">
                  <c:v>2.4367707931312481E-2</c:v>
                </c:pt>
                <c:pt idx="29">
                  <c:v>2.4084363839664259E-2</c:v>
                </c:pt>
                <c:pt idx="30">
                  <c:v>2.3807748806682828E-2</c:v>
                </c:pt>
                <c:pt idx="31">
                  <c:v>2.3537783516410442E-2</c:v>
                </c:pt>
                <c:pt idx="32">
                  <c:v>2.3274356814561987E-2</c:v>
                </c:pt>
                <c:pt idx="33">
                  <c:v>2.3017334469579567E-2</c:v>
                </c:pt>
                <c:pt idx="34">
                  <c:v>2.2766565948565552E-2</c:v>
                </c:pt>
                <c:pt idx="35">
                  <c:v>2.2521889659583717E-2</c:v>
                </c:pt>
                <c:pt idx="36">
                  <c:v>2.2283137004427529E-2</c:v>
                </c:pt>
                <c:pt idx="37">
                  <c:v>2.2050135505545715E-2</c:v>
                </c:pt>
                <c:pt idx="38">
                  <c:v>2.1822711210221692E-2</c:v>
                </c:pt>
                <c:pt idx="39">
                  <c:v>2.1600690529166151E-2</c:v>
                </c:pt>
                <c:pt idx="40">
                  <c:v>2.1383901631658712E-2</c:v>
                </c:pt>
                <c:pt idx="41">
                  <c:v>2.1172175492530171E-2</c:v>
                </c:pt>
                <c:pt idx="42">
                  <c:v>2.0965346665598798E-2</c:v>
                </c:pt>
                <c:pt idx="43">
                  <c:v>2.0763253842171595E-2</c:v>
                </c:pt>
                <c:pt idx="44">
                  <c:v>2.0565740240783316E-2</c:v>
                </c:pt>
                <c:pt idx="45">
                  <c:v>2.0372653864638709E-2</c:v>
                </c:pt>
                <c:pt idx="46">
                  <c:v>2.0183847655619067E-2</c:v>
                </c:pt>
                <c:pt idx="47">
                  <c:v>1.9999179567735635E-2</c:v>
                </c:pt>
                <c:pt idx="48">
                  <c:v>1.9818512578197525E-2</c:v>
                </c:pt>
                <c:pt idx="49">
                  <c:v>1.964171465053164E-2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2B-4F0F-92C9-939E73F7C2DC}"/>
            </c:ext>
          </c:extLst>
        </c:ser>
        <c:ser>
          <c:idx val="7"/>
          <c:order val="7"/>
          <c:tx>
            <c:strRef>
              <c:f>Gamma!$B$10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Gamma!$C$10:$AZ$10</c:f>
              <c:numCache>
                <c:formatCode>General</c:formatCode>
                <c:ptCount val="50"/>
                <c:pt idx="0">
                  <c:v>3.8441261874572009E-2</c:v>
                </c:pt>
                <c:pt idx="1">
                  <c:v>5.2414503254015789E-2</c:v>
                </c:pt>
                <c:pt idx="2">
                  <c:v>5.3227540948401569E-2</c:v>
                </c:pt>
                <c:pt idx="3">
                  <c:v>5.1379281037838453E-2</c:v>
                </c:pt>
                <c:pt idx="4">
                  <c:v>4.9024161779533067E-2</c:v>
                </c:pt>
                <c:pt idx="5">
                  <c:v>4.670622857015766E-2</c:v>
                </c:pt>
                <c:pt idx="6">
                  <c:v>4.4567221413124185E-2</c:v>
                </c:pt>
                <c:pt idx="7">
                  <c:v>4.2631739576590874E-2</c:v>
                </c:pt>
                <c:pt idx="8">
                  <c:v>4.0888684659269085E-2</c:v>
                </c:pt>
                <c:pt idx="9">
                  <c:v>3.9317306319057527E-2</c:v>
                </c:pt>
                <c:pt idx="10">
                  <c:v>3.7895932961868335E-2</c:v>
                </c:pt>
                <c:pt idx="11">
                  <c:v>3.6604787028204494E-2</c:v>
                </c:pt>
                <c:pt idx="12">
                  <c:v>3.5426685718783324E-2</c:v>
                </c:pt>
                <c:pt idx="13">
                  <c:v>3.4346990827101728E-2</c:v>
                </c:pt>
                <c:pt idx="14">
                  <c:v>3.335331829105008E-2</c:v>
                </c:pt>
                <c:pt idx="15">
                  <c:v>3.2435200235792903E-2</c:v>
                </c:pt>
                <c:pt idx="16">
                  <c:v>3.1583769019488048E-2</c:v>
                </c:pt>
                <c:pt idx="17">
                  <c:v>3.0791484240359053E-2</c:v>
                </c:pt>
                <c:pt idx="18">
                  <c:v>3.0051904889462275E-2</c:v>
                </c:pt>
                <c:pt idx="19">
                  <c:v>2.9359502161316494E-2</c:v>
                </c:pt>
                <c:pt idx="20">
                  <c:v>2.8709506660872505E-2</c:v>
                </c:pt>
                <c:pt idx="21">
                  <c:v>2.8097783871693975E-2</c:v>
                </c:pt>
                <c:pt idx="22">
                  <c:v>2.7520732523333185E-2</c:v>
                </c:pt>
                <c:pt idx="23">
                  <c:v>2.6975201402602338E-2</c:v>
                </c:pt>
                <c:pt idx="24">
                  <c:v>2.6458420997554591E-2</c:v>
                </c:pt>
                <c:pt idx="25">
                  <c:v>2.5967947082823985E-2</c:v>
                </c:pt>
                <c:pt idx="26">
                  <c:v>2.5501613943872944E-2</c:v>
                </c:pt>
                <c:pt idx="27">
                  <c:v>2.5057495409369166E-2</c:v>
                </c:pt>
                <c:pt idx="28">
                  <c:v>2.4633872234648736E-2</c:v>
                </c:pt>
                <c:pt idx="29">
                  <c:v>2.4229204673908024E-2</c:v>
                </c:pt>
                <c:pt idx="30">
                  <c:v>2.3842109310802242E-2</c:v>
                </c:pt>
                <c:pt idx="31">
                  <c:v>2.3471339399977437E-2</c:v>
                </c:pt>
                <c:pt idx="32">
                  <c:v>2.3115768116465291E-2</c:v>
                </c:pt>
                <c:pt idx="33">
                  <c:v>2.2774374224258393E-2</c:v>
                </c:pt>
                <c:pt idx="34">
                  <c:v>2.2446229766323472E-2</c:v>
                </c:pt>
                <c:pt idx="35">
                  <c:v>2.2130489450894245E-2</c:v>
                </c:pt>
                <c:pt idx="36">
                  <c:v>2.1826381467059425E-2</c:v>
                </c:pt>
                <c:pt idx="37">
                  <c:v>2.1533199509483875E-2</c:v>
                </c:pt>
                <c:pt idx="38">
                  <c:v>2.1250295829948276E-2</c:v>
                </c:pt>
                <c:pt idx="39">
                  <c:v>2.0977075164115507E-2</c:v>
                </c:pt>
                <c:pt idx="40">
                  <c:v>2.0712989406975881E-2</c:v>
                </c:pt>
                <c:pt idx="41">
                  <c:v>2.045753293092302E-2</c:v>
                </c:pt>
                <c:pt idx="42">
                  <c:v>2.0210238457259114E-2</c:v>
                </c:pt>
                <c:pt idx="43">
                  <c:v>1.9970673405828365E-2</c:v>
                </c:pt>
                <c:pt idx="44">
                  <c:v>1.9738436658990017E-2</c:v>
                </c:pt>
                <c:pt idx="45">
                  <c:v>1.9513155685712526E-2</c:v>
                </c:pt>
                <c:pt idx="46">
                  <c:v>1.9294483979555334E-2</c:v>
                </c:pt>
                <c:pt idx="47">
                  <c:v>1.9082098770989597E-2</c:v>
                </c:pt>
                <c:pt idx="48">
                  <c:v>1.8875698980125085E-2</c:v>
                </c:pt>
                <c:pt idx="49">
                  <c:v>1.8675003380643759E-2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A2B-4F0F-92C9-939E73F7C2DC}"/>
            </c:ext>
          </c:extLst>
        </c:ser>
        <c:ser>
          <c:idx val="8"/>
          <c:order val="8"/>
          <c:tx>
            <c:strRef>
              <c:f>Gamma!$B$11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Gamma!$C$11:$AZ$11</c:f>
              <c:numCache>
                <c:formatCode>General</c:formatCode>
                <c:ptCount val="50"/>
                <c:pt idx="0">
                  <c:v>0.12601477970020519</c:v>
                </c:pt>
                <c:pt idx="1">
                  <c:v>8.9005717478522636E-2</c:v>
                </c:pt>
                <c:pt idx="2">
                  <c:v>7.2591153003284115E-2</c:v>
                </c:pt>
                <c:pt idx="3">
                  <c:v>6.2795098352771278E-2</c:v>
                </c:pt>
                <c:pt idx="4">
                  <c:v>5.6102492608372502E-2</c:v>
                </c:pt>
                <c:pt idx="5">
                  <c:v>5.1156750826999199E-2</c:v>
                </c:pt>
                <c:pt idx="6">
                  <c:v>4.730869592301469E-2</c:v>
                </c:pt>
                <c:pt idx="7">
                  <c:v>4.4203475996246966E-2</c:v>
                </c:pt>
                <c:pt idx="8">
                  <c:v>4.1628578335024279E-2</c:v>
                </c:pt>
                <c:pt idx="9">
                  <c:v>3.9447933090788895E-2</c:v>
                </c:pt>
                <c:pt idx="10">
                  <c:v>3.7569838573154178E-2</c:v>
                </c:pt>
                <c:pt idx="11">
                  <c:v>3.5929937958321799E-2</c:v>
                </c:pt>
                <c:pt idx="12">
                  <c:v>3.4481554212551765E-2</c:v>
                </c:pt>
                <c:pt idx="13">
                  <c:v>3.3189897401270013E-2</c:v>
                </c:pt>
                <c:pt idx="14">
                  <c:v>3.2028434895757518E-2</c:v>
                </c:pt>
                <c:pt idx="15">
                  <c:v>3.0976530532551543E-2</c:v>
                </c:pt>
                <c:pt idx="16">
                  <c:v>3.0017859681733601E-2</c:v>
                </c:pt>
                <c:pt idx="17">
                  <c:v>2.9139315788165681E-2</c:v>
                </c:pt>
                <c:pt idx="18">
                  <c:v>2.8330237855564874E-2</c:v>
                </c:pt>
                <c:pt idx="19">
                  <c:v>2.7581853166270594E-2</c:v>
                </c:pt>
                <c:pt idx="20">
                  <c:v>2.6886867770049713E-2</c:v>
                </c:pt>
                <c:pt idx="21">
                  <c:v>2.6239160557133951E-2</c:v>
                </c:pt>
                <c:pt idx="22">
                  <c:v>2.5633551306602057E-2</c:v>
                </c:pt>
                <c:pt idx="23">
                  <c:v>2.5065622456674288E-2</c:v>
                </c:pt>
                <c:pt idx="24">
                  <c:v>2.4531580483881502E-2</c:v>
                </c:pt>
                <c:pt idx="25">
                  <c:v>2.4028146890383732E-2</c:v>
                </c:pt>
                <c:pt idx="26">
                  <c:v>2.3552471603653233E-2</c:v>
                </c:pt>
                <c:pt idx="27">
                  <c:v>2.3102063538126733E-2</c:v>
                </c:pt>
                <c:pt idx="28">
                  <c:v>2.2674734438440241E-2</c:v>
                </c:pt>
                <c:pt idx="29">
                  <c:v>2.2268553102305574E-2</c:v>
                </c:pt>
                <c:pt idx="30">
                  <c:v>2.1881807788990112E-2</c:v>
                </c:pt>
                <c:pt idx="31">
                  <c:v>2.1512975137699085E-2</c:v>
                </c:pt>
                <c:pt idx="32">
                  <c:v>2.116069430393883E-2</c:v>
                </c:pt>
                <c:pt idx="33">
                  <c:v>2.0823745309046258E-2</c:v>
                </c:pt>
                <c:pt idx="34">
                  <c:v>2.0501030814938835E-2</c:v>
                </c:pt>
                <c:pt idx="35">
                  <c:v>2.0191560701439622E-2</c:v>
                </c:pt>
                <c:pt idx="36">
                  <c:v>1.9894438950596498E-2</c:v>
                </c:pt>
                <c:pt idx="37">
                  <c:v>1.9608852440866732E-2</c:v>
                </c:pt>
                <c:pt idx="38">
                  <c:v>1.9334061330894017E-2</c:v>
                </c:pt>
                <c:pt idx="39">
                  <c:v>1.9069390773026208E-2</c:v>
                </c:pt>
                <c:pt idx="40">
                  <c:v>1.8814223744540053E-2</c:v>
                </c:pt>
                <c:pt idx="41">
                  <c:v>1.8567994822622547E-2</c:v>
                </c:pt>
                <c:pt idx="42">
                  <c:v>1.8330184759670066E-2</c:v>
                </c:pt>
                <c:pt idx="43">
                  <c:v>1.8100315740050391E-2</c:v>
                </c:pt>
                <c:pt idx="44">
                  <c:v>1.7877947219388072E-2</c:v>
                </c:pt>
                <c:pt idx="45">
                  <c:v>1.7662672263648489E-2</c:v>
                </c:pt>
                <c:pt idx="46">
                  <c:v>1.7454114318564019E-2</c:v>
                </c:pt>
                <c:pt idx="47">
                  <c:v>1.7251924350851457E-2</c:v>
                </c:pt>
                <c:pt idx="48">
                  <c:v>1.7055778311675065E-2</c:v>
                </c:pt>
                <c:pt idx="49">
                  <c:v>1.6865374880276125E-2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A2B-4F0F-92C9-939E73F7C2DC}"/>
            </c:ext>
          </c:extLst>
        </c:ser>
        <c:ser>
          <c:idx val="9"/>
          <c:order val="9"/>
          <c:tx>
            <c:strRef>
              <c:f>Gamma!$B$12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Gamma!$C$12:$AZ$12</c:f>
              <c:numCache>
                <c:formatCode>General</c:formatCode>
                <c:ptCount val="50"/>
                <c:pt idx="0">
                  <c:v>3.3926069444668298E-2</c:v>
                </c:pt>
                <c:pt idx="1">
                  <c:v>4.3449753071981685E-2</c:v>
                </c:pt>
                <c:pt idx="2">
                  <c:v>4.3212117686085329E-2</c:v>
                </c:pt>
                <c:pt idx="3">
                  <c:v>4.1278492158452362E-2</c:v>
                </c:pt>
                <c:pt idx="4">
                  <c:v>3.9140464152421513E-2</c:v>
                </c:pt>
                <c:pt idx="5">
                  <c:v>3.7134472308525492E-2</c:v>
                </c:pt>
                <c:pt idx="6">
                  <c:v>3.5328302741473985E-2</c:v>
                </c:pt>
                <c:pt idx="7">
                  <c:v>3.3718545937390328E-2</c:v>
                </c:pt>
                <c:pt idx="8">
                  <c:v>3.2283704705699044E-2</c:v>
                </c:pt>
                <c:pt idx="9">
                  <c:v>3.0999845988993833E-2</c:v>
                </c:pt>
                <c:pt idx="10">
                  <c:v>2.9845154867104241E-2</c:v>
                </c:pt>
                <c:pt idx="11">
                  <c:v>2.8800962084896738E-2</c:v>
                </c:pt>
                <c:pt idx="12">
                  <c:v>2.7851649216456921E-2</c:v>
                </c:pt>
                <c:pt idx="13">
                  <c:v>2.6984239596275317E-2</c:v>
                </c:pt>
                <c:pt idx="14">
                  <c:v>2.6187949205915512E-2</c:v>
                </c:pt>
                <c:pt idx="15">
                  <c:v>2.5453784212774371E-2</c:v>
                </c:pt>
                <c:pt idx="16">
                  <c:v>2.4774205117917496E-2</c:v>
                </c:pt>
                <c:pt idx="17">
                  <c:v>2.4142854638570039E-2</c:v>
                </c:pt>
                <c:pt idx="18">
                  <c:v>2.3554339843767848E-2</c:v>
                </c:pt>
                <c:pt idx="19">
                  <c:v>2.3004058320651034E-2</c:v>
                </c:pt>
                <c:pt idx="20">
                  <c:v>2.2488059330242807E-2</c:v>
                </c:pt>
                <c:pt idx="21">
                  <c:v>2.2002932529617505E-2</c:v>
                </c:pt>
                <c:pt idx="22">
                  <c:v>2.1545718365481119E-2</c:v>
                </c:pt>
                <c:pt idx="23">
                  <c:v>2.1113835528676544E-2</c:v>
                </c:pt>
                <c:pt idx="24">
                  <c:v>2.0705021885851421E-2</c:v>
                </c:pt>
                <c:pt idx="25">
                  <c:v>2.0317286105818386E-2</c:v>
                </c:pt>
                <c:pt idx="26">
                  <c:v>1.994886781655179E-2</c:v>
                </c:pt>
                <c:pt idx="27">
                  <c:v>1.9598204603990407E-2</c:v>
                </c:pt>
                <c:pt idx="28">
                  <c:v>1.9263904528874987E-2</c:v>
                </c:pt>
                <c:pt idx="29">
                  <c:v>1.8944723118837964E-2</c:v>
                </c:pt>
                <c:pt idx="30">
                  <c:v>1.8639544009979449E-2</c:v>
                </c:pt>
                <c:pt idx="31">
                  <c:v>1.83473625804902E-2</c:v>
                </c:pt>
                <c:pt idx="32">
                  <c:v>1.8067272050067282E-2</c:v>
                </c:pt>
                <c:pt idx="33">
                  <c:v>1.7798451621625064E-2</c:v>
                </c:pt>
                <c:pt idx="34">
                  <c:v>1.7540156322711244E-2</c:v>
                </c:pt>
                <c:pt idx="35">
                  <c:v>1.7291708268073674E-2</c:v>
                </c:pt>
                <c:pt idx="36">
                  <c:v>1.7052489115768971E-2</c:v>
                </c:pt>
                <c:pt idx="37">
                  <c:v>1.6821933529941713E-2</c:v>
                </c:pt>
                <c:pt idx="38">
                  <c:v>1.6599523496140179E-2</c:v>
                </c:pt>
                <c:pt idx="39">
                  <c:v>1.6384783361470954E-2</c:v>
                </c:pt>
                <c:pt idx="40">
                  <c:v>1.6177275493342708E-2</c:v>
                </c:pt>
                <c:pt idx="41">
                  <c:v>1.597659646803061E-2</c:v>
                </c:pt>
                <c:pt idx="42">
                  <c:v>1.5782373714603122E-2</c:v>
                </c:pt>
                <c:pt idx="43">
                  <c:v>1.5594262551517697E-2</c:v>
                </c:pt>
                <c:pt idx="44">
                  <c:v>1.5411943562904132E-2</c:v>
                </c:pt>
                <c:pt idx="45">
                  <c:v>1.5235120269603136E-2</c:v>
                </c:pt>
                <c:pt idx="46">
                  <c:v>1.5063517056724691E-2</c:v>
                </c:pt>
                <c:pt idx="47">
                  <c:v>1.4896877325082502E-2</c:v>
                </c:pt>
                <c:pt idx="48">
                  <c:v>1.4734961838547283E-2</c:v>
                </c:pt>
                <c:pt idx="49">
                  <c:v>1.4577547243302309E-2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A2B-4F0F-92C9-939E73F7C2DC}"/>
            </c:ext>
          </c:extLst>
        </c:ser>
        <c:ser>
          <c:idx val="10"/>
          <c:order val="10"/>
          <c:tx>
            <c:strRef>
              <c:f>Gamma!$B$13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Gamma!$C$13:$AZ$13</c:f>
              <c:numCache>
                <c:formatCode>General</c:formatCode>
                <c:ptCount val="50"/>
                <c:pt idx="0">
                  <c:v>1.0577125055269184E-3</c:v>
                </c:pt>
                <c:pt idx="1">
                  <c:v>7.2385257929532577E-3</c:v>
                </c:pt>
                <c:pt idx="2">
                  <c:v>1.2585716288856257E-2</c:v>
                </c:pt>
                <c:pt idx="3">
                  <c:v>1.5896481134192911E-2</c:v>
                </c:pt>
                <c:pt idx="4">
                  <c:v>1.7823213843019742E-2</c:v>
                </c:pt>
                <c:pt idx="5">
                  <c:v>1.8908593172743498E-2</c:v>
                </c:pt>
                <c:pt idx="6">
                  <c:v>1.9483332622964502E-2</c:v>
                </c:pt>
                <c:pt idx="7">
                  <c:v>1.9742547542846395E-2</c:v>
                </c:pt>
                <c:pt idx="8">
                  <c:v>1.9803191408745976E-2</c:v>
                </c:pt>
                <c:pt idx="9">
                  <c:v>1.9737190221859435E-2</c:v>
                </c:pt>
                <c:pt idx="10">
                  <c:v>1.9589929669154654E-2</c:v>
                </c:pt>
                <c:pt idx="11">
                  <c:v>1.9390711432614016E-2</c:v>
                </c:pt>
                <c:pt idx="12">
                  <c:v>1.9158821981085879E-2</c:v>
                </c:pt>
                <c:pt idx="13">
                  <c:v>1.890715513011423E-2</c:v>
                </c:pt>
                <c:pt idx="14">
                  <c:v>1.8644433631487912E-2</c:v>
                </c:pt>
                <c:pt idx="15">
                  <c:v>1.8376605941409354E-2</c:v>
                </c:pt>
                <c:pt idx="16">
                  <c:v>1.8107744393202695E-2</c:v>
                </c:pt>
                <c:pt idx="17">
                  <c:v>1.7840634519514936E-2</c:v>
                </c:pt>
                <c:pt idx="18">
                  <c:v>1.7577168740926678E-2</c:v>
                </c:pt>
                <c:pt idx="19">
                  <c:v>1.7318613598151577E-2</c:v>
                </c:pt>
                <c:pt idx="20">
                  <c:v>1.7065793729784985E-2</c:v>
                </c:pt>
                <c:pt idx="21">
                  <c:v>1.6819220121194238E-2</c:v>
                </c:pt>
                <c:pt idx="22">
                  <c:v>1.6579180486053939E-2</c:v>
                </c:pt>
                <c:pt idx="23">
                  <c:v>1.6345803566445494E-2</c:v>
                </c:pt>
                <c:pt idx="24">
                  <c:v>1.6119105248291538E-2</c:v>
                </c:pt>
                <c:pt idx="25">
                  <c:v>1.5899021857614021E-2</c:v>
                </c:pt>
                <c:pt idx="26">
                  <c:v>1.5685434330171975E-2</c:v>
                </c:pt>
                <c:pt idx="27">
                  <c:v>1.5478185825660093E-2</c:v>
                </c:pt>
                <c:pt idx="28">
                  <c:v>1.5277094596122202E-2</c:v>
                </c:pt>
                <c:pt idx="29">
                  <c:v>1.5081963394812055E-2</c:v>
                </c:pt>
                <c:pt idx="30">
                  <c:v>1.4892586347940781E-2</c:v>
                </c:pt>
                <c:pt idx="31">
                  <c:v>1.4708753956283844E-2</c:v>
                </c:pt>
                <c:pt idx="32">
                  <c:v>1.4530256712505492E-2</c:v>
                </c:pt>
                <c:pt idx="33">
                  <c:v>1.4356887690516983E-2</c:v>
                </c:pt>
                <c:pt idx="34">
                  <c:v>1.418844436977096E-2</c:v>
                </c:pt>
                <c:pt idx="35">
                  <c:v>1.4024729889521911E-2</c:v>
                </c:pt>
                <c:pt idx="36">
                  <c:v>1.3865553878423267E-2</c:v>
                </c:pt>
                <c:pt idx="37">
                  <c:v>1.3710732968263587E-2</c:v>
                </c:pt>
                <c:pt idx="38">
                  <c:v>1.3560091073557519E-2</c:v>
                </c:pt>
                <c:pt idx="39">
                  <c:v>1.3413459498534527E-2</c:v>
                </c:pt>
                <c:pt idx="40">
                  <c:v>1.3270676917971298E-2</c:v>
                </c:pt>
                <c:pt idx="41">
                  <c:v>1.3131589266965031E-2</c:v>
                </c:pt>
                <c:pt idx="42">
                  <c:v>1.2996049566180071E-2</c:v>
                </c:pt>
                <c:pt idx="43">
                  <c:v>1.2863917702614122E-2</c:v>
                </c:pt>
                <c:pt idx="44">
                  <c:v>1.2735060181003694E-2</c:v>
                </c:pt>
                <c:pt idx="45">
                  <c:v>1.260934985723686E-2</c:v>
                </c:pt>
                <c:pt idx="46">
                  <c:v>1.2486665662279538E-2</c:v>
                </c:pt>
                <c:pt idx="47">
                  <c:v>1.236689232293476E-2</c:v>
                </c:pt>
                <c:pt idx="48">
                  <c:v>1.2249920084082938E-2</c:v>
                </c:pt>
                <c:pt idx="49">
                  <c:v>1.2135644435772964E-2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A2B-4F0F-92C9-939E73F7C2DC}"/>
            </c:ext>
          </c:extLst>
        </c:ser>
        <c:ser>
          <c:idx val="11"/>
          <c:order val="11"/>
          <c:tx>
            <c:strRef>
              <c:f>Gamma!$B$14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Gamma!$C$14:$AZ$14</c:f>
              <c:numCache>
                <c:formatCode>General</c:formatCode>
                <c:ptCount val="50"/>
                <c:pt idx="0">
                  <c:v>5.0939285700327121E-6</c:v>
                </c:pt>
                <c:pt idx="1">
                  <c:v>4.7518343000644376E-4</c:v>
                </c:pt>
                <c:pt idx="2">
                  <c:v>1.9736239926009679E-3</c:v>
                </c:pt>
                <c:pt idx="3">
                  <c:v>3.852788206715317E-3</c:v>
                </c:pt>
                <c:pt idx="4">
                  <c:v>5.6093527215653792E-3</c:v>
                </c:pt>
                <c:pt idx="5">
                  <c:v>7.0830615084530825E-3</c:v>
                </c:pt>
                <c:pt idx="6">
                  <c:v>8.2651375479295131E-3</c:v>
                </c:pt>
                <c:pt idx="7">
                  <c:v>9.1940914034214817E-3</c:v>
                </c:pt>
                <c:pt idx="8">
                  <c:v>9.9164315716425786E-3</c:v>
                </c:pt>
                <c:pt idx="9">
                  <c:v>1.0474112849205521E-2</c:v>
                </c:pt>
                <c:pt idx="10">
                  <c:v>1.0901657745085901E-2</c:v>
                </c:pt>
                <c:pt idx="11">
                  <c:v>1.1226469401526022E-2</c:v>
                </c:pt>
                <c:pt idx="12">
                  <c:v>1.1470001117776157E-2</c:v>
                </c:pt>
                <c:pt idx="13">
                  <c:v>1.1648987085762071E-2</c:v>
                </c:pt>
                <c:pt idx="14">
                  <c:v>1.1776498483790461E-2</c:v>
                </c:pt>
                <c:pt idx="15">
                  <c:v>1.186278531460724E-2</c:v>
                </c:pt>
                <c:pt idx="16">
                  <c:v>1.1915926788068035E-2</c:v>
                </c:pt>
                <c:pt idx="17">
                  <c:v>1.1942327297960445E-2</c:v>
                </c:pt>
                <c:pt idx="18">
                  <c:v>1.1947093147551819E-2</c:v>
                </c:pt>
                <c:pt idx="19">
                  <c:v>1.1934318929118738E-2</c:v>
                </c:pt>
                <c:pt idx="20">
                  <c:v>1.190730597641447E-2</c:v>
                </c:pt>
                <c:pt idx="21">
                  <c:v>1.1868729820784501E-2</c:v>
                </c:pt>
                <c:pt idx="22">
                  <c:v>1.1820769286030574E-2</c:v>
                </c:pt>
                <c:pt idx="23">
                  <c:v>1.1765206612618236E-2</c:v>
                </c:pt>
                <c:pt idx="24">
                  <c:v>1.1703505592063302E-2</c:v>
                </c:pt>
                <c:pt idx="25">
                  <c:v>1.1636872915305791E-2</c:v>
                </c:pt>
                <c:pt idx="26">
                  <c:v>1.1566306630752733E-2</c:v>
                </c:pt>
                <c:pt idx="27">
                  <c:v>1.1492634643367921E-2</c:v>
                </c:pt>
                <c:pt idx="28">
                  <c:v>1.1416545472987236E-2</c:v>
                </c:pt>
                <c:pt idx="29">
                  <c:v>1.1338612960202376E-2</c:v>
                </c:pt>
                <c:pt idx="30">
                  <c:v>1.1259316212514617E-2</c:v>
                </c:pt>
                <c:pt idx="31">
                  <c:v>1.1179055786390299E-2</c:v>
                </c:pt>
                <c:pt idx="32">
                  <c:v>1.1098166876515261E-2</c:v>
                </c:pt>
                <c:pt idx="33">
                  <c:v>1.1016930113157526E-2</c:v>
                </c:pt>
                <c:pt idx="34">
                  <c:v>1.0935580438387377E-2</c:v>
                </c:pt>
                <c:pt idx="35">
                  <c:v>1.0854314431909349E-2</c:v>
                </c:pt>
                <c:pt idx="36">
                  <c:v>1.0773296380013269E-2</c:v>
                </c:pt>
                <c:pt idx="37">
                  <c:v>1.0692663321153491E-2</c:v>
                </c:pt>
                <c:pt idx="38">
                  <c:v>1.0612529254820119E-2</c:v>
                </c:pt>
                <c:pt idx="39">
                  <c:v>1.0532988663603709E-2</c:v>
                </c:pt>
                <c:pt idx="40">
                  <c:v>1.045411946936373E-2</c:v>
                </c:pt>
                <c:pt idx="41">
                  <c:v>1.0375985521439403E-2</c:v>
                </c:pt>
                <c:pt idx="42">
                  <c:v>1.0298638696556605E-2</c:v>
                </c:pt>
                <c:pt idx="43">
                  <c:v>1.0222120675465525E-2</c:v>
                </c:pt>
                <c:pt idx="44">
                  <c:v>1.01464644496065E-2</c:v>
                </c:pt>
                <c:pt idx="45">
                  <c:v>1.0071695601638883E-2</c:v>
                </c:pt>
                <c:pt idx="46">
                  <c:v>9.9978333960094642E-3</c:v>
                </c:pt>
                <c:pt idx="47">
                  <c:v>9.9248917095149988E-3</c:v>
                </c:pt>
                <c:pt idx="48">
                  <c:v>9.8528798267401019E-3</c:v>
                </c:pt>
                <c:pt idx="49">
                  <c:v>9.7818031211006871E-3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A2B-4F0F-92C9-939E73F7C2DC}"/>
            </c:ext>
          </c:extLst>
        </c:ser>
        <c:ser>
          <c:idx val="12"/>
          <c:order val="12"/>
          <c:tx>
            <c:strRef>
              <c:f>Gamma!$B$15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Gamma!$C$15:$AZ$15</c:f>
              <c:numCache>
                <c:formatCode>General</c:formatCode>
                <c:ptCount val="50"/>
                <c:pt idx="0">
                  <c:v>4.8333065983836836E-9</c:v>
                </c:pt>
                <c:pt idx="1">
                  <c:v>1.3878827508435486E-5</c:v>
                </c:pt>
                <c:pt idx="2">
                  <c:v>1.8065746203269184E-4</c:v>
                </c:pt>
                <c:pt idx="3">
                  <c:v>6.2433347878451608E-4</c:v>
                </c:pt>
                <c:pt idx="4">
                  <c:v>1.280513723504407E-3</c:v>
                </c:pt>
                <c:pt idx="5">
                  <c:v>2.0319475824949755E-3</c:v>
                </c:pt>
                <c:pt idx="6">
                  <c:v>2.7913416838140025E-3</c:v>
                </c:pt>
                <c:pt idx="7">
                  <c:v>3.5093388466936426E-3</c:v>
                </c:pt>
                <c:pt idx="8">
                  <c:v>4.1630686520652089E-3</c:v>
                </c:pt>
                <c:pt idx="9">
                  <c:v>4.7451367772989462E-3</c:v>
                </c:pt>
                <c:pt idx="10">
                  <c:v>5.2563470273733169E-3</c:v>
                </c:pt>
                <c:pt idx="11">
                  <c:v>5.701441643331721E-3</c:v>
                </c:pt>
                <c:pt idx="12">
                  <c:v>6.0867535244754642E-3</c:v>
                </c:pt>
                <c:pt idx="13">
                  <c:v>6.4189702738313096E-3</c:v>
                </c:pt>
                <c:pt idx="14">
                  <c:v>6.7045196326899403E-3</c:v>
                </c:pt>
                <c:pt idx="15">
                  <c:v>6.9492935465572045E-3</c:v>
                </c:pt>
                <c:pt idx="16">
                  <c:v>7.1585521783917392E-3</c:v>
                </c:pt>
                <c:pt idx="17">
                  <c:v>7.3369200920249929E-3</c:v>
                </c:pt>
                <c:pt idx="18">
                  <c:v>7.488426613884428E-3</c:v>
                </c:pt>
                <c:pt idx="19">
                  <c:v>7.6165645282489057E-3</c:v>
                </c:pt>
                <c:pt idx="20">
                  <c:v>7.7243535338541326E-3</c:v>
                </c:pt>
                <c:pt idx="21">
                  <c:v>7.814401654096555E-3</c:v>
                </c:pt>
                <c:pt idx="22">
                  <c:v>7.8889614860402687E-3</c:v>
                </c:pt>
                <c:pt idx="23">
                  <c:v>7.9499801538576303E-3</c:v>
                </c:pt>
                <c:pt idx="24">
                  <c:v>7.9991428598909092E-3</c:v>
                </c:pt>
                <c:pt idx="25">
                  <c:v>8.037910427134691E-3</c:v>
                </c:pt>
                <c:pt idx="26">
                  <c:v>8.0675514399030646E-3</c:v>
                </c:pt>
                <c:pt idx="27">
                  <c:v>8.0891696491791707E-3</c:v>
                </c:pt>
                <c:pt idx="28">
                  <c:v>8.1037272908587223E-3</c:v>
                </c:pt>
                <c:pt idx="29">
                  <c:v>8.1120649104783841E-3</c:v>
                </c:pt>
                <c:pt idx="30">
                  <c:v>8.114918219744029E-3</c:v>
                </c:pt>
                <c:pt idx="31">
                  <c:v>8.112932440177089E-3</c:v>
                </c:pt>
                <c:pt idx="32">
                  <c:v>8.1066745233780279E-3</c:v>
                </c:pt>
                <c:pt idx="33">
                  <c:v>8.0966435783224305E-3</c:v>
                </c:pt>
                <c:pt idx="34">
                  <c:v>8.0832797845118987E-3</c:v>
                </c:pt>
                <c:pt idx="35">
                  <c:v>8.0669720255233217E-3</c:v>
                </c:pt>
                <c:pt idx="36">
                  <c:v>8.0480644399215599E-3</c:v>
                </c:pt>
                <c:pt idx="37">
                  <c:v>8.0268620548382894E-3</c:v>
                </c:pt>
                <c:pt idx="38">
                  <c:v>8.003635640964922E-3</c:v>
                </c:pt>
                <c:pt idx="39">
                  <c:v>7.9786259054980633E-3</c:v>
                </c:pt>
                <c:pt idx="40">
                  <c:v>7.9520471210283994E-3</c:v>
                </c:pt>
                <c:pt idx="41">
                  <c:v>7.9240902728828517E-3</c:v>
                </c:pt>
                <c:pt idx="42">
                  <c:v>7.8949257945064941E-3</c:v>
                </c:pt>
                <c:pt idx="43">
                  <c:v>7.8647059496753744E-3</c:v>
                </c:pt>
                <c:pt idx="44">
                  <c:v>7.8335669113043412E-3</c:v>
                </c:pt>
                <c:pt idx="45">
                  <c:v>7.8016305790555547E-3</c:v>
                </c:pt>
                <c:pt idx="46">
                  <c:v>7.7690061716150184E-3</c:v>
                </c:pt>
                <c:pt idx="47">
                  <c:v>7.7357916241801526E-3</c:v>
                </c:pt>
                <c:pt idx="48">
                  <c:v>7.7020748172209174E-3</c:v>
                </c:pt>
                <c:pt idx="49">
                  <c:v>7.6679346587994884E-3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A2B-4F0F-92C9-939E73F7C2DC}"/>
            </c:ext>
          </c:extLst>
        </c:ser>
        <c:ser>
          <c:idx val="13"/>
          <c:order val="13"/>
          <c:tx>
            <c:strRef>
              <c:f>Gamma!$B$16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Gamma!$C$16:$AZ$16</c:f>
              <c:numCache>
                <c:formatCode>General</c:formatCode>
                <c:ptCount val="50"/>
                <c:pt idx="0">
                  <c:v>1.1110259985098397E-12</c:v>
                </c:pt>
                <c:pt idx="1">
                  <c:v>1.9995476488667826E-7</c:v>
                </c:pt>
                <c:pt idx="2">
                  <c:v>1.0338747257813622E-5</c:v>
                </c:pt>
                <c:pt idx="3">
                  <c:v>7.1210683603857566E-5</c:v>
                </c:pt>
                <c:pt idx="4">
                  <c:v>2.2091371478623334E-4</c:v>
                </c:pt>
                <c:pt idx="5">
                  <c:v>4.6191019586218839E-4</c:v>
                </c:pt>
                <c:pt idx="6">
                  <c:v>7.7274142964303325E-4</c:v>
                </c:pt>
                <c:pt idx="7">
                  <c:v>1.1262339391078598E-3</c:v>
                </c:pt>
                <c:pt idx="8">
                  <c:v>1.498774512780653E-3</c:v>
                </c:pt>
                <c:pt idx="9">
                  <c:v>1.8728672584138739E-3</c:v>
                </c:pt>
                <c:pt idx="10">
                  <c:v>2.2367467811346613E-3</c:v>
                </c:pt>
                <c:pt idx="11">
                  <c:v>2.5831299146682031E-3</c:v>
                </c:pt>
                <c:pt idx="12">
                  <c:v>2.9079505257553566E-3</c:v>
                </c:pt>
                <c:pt idx="13">
                  <c:v>3.2093346405696428E-3</c:v>
                </c:pt>
                <c:pt idx="14">
                  <c:v>3.4868441449734341E-3</c:v>
                </c:pt>
                <c:pt idx="15">
                  <c:v>3.7409452474954103E-3</c:v>
                </c:pt>
                <c:pt idx="16">
                  <c:v>3.9726458765210314E-3</c:v>
                </c:pt>
                <c:pt idx="17">
                  <c:v>4.1832536011333762E-3</c:v>
                </c:pt>
                <c:pt idx="18">
                  <c:v>4.374217100227837E-3</c:v>
                </c:pt>
                <c:pt idx="19">
                  <c:v>4.5470245404394521E-3</c:v>
                </c:pt>
                <c:pt idx="20">
                  <c:v>4.7031402491383174E-3</c:v>
                </c:pt>
                <c:pt idx="21">
                  <c:v>4.843966898680805E-3</c:v>
                </c:pt>
                <c:pt idx="22">
                  <c:v>4.9708245115714575E-3</c:v>
                </c:pt>
                <c:pt idx="23">
                  <c:v>5.0849404179487915E-3</c:v>
                </c:pt>
                <c:pt idx="24">
                  <c:v>5.1874462222010779E-3</c:v>
                </c:pt>
                <c:pt idx="25">
                  <c:v>5.2793791418824223E-3</c:v>
                </c:pt>
                <c:pt idx="26">
                  <c:v>5.3616859656488002E-3</c:v>
                </c:pt>
                <c:pt idx="27">
                  <c:v>5.4352284733343408E-3</c:v>
                </c:pt>
                <c:pt idx="28">
                  <c:v>5.5007895631911949E-3</c:v>
                </c:pt>
                <c:pt idx="29">
                  <c:v>5.5590796015987402E-3</c:v>
                </c:pt>
                <c:pt idx="30">
                  <c:v>5.6107426917623264E-3</c:v>
                </c:pt>
                <c:pt idx="31">
                  <c:v>5.6563626788486802E-3</c:v>
                </c:pt>
                <c:pt idx="32">
                  <c:v>5.6964687891221163E-3</c:v>
                </c:pt>
                <c:pt idx="33">
                  <c:v>5.7315408531505539E-3</c:v>
                </c:pt>
                <c:pt idx="34">
                  <c:v>5.7620140969999673E-3</c:v>
                </c:pt>
                <c:pt idx="35">
                  <c:v>5.7882835066166427E-3</c:v>
                </c:pt>
                <c:pt idx="36">
                  <c:v>5.8107077834490062E-3</c:v>
                </c:pt>
                <c:pt idx="37">
                  <c:v>5.8296129166033866E-3</c:v>
                </c:pt>
                <c:pt idx="38">
                  <c:v>5.8452954003774781E-3</c:v>
                </c:pt>
                <c:pt idx="39">
                  <c:v>5.8580251271742132E-3</c:v>
                </c:pt>
                <c:pt idx="40">
                  <c:v>5.8680479854491064E-3</c:v>
                </c:pt>
                <c:pt idx="41">
                  <c:v>5.8755881910801736E-3</c:v>
                </c:pt>
                <c:pt idx="42">
                  <c:v>5.8808503787684662E-3</c:v>
                </c:pt>
                <c:pt idx="43">
                  <c:v>5.8840214780422027E-3</c:v>
                </c:pt>
                <c:pt idx="44">
                  <c:v>5.8852723963183839E-3</c:v>
                </c:pt>
                <c:pt idx="45">
                  <c:v>5.8847595293814959E-3</c:v>
                </c:pt>
                <c:pt idx="46">
                  <c:v>5.8826261176343139E-3</c:v>
                </c:pt>
                <c:pt idx="47">
                  <c:v>5.8790034645988844E-3</c:v>
                </c:pt>
                <c:pt idx="48">
                  <c:v>5.8740120324142515E-3</c:v>
                </c:pt>
                <c:pt idx="49">
                  <c:v>5.8677624274978352E-3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A2B-4F0F-92C9-939E73F7C2DC}"/>
            </c:ext>
          </c:extLst>
        </c:ser>
        <c:ser>
          <c:idx val="14"/>
          <c:order val="14"/>
          <c:tx>
            <c:strRef>
              <c:f>Gamma!$B$17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Gamma!$C$17:$AZ$17</c:f>
              <c:numCache>
                <c:formatCode>General</c:formatCode>
                <c:ptCount val="50"/>
                <c:pt idx="0">
                  <c:v>7.3829715398267174E-17</c:v>
                </c:pt>
                <c:pt idx="1">
                  <c:v>1.5520066218442014E-9</c:v>
                </c:pt>
                <c:pt idx="2">
                  <c:v>3.9226661156427158E-7</c:v>
                </c:pt>
                <c:pt idx="3">
                  <c:v>5.9735759091087832E-6</c:v>
                </c:pt>
                <c:pt idx="4">
                  <c:v>2.9830284442140818E-5</c:v>
                </c:pt>
                <c:pt idx="5">
                  <c:v>8.5668780985104936E-5</c:v>
                </c:pt>
                <c:pt idx="6">
                  <c:v>1.7978334895152993E-4</c:v>
                </c:pt>
                <c:pt idx="7">
                  <c:v>3.1058576900406615E-4</c:v>
                </c:pt>
                <c:pt idx="8">
                  <c:v>4.7175720539731358E-4</c:v>
                </c:pt>
                <c:pt idx="9">
                  <c:v>6.5528870342850605E-4</c:v>
                </c:pt>
                <c:pt idx="10">
                  <c:v>8.53360610646639E-4</c:v>
                </c:pt>
                <c:pt idx="11">
                  <c:v>1.0592222477959169E-3</c:v>
                </c:pt>
                <c:pt idx="12">
                  <c:v>1.2674583294664706E-3</c:v>
                </c:pt>
                <c:pt idx="13">
                  <c:v>1.4739439341843702E-3</c:v>
                </c:pt>
                <c:pt idx="14">
                  <c:v>1.6756701842287538E-3</c:v>
                </c:pt>
                <c:pt idx="15">
                  <c:v>1.8705363348374214E-3</c:v>
                </c:pt>
                <c:pt idx="16">
                  <c:v>2.057152672240711E-3</c:v>
                </c:pt>
                <c:pt idx="17">
                  <c:v>2.2346712463663715E-3</c:v>
                </c:pt>
                <c:pt idx="18">
                  <c:v>2.4026480632873774E-3</c:v>
                </c:pt>
                <c:pt idx="19">
                  <c:v>2.5609344709387875E-3</c:v>
                </c:pt>
                <c:pt idx="20">
                  <c:v>2.7095933674900542E-3</c:v>
                </c:pt>
                <c:pt idx="21">
                  <c:v>2.8488355391494201E-3</c:v>
                </c:pt>
                <c:pt idx="22">
                  <c:v>2.9789718631908647E-3</c:v>
                </c:pt>
                <c:pt idx="23">
                  <c:v>3.1003777890098966E-3</c:v>
                </c:pt>
                <c:pt idx="24">
                  <c:v>3.2134672046551047E-3</c:v>
                </c:pt>
                <c:pt idx="25">
                  <c:v>3.3186734150639184E-3</c:v>
                </c:pt>
                <c:pt idx="26">
                  <c:v>3.416435473266137E-3</c:v>
                </c:pt>
                <c:pt idx="27">
                  <c:v>3.5071885185243598E-3</c:v>
                </c:pt>
                <c:pt idx="28">
                  <c:v>3.5913570985693132E-3</c:v>
                </c:pt>
                <c:pt idx="29">
                  <c:v>3.6693507025244649E-3</c:v>
                </c:pt>
                <c:pt idx="30">
                  <c:v>3.7415609218285541E-3</c:v>
                </c:pt>
                <c:pt idx="31">
                  <c:v>3.808359801390335E-3</c:v>
                </c:pt>
                <c:pt idx="32">
                  <c:v>3.8700990529008631E-3</c:v>
                </c:pt>
                <c:pt idx="33">
                  <c:v>3.9271098850357173E-3</c:v>
                </c:pt>
                <c:pt idx="34">
                  <c:v>3.9797032676850749E-3</c:v>
                </c:pt>
                <c:pt idx="35">
                  <c:v>4.0281704943250637E-3</c:v>
                </c:pt>
                <c:pt idx="36">
                  <c:v>4.0727839419730238E-3</c:v>
                </c:pt>
                <c:pt idx="37">
                  <c:v>4.1137979547173189E-3</c:v>
                </c:pt>
                <c:pt idx="38">
                  <c:v>4.1514497967427774E-3</c:v>
                </c:pt>
                <c:pt idx="39">
                  <c:v>4.1859606357164689E-3</c:v>
                </c:pt>
                <c:pt idx="40">
                  <c:v>4.2175365285841062E-3</c:v>
                </c:pt>
                <c:pt idx="41">
                  <c:v>4.2463693901801831E-3</c:v>
                </c:pt>
                <c:pt idx="42">
                  <c:v>4.2726379312724759E-3</c:v>
                </c:pt>
                <c:pt idx="43">
                  <c:v>4.2965085572694234E-3</c:v>
                </c:pt>
                <c:pt idx="44">
                  <c:v>4.3181362222140061E-3</c:v>
                </c:pt>
                <c:pt idx="45">
                  <c:v>4.3376652351696104E-3</c:v>
                </c:pt>
                <c:pt idx="46">
                  <c:v>4.3552300178982834E-3</c:v>
                </c:pt>
                <c:pt idx="47">
                  <c:v>4.3709558140113168E-3</c:v>
                </c:pt>
                <c:pt idx="48">
                  <c:v>4.3849593506653786E-3</c:v>
                </c:pt>
                <c:pt idx="49">
                  <c:v>4.3973494544828021E-3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A2B-4F0F-92C9-939E73F7C2DC}"/>
            </c:ext>
          </c:extLst>
        </c:ser>
        <c:ser>
          <c:idx val="15"/>
          <c:order val="15"/>
          <c:tx>
            <c:strRef>
              <c:f>Gamma!$B$18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Gamma!$C$18:$AZ$18</c:f>
              <c:numCache>
                <c:formatCode>General</c:formatCode>
                <c:ptCount val="50"/>
                <c:pt idx="0">
                  <c:v>1.6508431991277696E-21</c:v>
                </c:pt>
                <c:pt idx="1">
                  <c:v>7.0007225305255781E-12</c:v>
                </c:pt>
                <c:pt idx="2">
                  <c:v>1.0377407251949232E-8</c:v>
                </c:pt>
                <c:pt idx="3">
                  <c:v>3.8271106091862608E-7</c:v>
                </c:pt>
                <c:pt idx="4">
                  <c:v>3.2491629195180521E-6</c:v>
                </c:pt>
                <c:pt idx="5">
                  <c:v>1.329193856294594E-5</c:v>
                </c:pt>
                <c:pt idx="6">
                  <c:v>3.5914215033326955E-5</c:v>
                </c:pt>
                <c:pt idx="7">
                  <c:v>7.4991466396696845E-5</c:v>
                </c:pt>
                <c:pt idx="8">
                  <c:v>1.3199891273585568E-4</c:v>
                </c:pt>
                <c:pt idx="9">
                  <c:v>2.0630117799149068E-4</c:v>
                </c:pt>
                <c:pt idx="10">
                  <c:v>2.958738707560984E-4</c:v>
                </c:pt>
                <c:pt idx="11">
                  <c:v>3.979989651551697E-4</c:v>
                </c:pt>
                <c:pt idx="12">
                  <c:v>5.0977312009738444E-4</c:v>
                </c:pt>
                <c:pt idx="13">
                  <c:v>6.2842202842630255E-4</c:v>
                </c:pt>
                <c:pt idx="14">
                  <c:v>7.5146578778924323E-4</c:v>
                </c:pt>
                <c:pt idx="15">
                  <c:v>8.7678533083552948E-4</c:v>
                </c:pt>
                <c:pt idx="16">
                  <c:v>1.0026296030781221E-3</c:v>
                </c:pt>
                <c:pt idx="17">
                  <c:v>1.1275908073526864E-3</c:v>
                </c:pt>
                <c:pt idx="18">
                  <c:v>1.2505649738893698E-3</c:v>
                </c:pt>
                <c:pt idx="19">
                  <c:v>1.3707080362701776E-3</c:v>
                </c:pt>
                <c:pt idx="20">
                  <c:v>1.4873929926081169E-3</c:v>
                </c:pt>
                <c:pt idx="21">
                  <c:v>1.6001709010656244E-3</c:v>
                </c:pt>
                <c:pt idx="22">
                  <c:v>1.7087367996741945E-3</c:v>
                </c:pt>
                <c:pt idx="23">
                  <c:v>1.8129007186155391E-3</c:v>
                </c:pt>
                <c:pt idx="24">
                  <c:v>1.912563478470439E-3</c:v>
                </c:pt>
                <c:pt idx="25">
                  <c:v>2.0076967550680131E-3</c:v>
                </c:pt>
                <c:pt idx="26">
                  <c:v>2.0983268258570561E-3</c:v>
                </c:pt>
                <c:pt idx="27">
                  <c:v>2.1845214251756803E-3</c:v>
                </c:pt>
                <c:pt idx="28">
                  <c:v>2.2663791859700759E-3</c:v>
                </c:pt>
                <c:pt idx="29">
                  <c:v>2.3440212104340022E-3</c:v>
                </c:pt>
                <c:pt idx="30">
                  <c:v>2.4175843792158323E-3</c:v>
                </c:pt>
                <c:pt idx="31">
                  <c:v>2.4872160719390268E-3</c:v>
                </c:pt>
                <c:pt idx="32">
                  <c:v>2.5530700280062056E-3</c:v>
                </c:pt>
                <c:pt idx="33">
                  <c:v>2.6153031251643726E-3</c:v>
                </c:pt>
                <c:pt idx="34">
                  <c:v>2.6740728942842027E-3</c:v>
                </c:pt>
                <c:pt idx="35">
                  <c:v>2.7295356229244763E-3</c:v>
                </c:pt>
                <c:pt idx="36">
                  <c:v>2.7818449283760946E-3</c:v>
                </c:pt>
                <c:pt idx="37">
                  <c:v>2.8311507038962696E-3</c:v>
                </c:pt>
                <c:pt idx="38">
                  <c:v>2.877598360582869E-3</c:v>
                </c:pt>
                <c:pt idx="39">
                  <c:v>2.9213283025393976E-3</c:v>
                </c:pt>
                <c:pt idx="40">
                  <c:v>2.9624755852780478E-3</c:v>
                </c:pt>
                <c:pt idx="41">
                  <c:v>3.0011697172369011E-3</c:v>
                </c:pt>
                <c:pt idx="42">
                  <c:v>3.0375345722925763E-3</c:v>
                </c:pt>
                <c:pt idx="43">
                  <c:v>3.0716883875977672E-3</c:v>
                </c:pt>
                <c:pt idx="44">
                  <c:v>3.103743826262668E-3</c:v>
                </c:pt>
                <c:pt idx="45">
                  <c:v>3.1338080885740497E-3</c:v>
                </c:pt>
                <c:pt idx="46">
                  <c:v>3.1619830588019192E-3</c:v>
                </c:pt>
                <c:pt idx="47">
                  <c:v>3.1883654773409297E-3</c:v>
                </c:pt>
                <c:pt idx="48">
                  <c:v>3.2130471300998212E-3</c:v>
                </c:pt>
                <c:pt idx="49">
                  <c:v>3.236115048790992E-3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A2B-4F0F-92C9-939E73F7C2DC}"/>
            </c:ext>
          </c:extLst>
        </c:ser>
        <c:ser>
          <c:idx val="16"/>
          <c:order val="16"/>
          <c:tx>
            <c:strRef>
              <c:f>Gamma!$B$19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Gamma!$C$19:$AZ$19</c:f>
              <c:numCache>
                <c:formatCode>General</c:formatCode>
                <c:ptCount val="50"/>
                <c:pt idx="0">
                  <c:v>1.4160803501951484E-26</c:v>
                </c:pt>
                <c:pt idx="1">
                  <c:v>1.9592554647687543E-14</c:v>
                </c:pt>
                <c:pt idx="2">
                  <c:v>1.9993666289338759E-10</c:v>
                </c:pt>
                <c:pt idx="3">
                  <c:v>1.9346494359707359E-8</c:v>
                </c:pt>
                <c:pt idx="4">
                  <c:v>2.9299443269233378E-7</c:v>
                </c:pt>
                <c:pt idx="5">
                  <c:v>1.7629795738939588E-6</c:v>
                </c:pt>
                <c:pt idx="6">
                  <c:v>6.2750755529855412E-6</c:v>
                </c:pt>
                <c:pt idx="7">
                  <c:v>1.6111450652008568E-5</c:v>
                </c:pt>
                <c:pt idx="8">
                  <c:v>3.3305383198972744E-5</c:v>
                </c:pt>
                <c:pt idx="9">
                  <c:v>5.9197424706742854E-5</c:v>
                </c:pt>
                <c:pt idx="10">
                  <c:v>9.4321114066856106E-5</c:v>
                </c:pt>
                <c:pt idx="11">
                  <c:v>1.3850599978625653E-4</c:v>
                </c:pt>
                <c:pt idx="12">
                  <c:v>1.9106836276662489E-4</c:v>
                </c:pt>
                <c:pt idx="13">
                  <c:v>2.5100643554933143E-4</c:v>
                </c:pt>
                <c:pt idx="14">
                  <c:v>3.1716218012035733E-4</c:v>
                </c:pt>
                <c:pt idx="15">
                  <c:v>3.8833974485907359E-4</c:v>
                </c:pt>
                <c:pt idx="16">
                  <c:v>4.6338416935899564E-4</c:v>
                </c:pt>
                <c:pt idx="17">
                  <c:v>5.4122859409300064E-4</c:v>
                </c:pt>
                <c:pt idx="18">
                  <c:v>6.2091862100203032E-4</c:v>
                </c:pt>
                <c:pt idx="19">
                  <c:v>7.016211594893701E-4</c:v>
                </c:pt>
                <c:pt idx="20">
                  <c:v>7.8262337068783349E-4</c:v>
                </c:pt>
                <c:pt idx="21">
                  <c:v>8.633257383749009E-4</c:v>
                </c:pt>
                <c:pt idx="22">
                  <c:v>9.4323202302677744E-4</c:v>
                </c:pt>
                <c:pt idx="23">
                  <c:v>1.0219379072991357E-3</c:v>
                </c:pt>
                <c:pt idx="24">
                  <c:v>1.0991194672809817E-3</c:v>
                </c:pt>
                <c:pt idx="25">
                  <c:v>1.1745221415734961E-3</c:v>
                </c:pt>
                <c:pt idx="26">
                  <c:v>1.2479505626409085E-3</c:v>
                </c:pt>
                <c:pt idx="27">
                  <c:v>1.3192594163205071E-3</c:v>
                </c:pt>
                <c:pt idx="28">
                  <c:v>1.3883453716372668E-3</c:v>
                </c:pt>
                <c:pt idx="29">
                  <c:v>1.4551400495073856E-3</c:v>
                </c:pt>
                <c:pt idx="30">
                  <c:v>1.5196039582846207E-3</c:v>
                </c:pt>
                <c:pt idx="31">
                  <c:v>1.581721304577151E-3</c:v>
                </c:pt>
                <c:pt idx="32">
                  <c:v>1.6414955813716275E-3</c:v>
                </c:pt>
                <c:pt idx="33">
                  <c:v>1.6989458369614026E-3</c:v>
                </c:pt>
                <c:pt idx="34">
                  <c:v>1.754103534043355E-3</c:v>
                </c:pt>
                <c:pt idx="35">
                  <c:v>1.8070099164202073E-3</c:v>
                </c:pt>
                <c:pt idx="36">
                  <c:v>1.8577138096504827E-3</c:v>
                </c:pt>
                <c:pt idx="37">
                  <c:v>1.9062697909007593E-3</c:v>
                </c:pt>
                <c:pt idx="38">
                  <c:v>1.9527366717044586E-3</c:v>
                </c:pt>
                <c:pt idx="39">
                  <c:v>1.9971762450752021E-3</c:v>
                </c:pt>
                <c:pt idx="40">
                  <c:v>2.0396522553602476E-3</c:v>
                </c:pt>
                <c:pt idx="41">
                  <c:v>2.0802295553354528E-3</c:v>
                </c:pt>
                <c:pt idx="42">
                  <c:v>2.1189734203729818E-3</c:v>
                </c:pt>
                <c:pt idx="43">
                  <c:v>2.1559489941173674E-3</c:v>
                </c:pt>
                <c:pt idx="44">
                  <c:v>2.1912208440574999E-3</c:v>
                </c:pt>
                <c:pt idx="45">
                  <c:v>2.2248526087574262E-3</c:v>
                </c:pt>
                <c:pt idx="46">
                  <c:v>2.2569067213804241E-3</c:v>
                </c:pt>
                <c:pt idx="47">
                  <c:v>2.2874441965769696E-3</c:v>
                </c:pt>
                <c:pt idx="48">
                  <c:v>2.316524469868944E-3</c:v>
                </c:pt>
                <c:pt idx="49">
                  <c:v>2.3442052804045392E-3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A2B-4F0F-92C9-939E73F7C2D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386561232"/>
        <c:axId val="907020736"/>
        <c:axId val="901729456"/>
      </c:surface3DChart>
      <c:catAx>
        <c:axId val="38656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020736"/>
        <c:crosses val="autoZero"/>
        <c:auto val="1"/>
        <c:lblAlgn val="ctr"/>
        <c:lblOffset val="100"/>
        <c:noMultiLvlLbl val="0"/>
      </c:catAx>
      <c:valAx>
        <c:axId val="90702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561232"/>
        <c:crosses val="autoZero"/>
        <c:crossBetween val="midCat"/>
      </c:valAx>
      <c:serAx>
        <c:axId val="9017294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02073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Gamma, vol=20%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Gamma!$B$24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Gamma!$C$24:$AZ$24</c:f>
              <c:numCache>
                <c:formatCode>General</c:formatCode>
                <c:ptCount val="50"/>
                <c:pt idx="0">
                  <c:v>1.0516556577990331E-15</c:v>
                </c:pt>
                <c:pt idx="1">
                  <c:v>8.9897290546272933E-9</c:v>
                </c:pt>
                <c:pt idx="2">
                  <c:v>1.6833377571562696E-6</c:v>
                </c:pt>
                <c:pt idx="3">
                  <c:v>2.2064431982817055E-5</c:v>
                </c:pt>
                <c:pt idx="4">
                  <c:v>1.0070170546498086E-4</c:v>
                </c:pt>
                <c:pt idx="5">
                  <c:v>2.7236380704730428E-4</c:v>
                </c:pt>
                <c:pt idx="6">
                  <c:v>5.4760481596517903E-4</c:v>
                </c:pt>
                <c:pt idx="7">
                  <c:v>9.1609936771568209E-4</c:v>
                </c:pt>
                <c:pt idx="8">
                  <c:v>1.3571389458380499E-3</c:v>
                </c:pt>
                <c:pt idx="9">
                  <c:v>1.847796947179211E-3</c:v>
                </c:pt>
                <c:pt idx="10">
                  <c:v>2.3672760061798424E-3</c:v>
                </c:pt>
                <c:pt idx="11">
                  <c:v>2.8985603489544418E-3</c:v>
                </c:pt>
                <c:pt idx="12">
                  <c:v>3.4286158069024211E-3</c:v>
                </c:pt>
                <c:pt idx="13">
                  <c:v>3.9479505933621905E-3</c:v>
                </c:pt>
                <c:pt idx="14">
                  <c:v>4.4499741060405598E-3</c:v>
                </c:pt>
                <c:pt idx="15">
                  <c:v>4.9303586524257715E-3</c:v>
                </c:pt>
                <c:pt idx="16">
                  <c:v>5.3864847805715045E-3</c:v>
                </c:pt>
                <c:pt idx="17">
                  <c:v>5.8169907764518093E-3</c:v>
                </c:pt>
                <c:pt idx="18">
                  <c:v>6.221420803232452E-3</c:v>
                </c:pt>
                <c:pt idx="19">
                  <c:v>6.5999568536451898E-3</c:v>
                </c:pt>
                <c:pt idx="20">
                  <c:v>6.9532180594291731E-3</c:v>
                </c:pt>
                <c:pt idx="21">
                  <c:v>7.2821124112280337E-3</c:v>
                </c:pt>
                <c:pt idx="22">
                  <c:v>7.5877284433063614E-3</c:v>
                </c:pt>
                <c:pt idx="23">
                  <c:v>7.8712569879018784E-3</c:v>
                </c:pt>
                <c:pt idx="24">
                  <c:v>8.133935342377465E-3</c:v>
                </c:pt>
                <c:pt idx="25">
                  <c:v>8.3770080233505975E-3</c:v>
                </c:pt>
                <c:pt idx="26">
                  <c:v>8.601699722989074E-3</c:v>
                </c:pt>
                <c:pt idx="27">
                  <c:v>8.8091971909456026E-3</c:v>
                </c:pt>
                <c:pt idx="28">
                  <c:v>9.0006376056974771E-3</c:v>
                </c:pt>
                <c:pt idx="29">
                  <c:v>9.1771016304238069E-3</c:v>
                </c:pt>
                <c:pt idx="30">
                  <c:v>9.3396098202101485E-3</c:v>
                </c:pt>
                <c:pt idx="31">
                  <c:v>9.4891213984269456E-3</c:v>
                </c:pt>
                <c:pt idx="32">
                  <c:v>9.6265346808113439E-3</c:v>
                </c:pt>
                <c:pt idx="33">
                  <c:v>9.7526886190619153E-3</c:v>
                </c:pt>
                <c:pt idx="34">
                  <c:v>9.8683650789057817E-3</c:v>
                </c:pt>
                <c:pt idx="35">
                  <c:v>9.9742915735207029E-3</c:v>
                </c:pt>
                <c:pt idx="36">
                  <c:v>1.0071144251492739E-2</c:v>
                </c:pt>
                <c:pt idx="37">
                  <c:v>1.0159550996292024E-2</c:v>
                </c:pt>
                <c:pt idx="38">
                  <c:v>1.0240094536843115E-2</c:v>
                </c:pt>
                <c:pt idx="39">
                  <c:v>1.0313315500073909E-2</c:v>
                </c:pt>
                <c:pt idx="40">
                  <c:v>1.0379715359257932E-2</c:v>
                </c:pt>
                <c:pt idx="41">
                  <c:v>1.0439759248678336E-2</c:v>
                </c:pt>
                <c:pt idx="42">
                  <c:v>1.0493878627243595E-2</c:v>
                </c:pt>
                <c:pt idx="43">
                  <c:v>1.05424737823673E-2</c:v>
                </c:pt>
                <c:pt idx="44">
                  <c:v>1.0585916171576809E-2</c:v>
                </c:pt>
                <c:pt idx="45">
                  <c:v>1.0624550603598402E-2</c:v>
                </c:pt>
                <c:pt idx="46">
                  <c:v>1.0658697263573819E-2</c:v>
                </c:pt>
                <c:pt idx="47">
                  <c:v>1.0688653588961566E-2</c:v>
                </c:pt>
                <c:pt idx="48">
                  <c:v>1.0714696003840162E-2</c:v>
                </c:pt>
                <c:pt idx="49">
                  <c:v>1.073708151996329E-2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AE-4480-AA4F-CD048020DC1D}"/>
            </c:ext>
          </c:extLst>
        </c:ser>
        <c:ser>
          <c:idx val="1"/>
          <c:order val="1"/>
          <c:tx>
            <c:strRef>
              <c:f>Gamma!$B$25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Gamma!$C$25:$AZ$25</c:f>
              <c:numCache>
                <c:formatCode>General</c:formatCode>
                <c:ptCount val="50"/>
                <c:pt idx="0">
                  <c:v>1.12869575408172E-11</c:v>
                </c:pt>
                <c:pt idx="1">
                  <c:v>8.6832323834608022E-7</c:v>
                </c:pt>
                <c:pt idx="2">
                  <c:v>3.3820751258091582E-5</c:v>
                </c:pt>
                <c:pt idx="3">
                  <c:v>2.0218238688417113E-4</c:v>
                </c:pt>
                <c:pt idx="4">
                  <c:v>5.7611680391896698E-4</c:v>
                </c:pt>
                <c:pt idx="5">
                  <c:v>1.1382523244176247E-3</c:v>
                </c:pt>
                <c:pt idx="6">
                  <c:v>1.8286848240875093E-3</c:v>
                </c:pt>
                <c:pt idx="7">
                  <c:v>2.585538590771336E-3</c:v>
                </c:pt>
                <c:pt idx="8">
                  <c:v>3.3605151026574491E-3</c:v>
                </c:pt>
                <c:pt idx="9">
                  <c:v>4.1207309613216971E-3</c:v>
                </c:pt>
                <c:pt idx="10">
                  <c:v>4.8458851927195784E-3</c:v>
                </c:pt>
                <c:pt idx="11">
                  <c:v>5.5247175394655748E-3</c:v>
                </c:pt>
                <c:pt idx="12">
                  <c:v>6.1520343768504751E-3</c:v>
                </c:pt>
                <c:pt idx="13">
                  <c:v>6.7265235496123824E-3</c:v>
                </c:pt>
                <c:pt idx="14">
                  <c:v>7.2492475795890602E-3</c:v>
                </c:pt>
                <c:pt idx="15">
                  <c:v>7.7226417765499213E-3</c:v>
                </c:pt>
                <c:pt idx="16">
                  <c:v>8.1498647037325043E-3</c:v>
                </c:pt>
                <c:pt idx="17">
                  <c:v>8.5343863843599186E-3</c:v>
                </c:pt>
                <c:pt idx="18">
                  <c:v>8.8797337586739317E-3</c:v>
                </c:pt>
                <c:pt idx="19">
                  <c:v>9.1893387459059377E-3</c:v>
                </c:pt>
                <c:pt idx="20">
                  <c:v>9.466452486798612E-3</c:v>
                </c:pt>
                <c:pt idx="21">
                  <c:v>9.7141017451944506E-3</c:v>
                </c:pt>
                <c:pt idx="22">
                  <c:v>9.9350717363069219E-3</c:v>
                </c:pt>
                <c:pt idx="23">
                  <c:v>1.0131905135378155E-2</c:v>
                </c:pt>
                <c:pt idx="24">
                  <c:v>1.0306910632595102E-2</c:v>
                </c:pt>
                <c:pt idx="25">
                  <c:v>1.0462176771614744E-2</c:v>
                </c:pt>
                <c:pt idx="26">
                  <c:v>1.0599588362857073E-2</c:v>
                </c:pt>
                <c:pt idx="27">
                  <c:v>1.0720843778607441E-2</c:v>
                </c:pt>
                <c:pt idx="28">
                  <c:v>1.0827472099080592E-2</c:v>
                </c:pt>
                <c:pt idx="29">
                  <c:v>1.0920849507992856E-2</c:v>
                </c:pt>
                <c:pt idx="30">
                  <c:v>1.1002214612478467E-2</c:v>
                </c:pt>
                <c:pt idx="31">
                  <c:v>1.1072682537795387E-2</c:v>
                </c:pt>
                <c:pt idx="32">
                  <c:v>1.1133257756777964E-2</c:v>
                </c:pt>
                <c:pt idx="33">
                  <c:v>1.118484568025508E-2</c:v>
                </c:pt>
                <c:pt idx="34">
                  <c:v>1.1228263072776291E-2</c:v>
                </c:pt>
                <c:pt idx="35">
                  <c:v>1.1264247377974787E-2</c:v>
                </c:pt>
                <c:pt idx="36">
                  <c:v>1.1293465046356983E-2</c:v>
                </c:pt>
                <c:pt idx="37">
                  <c:v>1.1316518959607164E-2</c:v>
                </c:pt>
                <c:pt idx="38">
                  <c:v>1.1333955042497066E-2</c:v>
                </c:pt>
                <c:pt idx="39">
                  <c:v>1.1346268148064857E-2</c:v>
                </c:pt>
                <c:pt idx="40">
                  <c:v>1.1353907295080875E-2</c:v>
                </c:pt>
                <c:pt idx="41">
                  <c:v>1.1357280329714725E-2</c:v>
                </c:pt>
                <c:pt idx="42">
                  <c:v>1.1356758076232392E-2</c:v>
                </c:pt>
                <c:pt idx="43">
                  <c:v>1.1352678034763666E-2</c:v>
                </c:pt>
                <c:pt idx="44">
                  <c:v>1.1345347677844113E-2</c:v>
                </c:pt>
                <c:pt idx="45">
                  <c:v>1.1335047391625589E-2</c:v>
                </c:pt>
                <c:pt idx="46">
                  <c:v>1.1322033102387321E-2</c:v>
                </c:pt>
                <c:pt idx="47">
                  <c:v>1.1306538624256455E-2</c:v>
                </c:pt>
                <c:pt idx="48">
                  <c:v>1.1288777759835576E-2</c:v>
                </c:pt>
                <c:pt idx="49">
                  <c:v>1.1268946181697022E-2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AE-4480-AA4F-CD048020DC1D}"/>
            </c:ext>
          </c:extLst>
        </c:ser>
        <c:ser>
          <c:idx val="2"/>
          <c:order val="2"/>
          <c:tx>
            <c:strRef>
              <c:f>Gamma!$B$26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Gamma!$C$26:$AZ$26</c:f>
              <c:numCache>
                <c:formatCode>General</c:formatCode>
                <c:ptCount val="50"/>
                <c:pt idx="0">
                  <c:v>1.4597010892531747E-8</c:v>
                </c:pt>
                <c:pt idx="1">
                  <c:v>2.9265998523210969E-5</c:v>
                </c:pt>
                <c:pt idx="2">
                  <c:v>3.3795857220289077E-4</c:v>
                </c:pt>
                <c:pt idx="3">
                  <c:v>1.1000759814895978E-3</c:v>
                </c:pt>
                <c:pt idx="4">
                  <c:v>2.1766539744156985E-3</c:v>
                </c:pt>
                <c:pt idx="5">
                  <c:v>3.3722289783455592E-3</c:v>
                </c:pt>
                <c:pt idx="6">
                  <c:v>4.5539531232494995E-3</c:v>
                </c:pt>
                <c:pt idx="7">
                  <c:v>5.6523508060789462E-3</c:v>
                </c:pt>
                <c:pt idx="8">
                  <c:v>6.6387114573764512E-3</c:v>
                </c:pt>
                <c:pt idx="9">
                  <c:v>7.5067523489369872E-3</c:v>
                </c:pt>
                <c:pt idx="10">
                  <c:v>8.261346834670457E-3</c:v>
                </c:pt>
                <c:pt idx="11">
                  <c:v>8.9122577062371103E-3</c:v>
                </c:pt>
                <c:pt idx="12">
                  <c:v>9.4708433386352705E-3</c:v>
                </c:pt>
                <c:pt idx="13">
                  <c:v>9.9484155251910837E-3</c:v>
                </c:pt>
                <c:pt idx="14">
                  <c:v>1.0355484400285875E-2</c:v>
                </c:pt>
                <c:pt idx="15">
                  <c:v>1.0701467427858078E-2</c:v>
                </c:pt>
                <c:pt idx="16">
                  <c:v>1.0994633234662406E-2</c:v>
                </c:pt>
                <c:pt idx="17">
                  <c:v>1.124215772219647E-2</c:v>
                </c:pt>
                <c:pt idx="18">
                  <c:v>1.1450227866520241E-2</c:v>
                </c:pt>
                <c:pt idx="19">
                  <c:v>1.1624159945686184E-2</c:v>
                </c:pt>
                <c:pt idx="20">
                  <c:v>1.1768515776566514E-2</c:v>
                </c:pt>
                <c:pt idx="21">
                  <c:v>1.1887209515825409E-2</c:v>
                </c:pt>
                <c:pt idx="22">
                  <c:v>1.1983602278943283E-2</c:v>
                </c:pt>
                <c:pt idx="23">
                  <c:v>1.206058421318979E-2</c:v>
                </c:pt>
                <c:pt idx="24">
                  <c:v>1.2120644793509728E-2</c:v>
                </c:pt>
                <c:pt idx="25">
                  <c:v>1.2165932579065574E-2</c:v>
                </c:pt>
                <c:pt idx="26">
                  <c:v>1.219830579264088E-2</c:v>
                </c:pt>
                <c:pt idx="27">
                  <c:v>1.2219375039657719E-2</c:v>
                </c:pt>
                <c:pt idx="28">
                  <c:v>1.223053936227133E-2</c:v>
                </c:pt>
                <c:pt idx="29">
                  <c:v>1.22330166765713E-2</c:v>
                </c:pt>
                <c:pt idx="30">
                  <c:v>1.2227869492590969E-2</c:v>
                </c:pt>
                <c:pt idx="31">
                  <c:v>1.2216026679503783E-2</c:v>
                </c:pt>
                <c:pt idx="32">
                  <c:v>1.2198301916795967E-2</c:v>
                </c:pt>
                <c:pt idx="33">
                  <c:v>1.2175409367347585E-2</c:v>
                </c:pt>
                <c:pt idx="34">
                  <c:v>1.2147977019395087E-2</c:v>
                </c:pt>
                <c:pt idx="35">
                  <c:v>1.2116558069658561E-2</c:v>
                </c:pt>
                <c:pt idx="36">
                  <c:v>1.2081640657617628E-2</c:v>
                </c:pt>
                <c:pt idx="37">
                  <c:v>1.2043656209164633E-2</c:v>
                </c:pt>
                <c:pt idx="38">
                  <c:v>1.2002986604964903E-2</c:v>
                </c:pt>
                <c:pt idx="39">
                  <c:v>1.1959970353331821E-2</c:v>
                </c:pt>
                <c:pt idx="40">
                  <c:v>1.1914907918014386E-2</c:v>
                </c:pt>
                <c:pt idx="41">
                  <c:v>1.1868066326931909E-2</c:v>
                </c:pt>
                <c:pt idx="42">
                  <c:v>1.1819683167688175E-2</c:v>
                </c:pt>
                <c:pt idx="43">
                  <c:v>1.1769970058922002E-2</c:v>
                </c:pt>
                <c:pt idx="44">
                  <c:v>1.1719115672598939E-2</c:v>
                </c:pt>
                <c:pt idx="45">
                  <c:v>1.166728837072328E-2</c:v>
                </c:pt>
                <c:pt idx="46">
                  <c:v>1.1614638510244045E-2</c:v>
                </c:pt>
                <c:pt idx="47">
                  <c:v>1.1561300461809131E-2</c:v>
                </c:pt>
                <c:pt idx="48">
                  <c:v>1.1507394381214904E-2</c:v>
                </c:pt>
                <c:pt idx="49">
                  <c:v>1.1453027766679768E-2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AE-4480-AA4F-CD048020DC1D}"/>
            </c:ext>
          </c:extLst>
        </c:ser>
        <c:ser>
          <c:idx val="3"/>
          <c:order val="3"/>
          <c:tx>
            <c:strRef>
              <c:f>Gamma!$B$27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Gamma!$C$27:$AZ$27</c:f>
              <c:numCache>
                <c:formatCode>General</c:formatCode>
                <c:ptCount val="50"/>
                <c:pt idx="0">
                  <c:v>3.3512354645083041E-6</c:v>
                </c:pt>
                <c:pt idx="1">
                  <c:v>4.1746111765088789E-4</c:v>
                </c:pt>
                <c:pt idx="2">
                  <c:v>1.9093551185000311E-3</c:v>
                </c:pt>
                <c:pt idx="3">
                  <c:v>3.9113907532951553E-3</c:v>
                </c:pt>
                <c:pt idx="4">
                  <c:v>5.8617741810673678E-3</c:v>
                </c:pt>
                <c:pt idx="5">
                  <c:v>7.545896727233335E-3</c:v>
                </c:pt>
                <c:pt idx="6">
                  <c:v>8.9273180622224182E-3</c:v>
                </c:pt>
                <c:pt idx="7">
                  <c:v>1.0033802504733586E-2</c:v>
                </c:pt>
                <c:pt idx="8">
                  <c:v>1.0909406223302238E-2</c:v>
                </c:pt>
                <c:pt idx="9">
                  <c:v>1.1597225794774834E-2</c:v>
                </c:pt>
                <c:pt idx="10">
                  <c:v>1.2134254291859209E-2</c:v>
                </c:pt>
                <c:pt idx="11">
                  <c:v>1.2550667269029672E-2</c:v>
                </c:pt>
                <c:pt idx="12">
                  <c:v>1.2870557813699425E-2</c:v>
                </c:pt>
                <c:pt idx="13">
                  <c:v>1.3113007881748779E-2</c:v>
                </c:pt>
                <c:pt idx="14">
                  <c:v>1.3293108657292461E-2</c:v>
                </c:pt>
                <c:pt idx="15">
                  <c:v>1.3422818994500521E-2</c:v>
                </c:pt>
                <c:pt idx="16">
                  <c:v>1.3511651590695667E-2</c:v>
                </c:pt>
                <c:pt idx="17">
                  <c:v>1.3567208951354055E-2</c:v>
                </c:pt>
                <c:pt idx="18">
                  <c:v>1.3595597926798595E-2</c:v>
                </c:pt>
                <c:pt idx="19">
                  <c:v>1.3601749391133747E-2</c:v>
                </c:pt>
                <c:pt idx="20">
                  <c:v>1.358966498923757E-2</c:v>
                </c:pt>
                <c:pt idx="21">
                  <c:v>1.3562608176422747E-2</c:v>
                </c:pt>
                <c:pt idx="22">
                  <c:v>1.3523252767224742E-2</c:v>
                </c:pt>
                <c:pt idx="23">
                  <c:v>1.3473799023258277E-2</c:v>
                </c:pt>
                <c:pt idx="24">
                  <c:v>1.3416064859880507E-2</c:v>
                </c:pt>
                <c:pt idx="25">
                  <c:v>1.3351557898151322E-2</c:v>
                </c:pt>
                <c:pt idx="26">
                  <c:v>1.328153269741841E-2</c:v>
                </c:pt>
                <c:pt idx="27">
                  <c:v>1.3207036462154157E-2</c:v>
                </c:pt>
                <c:pt idx="28">
                  <c:v>1.3128945736208627E-2</c:v>
                </c:pt>
                <c:pt idx="29">
                  <c:v>1.304799601147523E-2</c:v>
                </c:pt>
                <c:pt idx="30">
                  <c:v>1.2964805736131377E-2</c:v>
                </c:pt>
                <c:pt idx="31">
                  <c:v>1.2879895873128485E-2</c:v>
                </c:pt>
                <c:pt idx="32">
                  <c:v>1.2793705905173902E-2</c:v>
                </c:pt>
                <c:pt idx="33">
                  <c:v>1.2706606987938339E-2</c:v>
                </c:pt>
                <c:pt idx="34">
                  <c:v>1.2618912803760532E-2</c:v>
                </c:pt>
                <c:pt idx="35">
                  <c:v>1.253088855268036E-2</c:v>
                </c:pt>
                <c:pt idx="36">
                  <c:v>1.2442758428012325E-2</c:v>
                </c:pt>
                <c:pt idx="37">
                  <c:v>1.2354711853745926E-2</c:v>
                </c:pt>
                <c:pt idx="38">
                  <c:v>1.2266908706231396E-2</c:v>
                </c:pt>
                <c:pt idx="39">
                  <c:v>1.2179483699411452E-2</c:v>
                </c:pt>
                <c:pt idx="40">
                  <c:v>1.2092550078665793E-2</c:v>
                </c:pt>
                <c:pt idx="41">
                  <c:v>1.2006202741145614E-2</c:v>
                </c:pt>
                <c:pt idx="42">
                  <c:v>1.1920520878760287E-2</c:v>
                </c:pt>
                <c:pt idx="43">
                  <c:v>1.1835570222561598E-2</c:v>
                </c:pt>
                <c:pt idx="44">
                  <c:v>1.1751404953244579E-2</c:v>
                </c:pt>
                <c:pt idx="45">
                  <c:v>1.1668069331142681E-2</c:v>
                </c:pt>
                <c:pt idx="46">
                  <c:v>1.1585599089890333E-2</c:v>
                </c:pt>
                <c:pt idx="47">
                  <c:v>1.1504022630426925E-2</c:v>
                </c:pt>
                <c:pt idx="48">
                  <c:v>1.1423362045885866E-2</c:v>
                </c:pt>
                <c:pt idx="49">
                  <c:v>1.1343634002882847E-2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AE-4480-AA4F-CD048020DC1D}"/>
            </c:ext>
          </c:extLst>
        </c:ser>
        <c:ser>
          <c:idx val="4"/>
          <c:order val="4"/>
          <c:tx>
            <c:strRef>
              <c:f>Gamma!$B$28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Gamma!$C$28:$AZ$28</c:f>
              <c:numCache>
                <c:formatCode>General</c:formatCode>
                <c:ptCount val="50"/>
                <c:pt idx="0">
                  <c:v>1.844499127219971E-4</c:v>
                </c:pt>
                <c:pt idx="1">
                  <c:v>2.9270332354272227E-3</c:v>
                </c:pt>
                <c:pt idx="2">
                  <c:v>6.7361389316554221E-3</c:v>
                </c:pt>
                <c:pt idx="3">
                  <c:v>9.7884039294375193E-3</c:v>
                </c:pt>
                <c:pt idx="4">
                  <c:v>1.1937780047109162E-2</c:v>
                </c:pt>
                <c:pt idx="5">
                  <c:v>1.3395159432299533E-2</c:v>
                </c:pt>
                <c:pt idx="6">
                  <c:v>1.4366321033900606E-2</c:v>
                </c:pt>
                <c:pt idx="7">
                  <c:v>1.5001364182628532E-2</c:v>
                </c:pt>
                <c:pt idx="8">
                  <c:v>1.5403132263133369E-2</c:v>
                </c:pt>
                <c:pt idx="9">
                  <c:v>1.5641421674019225E-2</c:v>
                </c:pt>
                <c:pt idx="10">
                  <c:v>1.576394776970249E-2</c:v>
                </c:pt>
                <c:pt idx="11">
                  <c:v>1.5803751709635341E-2</c:v>
                </c:pt>
                <c:pt idx="12">
                  <c:v>1.5784039650988829E-2</c:v>
                </c:pt>
                <c:pt idx="13">
                  <c:v>1.5721336686121572E-2</c:v>
                </c:pt>
                <c:pt idx="14">
                  <c:v>1.562756114588237E-2</c:v>
                </c:pt>
                <c:pt idx="15">
                  <c:v>1.551140736539682E-2</c:v>
                </c:pt>
                <c:pt idx="16">
                  <c:v>1.5379281313382996E-2</c:v>
                </c:pt>
                <c:pt idx="17">
                  <c:v>1.5235943242253389E-2</c:v>
                </c:pt>
                <c:pt idx="18">
                  <c:v>1.5084955533897175E-2</c:v>
                </c:pt>
                <c:pt idx="19">
                  <c:v>1.4928999083209112E-2</c:v>
                </c:pt>
                <c:pt idx="20">
                  <c:v>1.4770099675880348E-2</c:v>
                </c:pt>
                <c:pt idx="21">
                  <c:v>1.4609791890060717E-2</c:v>
                </c:pt>
                <c:pt idx="22">
                  <c:v>1.4449239065004556E-2</c:v>
                </c:pt>
                <c:pt idx="23">
                  <c:v>1.4289321998497015E-2</c:v>
                </c:pt>
                <c:pt idx="24">
                  <c:v>1.4130705131783083E-2</c:v>
                </c:pt>
                <c:pt idx="25">
                  <c:v>1.3973886355415001E-2</c:v>
                </c:pt>
                <c:pt idx="26">
                  <c:v>1.3819234780752355E-2</c:v>
                </c:pt>
                <c:pt idx="27">
                  <c:v>1.3667019588223764E-2</c:v>
                </c:pt>
                <c:pt idx="28">
                  <c:v>1.3517432202776026E-2</c:v>
                </c:pt>
                <c:pt idx="29">
                  <c:v>1.337060343987685E-2</c:v>
                </c:pt>
                <c:pt idx="30">
                  <c:v>1.3226616832847541E-2</c:v>
                </c:pt>
                <c:pt idx="31">
                  <c:v>1.3085519041044468E-2</c:v>
                </c:pt>
                <c:pt idx="32">
                  <c:v>1.2947328012402372E-2</c:v>
                </c:pt>
                <c:pt idx="33">
                  <c:v>1.2812039408334251E-2</c:v>
                </c:pt>
                <c:pt idx="34">
                  <c:v>1.2679631676778571E-2</c:v>
                </c:pt>
                <c:pt idx="35">
                  <c:v>1.2550070068268939E-2</c:v>
                </c:pt>
                <c:pt idx="36">
                  <c:v>1.2423309821775022E-2</c:v>
                </c:pt>
                <c:pt idx="37">
                  <c:v>1.2299298695665931E-2</c:v>
                </c:pt>
                <c:pt idx="38">
                  <c:v>1.2177978980121127E-2</c:v>
                </c:pt>
                <c:pt idx="39">
                  <c:v>1.2059289097501428E-2</c:v>
                </c:pt>
                <c:pt idx="40">
                  <c:v>1.1943164874287718E-2</c:v>
                </c:pt>
                <c:pt idx="41">
                  <c:v>1.1829540550501607E-2</c:v>
                </c:pt>
                <c:pt idx="42">
                  <c:v>1.1718349578784778E-2</c:v>
                </c:pt>
                <c:pt idx="43">
                  <c:v>1.1609525254595536E-2</c:v>
                </c:pt>
                <c:pt idx="44">
                  <c:v>1.1503001210580946E-2</c:v>
                </c:pt>
                <c:pt idx="45">
                  <c:v>1.139871180157012E-2</c:v>
                </c:pt>
                <c:pt idx="46">
                  <c:v>1.1296592401408175E-2</c:v>
                </c:pt>
                <c:pt idx="47">
                  <c:v>1.1196579628703331E-2</c:v>
                </c:pt>
                <c:pt idx="48">
                  <c:v>1.1098611515257768E-2</c:v>
                </c:pt>
                <c:pt idx="49">
                  <c:v>1.1002627628314172E-2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AE-4480-AA4F-CD048020DC1D}"/>
            </c:ext>
          </c:extLst>
        </c:ser>
        <c:ser>
          <c:idx val="5"/>
          <c:order val="5"/>
          <c:tx>
            <c:strRef>
              <c:f>Gamma!$B$29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Gamma!$C$29:$AZ$29</c:f>
              <c:numCache>
                <c:formatCode>General</c:formatCode>
                <c:ptCount val="50"/>
                <c:pt idx="0">
                  <c:v>3.0836372935947117E-3</c:v>
                </c:pt>
                <c:pt idx="1">
                  <c:v>1.1349644277453122E-2</c:v>
                </c:pt>
                <c:pt idx="2">
                  <c:v>1.6048048164004215E-2</c:v>
                </c:pt>
                <c:pt idx="3">
                  <c:v>1.8278954822369086E-2</c:v>
                </c:pt>
                <c:pt idx="4">
                  <c:v>1.926193999623425E-2</c:v>
                </c:pt>
                <c:pt idx="5">
                  <c:v>1.9607203543702153E-2</c:v>
                </c:pt>
                <c:pt idx="6">
                  <c:v>1.9615204928584505E-2</c:v>
                </c:pt>
                <c:pt idx="7">
                  <c:v>1.9440734598304157E-2</c:v>
                </c:pt>
                <c:pt idx="8">
                  <c:v>1.9167361944162006E-2</c:v>
                </c:pt>
                <c:pt idx="9">
                  <c:v>1.8841983940109528E-2</c:v>
                </c:pt>
                <c:pt idx="10">
                  <c:v>1.8491692405525763E-2</c:v>
                </c:pt>
                <c:pt idx="11">
                  <c:v>1.8132440526507244E-2</c:v>
                </c:pt>
                <c:pt idx="12">
                  <c:v>1.7773703943943717E-2</c:v>
                </c:pt>
                <c:pt idx="13">
                  <c:v>1.7421088562399011E-2</c:v>
                </c:pt>
                <c:pt idx="14">
                  <c:v>1.7077839563120274E-2</c:v>
                </c:pt>
                <c:pt idx="15">
                  <c:v>1.6745739875301535E-2</c:v>
                </c:pt>
                <c:pt idx="16">
                  <c:v>1.6425658120799658E-2</c:v>
                </c:pt>
                <c:pt idx="17">
                  <c:v>1.6117889512566597E-2</c:v>
                </c:pt>
                <c:pt idx="18">
                  <c:v>1.5822371403647055E-2</c:v>
                </c:pt>
                <c:pt idx="19">
                  <c:v>1.5538821309956896E-2</c:v>
                </c:pt>
                <c:pt idx="20">
                  <c:v>1.5266826094352811E-2</c:v>
                </c:pt>
                <c:pt idx="21">
                  <c:v>1.500589989682085E-2</c:v>
                </c:pt>
                <c:pt idx="22">
                  <c:v>1.4755521797958096E-2</c:v>
                </c:pt>
                <c:pt idx="23">
                  <c:v>1.4515160197463855E-2</c:v>
                </c:pt>
                <c:pt idx="24">
                  <c:v>1.4284288410438377E-2</c:v>
                </c:pt>
                <c:pt idx="25">
                  <c:v>1.4062394423410469E-2</c:v>
                </c:pt>
                <c:pt idx="26">
                  <c:v>1.3848986753843712E-2</c:v>
                </c:pt>
                <c:pt idx="27">
                  <c:v>1.3643597709615953E-2</c:v>
                </c:pt>
                <c:pt idx="28">
                  <c:v>1.3445784920017129E-2</c:v>
                </c:pt>
                <c:pt idx="29">
                  <c:v>1.3255131727717093E-2</c:v>
                </c:pt>
                <c:pt idx="30">
                  <c:v>1.3071246842062935E-2</c:v>
                </c:pt>
                <c:pt idx="31">
                  <c:v>1.289376352623591E-2</c:v>
                </c:pt>
                <c:pt idx="32">
                  <c:v>1.2722338503757424E-2</c:v>
                </c:pt>
                <c:pt idx="33">
                  <c:v>1.255665071021262E-2</c:v>
                </c:pt>
                <c:pt idx="34">
                  <c:v>1.2396399975031155E-2</c:v>
                </c:pt>
                <c:pt idx="35">
                  <c:v>1.2241305689839221E-2</c:v>
                </c:pt>
                <c:pt idx="36">
                  <c:v>1.2091105500309283E-2</c:v>
                </c:pt>
                <c:pt idx="37">
                  <c:v>1.1945554044891416E-2</c:v>
                </c:pt>
                <c:pt idx="38">
                  <c:v>1.1804421754469302E-2</c:v>
                </c:pt>
                <c:pt idx="39">
                  <c:v>1.1667493720574827E-2</c:v>
                </c:pt>
                <c:pt idx="40">
                  <c:v>1.1534568635436348E-2</c:v>
                </c:pt>
                <c:pt idx="41">
                  <c:v>1.1405457804213119E-2</c:v>
                </c:pt>
                <c:pt idx="42">
                  <c:v>1.1279984227851553E-2</c:v>
                </c:pt>
                <c:pt idx="43">
                  <c:v>1.1157981753784877E-2</c:v>
                </c:pt>
                <c:pt idx="44">
                  <c:v>1.103929429097336E-2</c:v>
                </c:pt>
                <c:pt idx="45">
                  <c:v>1.0923775085395816E-2</c:v>
                </c:pt>
                <c:pt idx="46">
                  <c:v>1.0811286051948492E-2</c:v>
                </c:pt>
                <c:pt idx="47">
                  <c:v>1.0701697158708175E-2</c:v>
                </c:pt>
                <c:pt idx="48">
                  <c:v>1.0594885859619775E-2</c:v>
                </c:pt>
                <c:pt idx="49">
                  <c:v>1.0490736571836448E-2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EAE-4480-AA4F-CD048020DC1D}"/>
            </c:ext>
          </c:extLst>
        </c:ser>
        <c:ser>
          <c:idx val="6"/>
          <c:order val="6"/>
          <c:tx>
            <c:strRef>
              <c:f>Gamma!$B$30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Gamma!$C$30:$AZ$30</c:f>
              <c:numCache>
                <c:formatCode>General</c:formatCode>
                <c:ptCount val="50"/>
                <c:pt idx="0">
                  <c:v>1.8916378586336522E-2</c:v>
                </c:pt>
                <c:pt idx="1">
                  <c:v>2.6739234389615493E-2</c:v>
                </c:pt>
                <c:pt idx="2">
                  <c:v>2.7482291431425852E-2</c:v>
                </c:pt>
                <c:pt idx="3">
                  <c:v>2.668788040521014E-2</c:v>
                </c:pt>
                <c:pt idx="4">
                  <c:v>2.5556533759819561E-2</c:v>
                </c:pt>
                <c:pt idx="5">
                  <c:v>2.4406774147524603E-2</c:v>
                </c:pt>
                <c:pt idx="6">
                  <c:v>2.3329031963279279E-2</c:v>
                </c:pt>
                <c:pt idx="7">
                  <c:v>2.2344641814505347E-2</c:v>
                </c:pt>
                <c:pt idx="8">
                  <c:v>2.1452524339852529E-2</c:v>
                </c:pt>
                <c:pt idx="9">
                  <c:v>2.0644622964645625E-2</c:v>
                </c:pt>
                <c:pt idx="10">
                  <c:v>1.9911339536736294E-2</c:v>
                </c:pt>
                <c:pt idx="11">
                  <c:v>1.9243452333536713E-2</c:v>
                </c:pt>
                <c:pt idx="12">
                  <c:v>1.8632724433488172E-2</c:v>
                </c:pt>
                <c:pt idx="13">
                  <c:v>1.8072015358129988E-2</c:v>
                </c:pt>
                <c:pt idx="14">
                  <c:v>1.7555211108093813E-2</c:v>
                </c:pt>
                <c:pt idx="15">
                  <c:v>1.7077097888939151E-2</c:v>
                </c:pt>
                <c:pt idx="16">
                  <c:v>1.6633228947372795E-2</c:v>
                </c:pt>
                <c:pt idx="17">
                  <c:v>1.6219802748241918E-2</c:v>
                </c:pt>
                <c:pt idx="18">
                  <c:v>1.5833557828002626E-2</c:v>
                </c:pt>
                <c:pt idx="19">
                  <c:v>1.5471684475151491E-2</c:v>
                </c:pt>
                <c:pt idx="20">
                  <c:v>1.5131751493393101E-2</c:v>
                </c:pt>
                <c:pt idx="21">
                  <c:v>1.4811645800937245E-2</c:v>
                </c:pt>
                <c:pt idx="22">
                  <c:v>1.4509522680294167E-2</c:v>
                </c:pt>
                <c:pt idx="23">
                  <c:v>1.4223764754627669E-2</c:v>
                </c:pt>
                <c:pt idx="24">
                  <c:v>1.3952948073715601E-2</c:v>
                </c:pt>
                <c:pt idx="25">
                  <c:v>1.3695813982212479E-2</c:v>
                </c:pt>
                <c:pt idx="26">
                  <c:v>1.3451245693802362E-2</c:v>
                </c:pt>
                <c:pt idx="27">
                  <c:v>1.3218248703325781E-2</c:v>
                </c:pt>
                <c:pt idx="28">
                  <c:v>1.2995934338488059E-2</c:v>
                </c:pt>
                <c:pt idx="29">
                  <c:v>1.2783505889003444E-2</c:v>
                </c:pt>
                <c:pt idx="30">
                  <c:v>1.2580246859904571E-2</c:v>
                </c:pt>
                <c:pt idx="31">
                  <c:v>1.2385510982555763E-2</c:v>
                </c:pt>
                <c:pt idx="32">
                  <c:v>1.2198713686124499E-2</c:v>
                </c:pt>
                <c:pt idx="33">
                  <c:v>1.2019324787533051E-2</c:v>
                </c:pt>
                <c:pt idx="34">
                  <c:v>1.1846862202147517E-2</c:v>
                </c:pt>
                <c:pt idx="35">
                  <c:v>1.1680886512972426E-2</c:v>
                </c:pt>
                <c:pt idx="36">
                  <c:v>1.1520996264722756E-2</c:v>
                </c:pt>
                <c:pt idx="37">
                  <c:v>1.1366823872268715E-2</c:v>
                </c:pt>
                <c:pt idx="38">
                  <c:v>1.1218032051712071E-2</c:v>
                </c:pt>
                <c:pt idx="39">
                  <c:v>1.1074310697636872E-2</c:v>
                </c:pt>
                <c:pt idx="40">
                  <c:v>1.0935374142574844E-2</c:v>
                </c:pt>
                <c:pt idx="41">
                  <c:v>1.0800958744983916E-2</c:v>
                </c:pt>
                <c:pt idx="42">
                  <c:v>1.0670820760490137E-2</c:v>
                </c:pt>
                <c:pt idx="43">
                  <c:v>1.0544734458132482E-2</c:v>
                </c:pt>
                <c:pt idx="44">
                  <c:v>1.0422490449151231E-2</c:v>
                </c:pt>
                <c:pt idx="45">
                  <c:v>1.0303894200692113E-2</c:v>
                </c:pt>
                <c:pt idx="46">
                  <c:v>1.018876471083697E-2</c:v>
                </c:pt>
                <c:pt idx="47">
                  <c:v>1.0076933324758069E-2</c:v>
                </c:pt>
                <c:pt idx="48">
                  <c:v>9.9682426746427188E-3</c:v>
                </c:pt>
                <c:pt idx="49">
                  <c:v>9.8625457284395677E-3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EAE-4480-AA4F-CD048020DC1D}"/>
            </c:ext>
          </c:extLst>
        </c:ser>
        <c:ser>
          <c:idx val="7"/>
          <c:order val="7"/>
          <c:tx>
            <c:strRef>
              <c:f>Gamma!$B$31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Gamma!$C$31:$AZ$31</c:f>
              <c:numCache>
                <c:formatCode>General</c:formatCode>
                <c:ptCount val="50"/>
                <c:pt idx="0">
                  <c:v>4.9607400575778234E-2</c:v>
                </c:pt>
                <c:pt idx="1">
                  <c:v>4.1300684164172582E-2</c:v>
                </c:pt>
                <c:pt idx="2">
                  <c:v>3.5581792279001198E-2</c:v>
                </c:pt>
                <c:pt idx="3">
                  <c:v>3.1635322258043573E-2</c:v>
                </c:pt>
                <c:pt idx="4">
                  <c:v>2.8732281352043244E-2</c:v>
                </c:pt>
                <c:pt idx="5">
                  <c:v>2.6488164394297603E-2</c:v>
                </c:pt>
                <c:pt idx="6">
                  <c:v>2.4688265009858643E-2</c:v>
                </c:pt>
                <c:pt idx="7">
                  <c:v>2.3203661883923712E-2</c:v>
                </c:pt>
                <c:pt idx="8">
                  <c:v>2.1952066922098779E-2</c:v>
                </c:pt>
                <c:pt idx="9">
                  <c:v>2.087829727981377E-2</c:v>
                </c:pt>
                <c:pt idx="10">
                  <c:v>1.9943831488271495E-2</c:v>
                </c:pt>
                <c:pt idx="11">
                  <c:v>1.9120875334331693E-2</c:v>
                </c:pt>
                <c:pt idx="12">
                  <c:v>1.8388813330217961E-2</c:v>
                </c:pt>
                <c:pt idx="13">
                  <c:v>1.7731993128566145E-2</c:v>
                </c:pt>
                <c:pt idx="14">
                  <c:v>1.7138290423430548E-2</c:v>
                </c:pt>
                <c:pt idx="15">
                  <c:v>1.6598149600004254E-2</c:v>
                </c:pt>
                <c:pt idx="16">
                  <c:v>1.6103924637171533E-2</c:v>
                </c:pt>
                <c:pt idx="17">
                  <c:v>1.5649415333198375E-2</c:v>
                </c:pt>
                <c:pt idx="18">
                  <c:v>1.5229534020925931E-2</c:v>
                </c:pt>
                <c:pt idx="19">
                  <c:v>1.4840061535306964E-2</c:v>
                </c:pt>
                <c:pt idx="20">
                  <c:v>1.4477465520952387E-2</c:v>
                </c:pt>
                <c:pt idx="21">
                  <c:v>1.4138763107715472E-2</c:v>
                </c:pt>
                <c:pt idx="22">
                  <c:v>1.3821415702295703E-2</c:v>
                </c:pt>
                <c:pt idx="23">
                  <c:v>1.3523247386087815E-2</c:v>
                </c:pt>
                <c:pt idx="24">
                  <c:v>1.3242380907851773E-2</c:v>
                </c:pt>
                <c:pt idx="25">
                  <c:v>1.2977186958646764E-2</c:v>
                </c:pt>
                <c:pt idx="26">
                  <c:v>1.2726243591253232E-2</c:v>
                </c:pt>
                <c:pt idx="27">
                  <c:v>1.2488303471275925E-2</c:v>
                </c:pt>
                <c:pt idx="28">
                  <c:v>1.226226723470045E-2</c:v>
                </c:pt>
                <c:pt idx="29">
                  <c:v>1.2047161650680642E-2</c:v>
                </c:pt>
                <c:pt idx="30">
                  <c:v>1.1842121598024715E-2</c:v>
                </c:pt>
                <c:pt idx="31">
                  <c:v>1.1646375092599833E-2</c:v>
                </c:pt>
                <c:pt idx="32">
                  <c:v>1.145923077361676E-2</c:v>
                </c:pt>
                <c:pt idx="33">
                  <c:v>1.1280067385449354E-2</c:v>
                </c:pt>
                <c:pt idx="34">
                  <c:v>1.1108324889532438E-2</c:v>
                </c:pt>
                <c:pt idx="35">
                  <c:v>1.0943496915979406E-2</c:v>
                </c:pt>
                <c:pt idx="36">
                  <c:v>1.0785124322638798E-2</c:v>
                </c:pt>
                <c:pt idx="37">
                  <c:v>1.0632789674565456E-2</c:v>
                </c:pt>
                <c:pt idx="38">
                  <c:v>1.0486112492399505E-2</c:v>
                </c:pt>
                <c:pt idx="39">
                  <c:v>1.034474514620942E-2</c:v>
                </c:pt>
                <c:pt idx="40">
                  <c:v>1.0208369293669986E-2</c:v>
                </c:pt>
                <c:pt idx="41">
                  <c:v>1.0076692779297075E-2</c:v>
                </c:pt>
                <c:pt idx="42">
                  <c:v>9.9494469258235088E-3</c:v>
                </c:pt>
                <c:pt idx="43">
                  <c:v>9.8263841604186598E-3</c:v>
                </c:pt>
                <c:pt idx="44">
                  <c:v>9.707275927902069E-3</c:v>
                </c:pt>
                <c:pt idx="45">
                  <c:v>9.5919108508212766E-3</c:v>
                </c:pt>
                <c:pt idx="46">
                  <c:v>9.4800931026025378E-3</c:v>
                </c:pt>
                <c:pt idx="47">
                  <c:v>9.3716409652100773E-3</c:v>
                </c:pt>
                <c:pt idx="48">
                  <c:v>9.2663855470788738E-3</c:v>
                </c:pt>
                <c:pt idx="49">
                  <c:v>9.1641696406864273E-3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EAE-4480-AA4F-CD048020DC1D}"/>
            </c:ext>
          </c:extLst>
        </c:ser>
        <c:ser>
          <c:idx val="8"/>
          <c:order val="8"/>
          <c:tx>
            <c:strRef>
              <c:f>Gamma!$B$32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Gamma!$C$32:$AZ$32</c:f>
              <c:numCache>
                <c:formatCode>General</c:formatCode>
                <c:ptCount val="50"/>
                <c:pt idx="0">
                  <c:v>6.3007389850102596E-2</c:v>
                </c:pt>
                <c:pt idx="1">
                  <c:v>4.4502858739261318E-2</c:v>
                </c:pt>
                <c:pt idx="2">
                  <c:v>3.6295576501642057E-2</c:v>
                </c:pt>
                <c:pt idx="3">
                  <c:v>3.1397549176385639E-2</c:v>
                </c:pt>
                <c:pt idx="4">
                  <c:v>2.8051246304186251E-2</c:v>
                </c:pt>
                <c:pt idx="5">
                  <c:v>2.55783754134996E-2</c:v>
                </c:pt>
                <c:pt idx="6">
                  <c:v>2.3654347961507345E-2</c:v>
                </c:pt>
                <c:pt idx="7">
                  <c:v>2.2101737998123483E-2</c:v>
                </c:pt>
                <c:pt idx="8">
                  <c:v>2.0814289167512139E-2</c:v>
                </c:pt>
                <c:pt idx="9">
                  <c:v>1.9723966545394447E-2</c:v>
                </c:pt>
                <c:pt idx="10">
                  <c:v>1.8784919286577089E-2</c:v>
                </c:pt>
                <c:pt idx="11">
                  <c:v>1.7964968979160899E-2</c:v>
                </c:pt>
                <c:pt idx="12">
                  <c:v>1.7240777106275883E-2</c:v>
                </c:pt>
                <c:pt idx="13">
                  <c:v>1.6594948700635007E-2</c:v>
                </c:pt>
                <c:pt idx="14">
                  <c:v>1.6014217447878759E-2</c:v>
                </c:pt>
                <c:pt idx="15">
                  <c:v>1.5488265266275772E-2</c:v>
                </c:pt>
                <c:pt idx="16">
                  <c:v>1.5008929840866801E-2</c:v>
                </c:pt>
                <c:pt idx="17">
                  <c:v>1.456965789408284E-2</c:v>
                </c:pt>
                <c:pt idx="18">
                  <c:v>1.4165118927782437E-2</c:v>
                </c:pt>
                <c:pt idx="19">
                  <c:v>1.3790926583135297E-2</c:v>
                </c:pt>
                <c:pt idx="20">
                  <c:v>1.3443433885024857E-2</c:v>
                </c:pt>
                <c:pt idx="21">
                  <c:v>1.3119580278566976E-2</c:v>
                </c:pt>
                <c:pt idx="22">
                  <c:v>1.2816775653301029E-2</c:v>
                </c:pt>
                <c:pt idx="23">
                  <c:v>1.2532811228337144E-2</c:v>
                </c:pt>
                <c:pt idx="24">
                  <c:v>1.2265790241940751E-2</c:v>
                </c:pt>
                <c:pt idx="25">
                  <c:v>1.2014073445191866E-2</c:v>
                </c:pt>
                <c:pt idx="26">
                  <c:v>1.1776235801826617E-2</c:v>
                </c:pt>
                <c:pt idx="27">
                  <c:v>1.1551031769063367E-2</c:v>
                </c:pt>
                <c:pt idx="28">
                  <c:v>1.133736721922012E-2</c:v>
                </c:pt>
                <c:pt idx="29">
                  <c:v>1.1134276551152787E-2</c:v>
                </c:pt>
                <c:pt idx="30">
                  <c:v>1.0940903894495056E-2</c:v>
                </c:pt>
                <c:pt idx="31">
                  <c:v>1.0756487568849541E-2</c:v>
                </c:pt>
                <c:pt idx="32">
                  <c:v>1.0580347151969415E-2</c:v>
                </c:pt>
                <c:pt idx="33">
                  <c:v>1.0411872654523129E-2</c:v>
                </c:pt>
                <c:pt idx="34">
                  <c:v>1.0250515407469418E-2</c:v>
                </c:pt>
                <c:pt idx="35">
                  <c:v>1.0095780350719811E-2</c:v>
                </c:pt>
                <c:pt idx="36">
                  <c:v>9.9472194752982489E-3</c:v>
                </c:pt>
                <c:pt idx="37">
                  <c:v>9.8044262204333658E-3</c:v>
                </c:pt>
                <c:pt idx="38">
                  <c:v>9.6670306654470083E-3</c:v>
                </c:pt>
                <c:pt idx="39">
                  <c:v>9.5346953865131021E-3</c:v>
                </c:pt>
                <c:pt idx="40">
                  <c:v>9.4071118722700263E-3</c:v>
                </c:pt>
                <c:pt idx="41">
                  <c:v>9.2839974113112737E-3</c:v>
                </c:pt>
                <c:pt idx="42">
                  <c:v>9.1650923798350329E-3</c:v>
                </c:pt>
                <c:pt idx="43">
                  <c:v>9.0501578700251956E-3</c:v>
                </c:pt>
                <c:pt idx="44">
                  <c:v>8.9389736096940359E-3</c:v>
                </c:pt>
                <c:pt idx="45">
                  <c:v>8.8313361318242446E-3</c:v>
                </c:pt>
                <c:pt idx="46">
                  <c:v>8.7270571592820093E-3</c:v>
                </c:pt>
                <c:pt idx="47">
                  <c:v>8.6259621754257287E-3</c:v>
                </c:pt>
                <c:pt idx="48">
                  <c:v>8.5278891558375324E-3</c:v>
                </c:pt>
                <c:pt idx="49">
                  <c:v>8.4326874401380626E-3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EAE-4480-AA4F-CD048020DC1D}"/>
            </c:ext>
          </c:extLst>
        </c:ser>
        <c:ser>
          <c:idx val="9"/>
          <c:order val="9"/>
          <c:tx>
            <c:strRef>
              <c:f>Gamma!$B$33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Gamma!$C$33:$AZ$33</c:f>
              <c:numCache>
                <c:formatCode>General</c:formatCode>
                <c:ptCount val="50"/>
                <c:pt idx="0">
                  <c:v>4.2961708392642121E-2</c:v>
                </c:pt>
                <c:pt idx="1">
                  <c:v>3.5212130286942131E-2</c:v>
                </c:pt>
                <c:pt idx="2">
                  <c:v>3.0178399358531966E-2</c:v>
                </c:pt>
                <c:pt idx="3">
                  <c:v>2.6761306237360671E-2</c:v>
                </c:pt>
                <c:pt idx="4">
                  <c:v>2.4267506445708336E-2</c:v>
                </c:pt>
                <c:pt idx="5">
                  <c:v>2.2348767206295847E-2</c:v>
                </c:pt>
                <c:pt idx="6">
                  <c:v>2.0814619144845083E-2</c:v>
                </c:pt>
                <c:pt idx="7">
                  <c:v>1.9552017122180455E-2</c:v>
                </c:pt>
                <c:pt idx="8">
                  <c:v>1.8489346824041977E-2</c:v>
                </c:pt>
                <c:pt idx="9">
                  <c:v>1.7578836087368842E-2</c:v>
                </c:pt>
                <c:pt idx="10">
                  <c:v>1.6787267036854639E-2</c:v>
                </c:pt>
                <c:pt idx="11">
                  <c:v>1.6090744624012509E-2</c:v>
                </c:pt>
                <c:pt idx="12">
                  <c:v>1.5471588172748648E-2</c:v>
                </c:pt>
                <c:pt idx="13">
                  <c:v>1.4916400015446188E-2</c:v>
                </c:pt>
                <c:pt idx="14">
                  <c:v>1.4414819315620848E-2</c:v>
                </c:pt>
                <c:pt idx="15">
                  <c:v>1.395869161892372E-2</c:v>
                </c:pt>
                <c:pt idx="16">
                  <c:v>1.3541499795392981E-2</c:v>
                </c:pt>
                <c:pt idx="17">
                  <c:v>1.3157964498051756E-2</c:v>
                </c:pt>
                <c:pt idx="18">
                  <c:v>1.2803757575382086E-2</c:v>
                </c:pt>
                <c:pt idx="19">
                  <c:v>1.2475292570391813E-2</c:v>
                </c:pt>
                <c:pt idx="20">
                  <c:v>1.2169568958901766E-2</c:v>
                </c:pt>
                <c:pt idx="21">
                  <c:v>1.1884054570490875E-2</c:v>
                </c:pt>
                <c:pt idx="22">
                  <c:v>1.1616595607341462E-2</c:v>
                </c:pt>
                <c:pt idx="23">
                  <c:v>1.1365346921793071E-2</c:v>
                </c:pt>
                <c:pt idx="24">
                  <c:v>1.1128717375958556E-2</c:v>
                </c:pt>
                <c:pt idx="25">
                  <c:v>1.090532657474016E-2</c:v>
                </c:pt>
                <c:pt idx="26">
                  <c:v>1.0693970277142735E-2</c:v>
                </c:pt>
                <c:pt idx="27">
                  <c:v>1.0493592501550632E-2</c:v>
                </c:pt>
                <c:pt idx="28">
                  <c:v>1.0303262846243558E-2</c:v>
                </c:pt>
                <c:pt idx="29">
                  <c:v>1.0122157910866229E-2</c:v>
                </c:pt>
                <c:pt idx="30">
                  <c:v>9.9495459704758565E-3</c:v>
                </c:pt>
                <c:pt idx="31">
                  <c:v>9.784774250017704E-3</c:v>
                </c:pt>
                <c:pt idx="32">
                  <c:v>9.6272582934163863E-3</c:v>
                </c:pt>
                <c:pt idx="33">
                  <c:v>9.4764730316801906E-3</c:v>
                </c:pt>
                <c:pt idx="34">
                  <c:v>9.3319452381831949E-3</c:v>
                </c:pt>
                <c:pt idx="35">
                  <c:v>9.1932471235095844E-3</c:v>
                </c:pt>
                <c:pt idx="36">
                  <c:v>9.0599908718779557E-3</c:v>
                </c:pt>
                <c:pt idx="37">
                  <c:v>8.9318239598161191E-3</c:v>
                </c:pt>
                <c:pt idx="38">
                  <c:v>8.8084251280750366E-3</c:v>
                </c:pt>
                <c:pt idx="39">
                  <c:v>8.6895009017126778E-3</c:v>
                </c:pt>
                <c:pt idx="40">
                  <c:v>8.5747825723069757E-3</c:v>
                </c:pt>
                <c:pt idx="41">
                  <c:v>8.4640235714722092E-3</c:v>
                </c:pt>
                <c:pt idx="42">
                  <c:v>8.3569971770894678E-3</c:v>
                </c:pt>
                <c:pt idx="43">
                  <c:v>8.2534945035560477E-3</c:v>
                </c:pt>
                <c:pt idx="44">
                  <c:v>8.1533227354013069E-3</c:v>
                </c:pt>
                <c:pt idx="45">
                  <c:v>8.0563035701858195E-3</c:v>
                </c:pt>
                <c:pt idx="46">
                  <c:v>7.9622718419925416E-3</c:v>
                </c:pt>
                <c:pt idx="47">
                  <c:v>7.8710743012636291E-3</c:v>
                </c:pt>
                <c:pt idx="48">
                  <c:v>7.7825685304169822E-3</c:v>
                </c:pt>
                <c:pt idx="49">
                  <c:v>7.6966219777363501E-3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EAE-4480-AA4F-CD048020DC1D}"/>
            </c:ext>
          </c:extLst>
        </c:ser>
        <c:ser>
          <c:idx val="10"/>
          <c:order val="10"/>
          <c:tx>
            <c:strRef>
              <c:f>Gamma!$B$34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Gamma!$C$34:$AZ$34</c:f>
              <c:numCache>
                <c:formatCode>General</c:formatCode>
                <c:ptCount val="50"/>
                <c:pt idx="0">
                  <c:v>1.7132125878144413E-2</c:v>
                </c:pt>
                <c:pt idx="1">
                  <c:v>2.1349081451222496E-2</c:v>
                </c:pt>
                <c:pt idx="2">
                  <c:v>2.1039503593612036E-2</c:v>
                </c:pt>
                <c:pt idx="3">
                  <c:v>2.0006577096239694E-2</c:v>
                </c:pt>
                <c:pt idx="4">
                  <c:v>1.8918485039079759E-2</c:v>
                </c:pt>
                <c:pt idx="5">
                  <c:v>1.7916173218194179E-2</c:v>
                </c:pt>
                <c:pt idx="6">
                  <c:v>1.7022556226213847E-2</c:v>
                </c:pt>
                <c:pt idx="7">
                  <c:v>1.6231040004613291E-2</c:v>
                </c:pt>
                <c:pt idx="8">
                  <c:v>1.5528543194402064E-2</c:v>
                </c:pt>
                <c:pt idx="9">
                  <c:v>1.4901938093572722E-2</c:v>
                </c:pt>
                <c:pt idx="10">
                  <c:v>1.4339729185951668E-2</c:v>
                </c:pt>
                <c:pt idx="11">
                  <c:v>1.383228790761995E-2</c:v>
                </c:pt>
                <c:pt idx="12">
                  <c:v>1.3371667186658755E-2</c:v>
                </c:pt>
                <c:pt idx="13">
                  <c:v>1.2951325332653221E-2</c:v>
                </c:pt>
                <c:pt idx="14">
                  <c:v>1.2565862986255488E-2</c:v>
                </c:pt>
                <c:pt idx="15">
                  <c:v>1.2210800605677367E-2</c:v>
                </c:pt>
                <c:pt idx="16">
                  <c:v>1.1882398542194691E-2</c:v>
                </c:pt>
                <c:pt idx="17">
                  <c:v>1.1577514141645588E-2</c:v>
                </c:pt>
                <c:pt idx="18">
                  <c:v>1.1293488907277728E-2</c:v>
                </c:pt>
                <c:pt idx="19">
                  <c:v>1.1028059378052651E-2</c:v>
                </c:pt>
                <c:pt idx="20">
                  <c:v>1.0779286499179296E-2</c:v>
                </c:pt>
                <c:pt idx="21">
                  <c:v>1.0545499365109932E-2</c:v>
                </c:pt>
                <c:pt idx="22">
                  <c:v>1.0325250146350518E-2</c:v>
                </c:pt>
                <c:pt idx="23">
                  <c:v>1.0117277750523576E-2</c:v>
                </c:pt>
                <c:pt idx="24">
                  <c:v>9.9204783386592742E-3</c:v>
                </c:pt>
                <c:pt idx="25">
                  <c:v>9.7338812526154821E-3</c:v>
                </c:pt>
                <c:pt idx="26">
                  <c:v>9.5566292395470164E-3</c:v>
                </c:pt>
                <c:pt idx="27">
                  <c:v>9.3879621097167718E-3</c:v>
                </c:pt>
                <c:pt idx="28">
                  <c:v>9.2272031543468962E-3</c:v>
                </c:pt>
                <c:pt idx="29">
                  <c:v>9.0737477955800411E-3</c:v>
                </c:pt>
                <c:pt idx="30">
                  <c:v>8.9270540521480726E-3</c:v>
                </c:pt>
                <c:pt idx="31">
                  <c:v>8.7866344903663653E-3</c:v>
                </c:pt>
                <c:pt idx="32">
                  <c:v>8.6520493967925799E-3</c:v>
                </c:pt>
                <c:pt idx="33">
                  <c:v>8.5229009609359471E-3</c:v>
                </c:pt>
                <c:pt idx="34">
                  <c:v>8.398828297236309E-3</c:v>
                </c:pt>
                <c:pt idx="35">
                  <c:v>8.2795031677486558E-3</c:v>
                </c:pt>
                <c:pt idx="36">
                  <c:v>8.1646262925278018E-3</c:v>
                </c:pt>
                <c:pt idx="37">
                  <c:v>8.0539241550944135E-3</c:v>
                </c:pt>
                <c:pt idx="38">
                  <c:v>7.9471462267098961E-3</c:v>
                </c:pt>
                <c:pt idx="39">
                  <c:v>7.8440625463605997E-3</c:v>
                </c:pt>
                <c:pt idx="40">
                  <c:v>7.7444616040196982E-3</c:v>
                </c:pt>
                <c:pt idx="41">
                  <c:v>7.6481484834351006E-3</c:v>
                </c:pt>
                <c:pt idx="42">
                  <c:v>7.5549432277863867E-3</c:v>
                </c:pt>
                <c:pt idx="43">
                  <c:v>7.4646793973781262E-3</c:v>
                </c:pt>
                <c:pt idx="44">
                  <c:v>7.3772027933387569E-3</c:v>
                </c:pt>
                <c:pt idx="45">
                  <c:v>7.2923703252688954E-3</c:v>
                </c:pt>
                <c:pt idx="46">
                  <c:v>7.2100490040862544E-3</c:v>
                </c:pt>
                <c:pt idx="47">
                  <c:v>7.1301150440695737E-3</c:v>
                </c:pt>
                <c:pt idx="48">
                  <c:v>7.0524530604109403E-3</c:v>
                </c:pt>
                <c:pt idx="49">
                  <c:v>6.9769553505238443E-3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EAE-4480-AA4F-CD048020DC1D}"/>
            </c:ext>
          </c:extLst>
        </c:ser>
        <c:ser>
          <c:idx val="11"/>
          <c:order val="11"/>
          <c:tx>
            <c:strRef>
              <c:f>Gamma!$B$35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Gamma!$C$35:$AZ$35</c:f>
              <c:numCache>
                <c:formatCode>General</c:formatCode>
                <c:ptCount val="50"/>
                <c:pt idx="0">
                  <c:v>4.293033327812704E-3</c:v>
                </c:pt>
                <c:pt idx="1">
                  <c:v>1.0279303406877474E-2</c:v>
                </c:pt>
                <c:pt idx="2">
                  <c:v>1.259400347775148E-2</c:v>
                </c:pt>
                <c:pt idx="3">
                  <c:v>1.3352820984703353E-2</c:v>
                </c:pt>
                <c:pt idx="4">
                  <c:v>1.3478753756809103E-2</c:v>
                </c:pt>
                <c:pt idx="5">
                  <c:v>1.3332678349343825E-2</c:v>
                </c:pt>
                <c:pt idx="6">
                  <c:v>1.3067821328100538E-2</c:v>
                </c:pt>
                <c:pt idx="7">
                  <c:v>1.2754236173725023E-2</c:v>
                </c:pt>
                <c:pt idx="8">
                  <c:v>1.2425602990436633E-2</c:v>
                </c:pt>
                <c:pt idx="9">
                  <c:v>1.2098525266351955E-2</c:v>
                </c:pt>
                <c:pt idx="10">
                  <c:v>1.1781146771663715E-2</c:v>
                </c:pt>
                <c:pt idx="11">
                  <c:v>1.1477256395789781E-2</c:v>
                </c:pt>
                <c:pt idx="12">
                  <c:v>1.1188346905975938E-2</c:v>
                </c:pt>
                <c:pt idx="13">
                  <c:v>1.0914690049198652E-2</c:v>
                </c:pt>
                <c:pt idx="14">
                  <c:v>1.0655915470665326E-2</c:v>
                </c:pt>
                <c:pt idx="15">
                  <c:v>1.041132927661333E-2</c:v>
                </c:pt>
                <c:pt idx="16">
                  <c:v>1.0180091531767394E-2</c:v>
                </c:pt>
                <c:pt idx="17">
                  <c:v>9.9613153465066082E-3</c:v>
                </c:pt>
                <c:pt idx="18">
                  <c:v>9.7541215223034359E-3</c:v>
                </c:pt>
                <c:pt idx="19">
                  <c:v>9.5576676672171137E-3</c:v>
                </c:pt>
                <c:pt idx="20">
                  <c:v>9.371162543953742E-3</c:v>
                </c:pt>
                <c:pt idx="21">
                  <c:v>9.1938718841564661E-3</c:v>
                </c:pt>
                <c:pt idx="22">
                  <c:v>9.0251193280403205E-3</c:v>
                </c:pt>
                <c:pt idx="23">
                  <c:v>8.8642846564858102E-3</c:v>
                </c:pt>
                <c:pt idx="24">
                  <c:v>8.71080060410118E-3</c:v>
                </c:pt>
                <c:pt idx="25">
                  <c:v>8.5641490176669027E-3</c:v>
                </c:pt>
                <c:pt idx="26">
                  <c:v>8.4238568087089995E-3</c:v>
                </c:pt>
                <c:pt idx="27">
                  <c:v>8.2894919576351825E-3</c:v>
                </c:pt>
                <c:pt idx="28">
                  <c:v>8.1606597106638201E-3</c:v>
                </c:pt>
                <c:pt idx="29">
                  <c:v>8.0369990403848408E-3</c:v>
                </c:pt>
                <c:pt idx="30">
                  <c:v>7.9181793985495328E-3</c:v>
                </c:pt>
                <c:pt idx="31">
                  <c:v>7.8038977648173819E-3</c:v>
                </c:pt>
                <c:pt idx="32">
                  <c:v>7.6938759810547116E-3</c:v>
                </c:pt>
                <c:pt idx="33">
                  <c:v>7.5878583532619417E-3</c:v>
                </c:pt>
                <c:pt idx="34">
                  <c:v>7.4856094997306907E-3</c:v>
                </c:pt>
                <c:pt idx="35">
                  <c:v>7.3869124229876395E-3</c:v>
                </c:pt>
                <c:pt idx="36">
                  <c:v>7.2915667834586428E-3</c:v>
                </c:pt>
                <c:pt idx="37">
                  <c:v>7.1993873539527627E-3</c:v>
                </c:pt>
                <c:pt idx="38">
                  <c:v>7.1102026356298486E-3</c:v>
                </c:pt>
                <c:pt idx="39">
                  <c:v>7.0238536178371452E-3</c:v>
                </c:pt>
                <c:pt idx="40">
                  <c:v>6.9401926659367818E-3</c:v>
                </c:pt>
                <c:pt idx="41">
                  <c:v>6.8590825229144087E-3</c:v>
                </c:pt>
                <c:pt idx="42">
                  <c:v>6.7803954121156479E-3</c:v>
                </c:pt>
                <c:pt idx="43">
                  <c:v>6.7040122298810973E-3</c:v>
                </c:pt>
                <c:pt idx="44">
                  <c:v>6.6298218181368614E-3</c:v>
                </c:pt>
                <c:pt idx="45">
                  <c:v>6.5577203081484594E-3</c:v>
                </c:pt>
                <c:pt idx="46">
                  <c:v>6.4876105276696237E-3</c:v>
                </c:pt>
                <c:pt idx="47">
                  <c:v>6.4194014646235201E-3</c:v>
                </c:pt>
                <c:pt idx="48">
                  <c:v>6.3530077812536884E-3</c:v>
                </c:pt>
                <c:pt idx="49">
                  <c:v>6.2883493733863101E-3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EAE-4480-AA4F-CD048020DC1D}"/>
            </c:ext>
          </c:extLst>
        </c:ser>
        <c:ser>
          <c:idx val="12"/>
          <c:order val="12"/>
          <c:tx>
            <c:strRef>
              <c:f>Gamma!$B$36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Gamma!$C$36:$AZ$36</c:f>
              <c:numCache>
                <c:formatCode>General</c:formatCode>
                <c:ptCount val="50"/>
                <c:pt idx="0">
                  <c:v>7.1823787351586244E-4</c:v>
                </c:pt>
                <c:pt idx="1">
                  <c:v>4.0508179535475647E-3</c:v>
                </c:pt>
                <c:pt idx="2">
                  <c:v>6.6034037139998071E-3</c:v>
                </c:pt>
                <c:pt idx="3">
                  <c:v>8.0758746095868535E-3</c:v>
                </c:pt>
                <c:pt idx="4">
                  <c:v>8.881243547387634E-3</c:v>
                </c:pt>
                <c:pt idx="5">
                  <c:v>9.3013597568778437E-3</c:v>
                </c:pt>
                <c:pt idx="6">
                  <c:v>9.4962050866496343E-3</c:v>
                </c:pt>
                <c:pt idx="7">
                  <c:v>9.5562993383245896E-3</c:v>
                </c:pt>
                <c:pt idx="8">
                  <c:v>9.5342861100476302E-3</c:v>
                </c:pt>
                <c:pt idx="9">
                  <c:v>9.46175015661453E-3</c:v>
                </c:pt>
                <c:pt idx="10">
                  <c:v>9.3581845767962274E-3</c:v>
                </c:pt>
                <c:pt idx="11">
                  <c:v>9.2359085458628854E-3</c:v>
                </c:pt>
                <c:pt idx="12">
                  <c:v>9.102855655595805E-3</c:v>
                </c:pt>
                <c:pt idx="13">
                  <c:v>8.9642069883307616E-3</c:v>
                </c:pt>
                <c:pt idx="14">
                  <c:v>8.8233764114015682E-3</c:v>
                </c:pt>
                <c:pt idx="15">
                  <c:v>8.68262105781035E-3</c:v>
                </c:pt>
                <c:pt idx="16">
                  <c:v>8.5434285875810746E-3</c:v>
                </c:pt>
                <c:pt idx="17">
                  <c:v>8.4067679976348904E-3</c:v>
                </c:pt>
                <c:pt idx="18">
                  <c:v>8.2732550419221465E-3</c:v>
                </c:pt>
                <c:pt idx="19">
                  <c:v>8.1432630811320347E-3</c:v>
                </c:pt>
                <c:pt idx="20">
                  <c:v>8.0169983956870378E-3</c:v>
                </c:pt>
                <c:pt idx="21">
                  <c:v>7.8945519642155404E-3</c:v>
                </c:pt>
                <c:pt idx="22">
                  <c:v>7.7759354198514629E-3</c:v>
                </c:pt>
                <c:pt idx="23">
                  <c:v>7.6611062255981322E-3</c:v>
                </c:pt>
                <c:pt idx="24">
                  <c:v>7.5499854155068402E-3</c:v>
                </c:pt>
                <c:pt idx="25">
                  <c:v>7.4424701549921073E-3</c:v>
                </c:pt>
                <c:pt idx="26">
                  <c:v>7.3384426569249473E-3</c:v>
                </c:pt>
                <c:pt idx="27">
                  <c:v>7.2377765136259565E-3</c:v>
                </c:pt>
                <c:pt idx="28">
                  <c:v>7.1403411838513436E-3</c:v>
                </c:pt>
                <c:pt idx="29">
                  <c:v>7.0460051549628578E-3</c:v>
                </c:pt>
                <c:pt idx="30">
                  <c:v>6.9546381495434262E-3</c:v>
                </c:pt>
                <c:pt idx="31">
                  <c:v>6.8661126405916142E-3</c:v>
                </c:pt>
                <c:pt idx="32">
                  <c:v>6.7803048655129382E-3</c:v>
                </c:pt>
                <c:pt idx="33">
                  <c:v>6.6970954767095366E-3</c:v>
                </c:pt>
                <c:pt idx="34">
                  <c:v>6.6163699291057702E-3</c:v>
                </c:pt>
                <c:pt idx="35">
                  <c:v>6.5380186779784343E-3</c:v>
                </c:pt>
                <c:pt idx="36">
                  <c:v>6.4619372409197556E-3</c:v>
                </c:pt>
                <c:pt idx="37">
                  <c:v>6.3880261635201746E-3</c:v>
                </c:pt>
                <c:pt idx="38">
                  <c:v>6.3161909179243712E-3</c:v>
                </c:pt>
                <c:pt idx="39">
                  <c:v>6.2463417557349936E-3</c:v>
                </c:pt>
                <c:pt idx="40">
                  <c:v>6.1783935310640954E-3</c:v>
                </c:pt>
                <c:pt idx="41">
                  <c:v>6.1122655053254607E-3</c:v>
                </c:pt>
                <c:pt idx="42">
                  <c:v>6.0478811422336127E-3</c:v>
                </c:pt>
                <c:pt idx="43">
                  <c:v>5.9851678991461E-3</c:v>
                </c:pt>
                <c:pt idx="44">
                  <c:v>5.924057019148928E-3</c:v>
                </c:pt>
                <c:pt idx="45">
                  <c:v>5.8644833269895424E-3</c:v>
                </c:pt>
                <c:pt idx="46">
                  <c:v>5.8063850309964735E-3</c:v>
                </c:pt>
                <c:pt idx="47">
                  <c:v>5.749703532406612E-3</c:v>
                </c:pt>
                <c:pt idx="48">
                  <c:v>5.6943832429888685E-3</c:v>
                </c:pt>
                <c:pt idx="49">
                  <c:v>5.6403714114604637E-3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EAE-4480-AA4F-CD048020DC1D}"/>
            </c:ext>
          </c:extLst>
        </c:ser>
        <c:ser>
          <c:idx val="13"/>
          <c:order val="13"/>
          <c:tx>
            <c:strRef>
              <c:f>Gamma!$B$37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Gamma!$C$37:$AZ$37</c:f>
              <c:numCache>
                <c:formatCode>General</c:formatCode>
                <c:ptCount val="50"/>
                <c:pt idx="0">
                  <c:v>8.446823286585097E-5</c:v>
                </c:pt>
                <c:pt idx="1">
                  <c:v>1.3404252747399995E-3</c:v>
                </c:pt>
                <c:pt idx="2">
                  <c:v>3.084792741286774E-3</c:v>
                </c:pt>
                <c:pt idx="3">
                  <c:v>4.4825674910614188E-3</c:v>
                </c:pt>
                <c:pt idx="4">
                  <c:v>5.4668672380470719E-3</c:v>
                </c:pt>
                <c:pt idx="5">
                  <c:v>6.1342693499021788E-3</c:v>
                </c:pt>
                <c:pt idx="6">
                  <c:v>6.5790096216856164E-3</c:v>
                </c:pt>
                <c:pt idx="7">
                  <c:v>6.8698255498420152E-3</c:v>
                </c:pt>
                <c:pt idx="8">
                  <c:v>7.0538139252298493E-3</c:v>
                </c:pt>
                <c:pt idx="9">
                  <c:v>7.1629377797827656E-3</c:v>
                </c:pt>
                <c:pt idx="10">
                  <c:v>7.2190482036348855E-3</c:v>
                </c:pt>
                <c:pt idx="11">
                  <c:v>7.2372762874415375E-3</c:v>
                </c:pt>
                <c:pt idx="12">
                  <c:v>7.2282492148045959E-3</c:v>
                </c:pt>
                <c:pt idx="13">
                  <c:v>7.1995345975970002E-3</c:v>
                </c:pt>
                <c:pt idx="14">
                  <c:v>7.1565903963601877E-3</c:v>
                </c:pt>
                <c:pt idx="15">
                  <c:v>7.1033981533630882E-3</c:v>
                </c:pt>
                <c:pt idx="16">
                  <c:v>7.0428914609800431E-3</c:v>
                </c:pt>
                <c:pt idx="17">
                  <c:v>6.9772502611982583E-3</c:v>
                </c:pt>
                <c:pt idx="18">
                  <c:v>6.9081059351256482E-3</c:v>
                </c:pt>
                <c:pt idx="19">
                  <c:v>6.8366861897907437E-3</c:v>
                </c:pt>
                <c:pt idx="20">
                  <c:v>6.7639187271098496E-3</c:v>
                </c:pt>
                <c:pt idx="21">
                  <c:v>6.6905063021160237E-3</c:v>
                </c:pt>
                <c:pt idx="22">
                  <c:v>6.6169816622071156E-3</c:v>
                </c:pt>
                <c:pt idx="23">
                  <c:v>6.5437481658414025E-3</c:v>
                </c:pt>
                <c:pt idx="24">
                  <c:v>6.4711100917088449E-3</c:v>
                </c:pt>
                <c:pt idx="25">
                  <c:v>6.3992954471556555E-3</c:v>
                </c:pt>
                <c:pt idx="26">
                  <c:v>6.3284732655189326E-3</c:v>
                </c:pt>
                <c:pt idx="27">
                  <c:v>6.2587668170935333E-3</c:v>
                </c:pt>
                <c:pt idx="28">
                  <c:v>6.1902637643063124E-3</c:v>
                </c:pt>
                <c:pt idx="29">
                  <c:v>6.1230240136718661E-3</c:v>
                </c:pt>
                <c:pt idx="30">
                  <c:v>6.0570858190008457E-3</c:v>
                </c:pt>
                <c:pt idx="31">
                  <c:v>5.9924705477925463E-3</c:v>
                </c:pt>
                <c:pt idx="32">
                  <c:v>5.9291864192448389E-3</c:v>
                </c:pt>
                <c:pt idx="33">
                  <c:v>5.867231446516033E-3</c:v>
                </c:pt>
                <c:pt idx="34">
                  <c:v>5.8065957599102002E-3</c:v>
                </c:pt>
                <c:pt idx="35">
                  <c:v>5.7472634460231219E-3</c:v>
                </c:pt>
                <c:pt idx="36">
                  <c:v>5.6892140066876918E-3</c:v>
                </c:pt>
                <c:pt idx="37">
                  <c:v>5.6324235180203047E-3</c:v>
                </c:pt>
                <c:pt idx="38">
                  <c:v>5.5768655519978279E-3</c:v>
                </c:pt>
                <c:pt idx="39">
                  <c:v>5.5225119093422655E-3</c:v>
                </c:pt>
                <c:pt idx="40">
                  <c:v>5.4693332020009089E-3</c:v>
                </c:pt>
                <c:pt idx="41">
                  <c:v>5.4172993154072329E-3</c:v>
                </c:pt>
                <c:pt idx="42">
                  <c:v>5.3663797744166472E-3</c:v>
                </c:pt>
                <c:pt idx="43">
                  <c:v>5.3165440319029597E-3</c:v>
                </c:pt>
                <c:pt idx="44">
                  <c:v>5.2677616951544558E-3</c:v>
                </c:pt>
                <c:pt idx="45">
                  <c:v>5.2200027021803283E-3</c:v>
                </c:pt>
                <c:pt idx="46">
                  <c:v>5.1732374576448047E-3</c:v>
                </c:pt>
                <c:pt idx="47">
                  <c:v>5.1274369362472967E-3</c:v>
                </c:pt>
                <c:pt idx="48">
                  <c:v>5.0825727598547586E-3</c:v>
                </c:pt>
                <c:pt idx="49">
                  <c:v>5.0386172534840883E-3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EAE-4480-AA4F-CD048020DC1D}"/>
            </c:ext>
          </c:extLst>
        </c:ser>
        <c:ser>
          <c:idx val="14"/>
          <c:order val="14"/>
          <c:tx>
            <c:strRef>
              <c:f>Gamma!$B$38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Gamma!$C$38:$AZ$38</c:f>
              <c:numCache>
                <c:formatCode>General</c:formatCode>
                <c:ptCount val="50"/>
                <c:pt idx="0">
                  <c:v>7.2972234478141031E-6</c:v>
                </c:pt>
                <c:pt idx="1">
                  <c:v>3.8068919850193204E-4</c:v>
                </c:pt>
                <c:pt idx="2">
                  <c:v>1.3026922814580184E-3</c:v>
                </c:pt>
                <c:pt idx="3">
                  <c:v>2.3082701661092638E-3</c:v>
                </c:pt>
                <c:pt idx="4">
                  <c:v>3.170915723518429E-3</c:v>
                </c:pt>
                <c:pt idx="5">
                  <c:v>3.8518254155354265E-3</c:v>
                </c:pt>
                <c:pt idx="6">
                  <c:v>4.3719665660242645E-3</c:v>
                </c:pt>
                <c:pt idx="7">
                  <c:v>4.7634480986671448E-3</c:v>
                </c:pt>
                <c:pt idx="8">
                  <c:v>5.0554177985015743E-3</c:v>
                </c:pt>
                <c:pt idx="9">
                  <c:v>5.271207263287927E-3</c:v>
                </c:pt>
                <c:pt idx="10">
                  <c:v>5.4287066946902022E-3</c:v>
                </c:pt>
                <c:pt idx="11">
                  <c:v>5.5414428289173433E-3</c:v>
                </c:pt>
                <c:pt idx="12">
                  <c:v>5.6196242782786615E-3</c:v>
                </c:pt>
                <c:pt idx="13">
                  <c:v>5.6709837972406113E-3</c:v>
                </c:pt>
                <c:pt idx="14">
                  <c:v>5.7014150292189333E-3</c:v>
                </c:pt>
                <c:pt idx="15">
                  <c:v>5.7154423766497906E-3</c:v>
                </c:pt>
                <c:pt idx="16">
                  <c:v>5.7165651372552157E-3</c:v>
                </c:pt>
                <c:pt idx="17">
                  <c:v>5.7075096668925398E-3</c:v>
                </c:pt>
                <c:pt idx="18">
                  <c:v>5.6904149768715884E-3</c:v>
                </c:pt>
                <c:pt idx="19">
                  <c:v>5.6669702285113352E-3</c:v>
                </c:pt>
                <c:pt idx="20">
                  <c:v>5.6385173565819766E-3</c:v>
                </c:pt>
                <c:pt idx="21">
                  <c:v>5.6061282702838042E-3</c:v>
                </c:pt>
                <c:pt idx="22">
                  <c:v>5.5706633909684096E-3</c:v>
                </c:pt>
                <c:pt idx="23">
                  <c:v>5.5328163846327105E-3</c:v>
                </c:pt>
                <c:pt idx="24">
                  <c:v>5.4931486028205381E-3</c:v>
                </c:pt>
                <c:pt idx="25">
                  <c:v>5.4521157913917651E-3</c:v>
                </c:pt>
                <c:pt idx="26">
                  <c:v>5.4100889456261802E-3</c:v>
                </c:pt>
                <c:pt idx="27">
                  <c:v>5.367370700885425E-3</c:v>
                </c:pt>
                <c:pt idx="28">
                  <c:v>5.3242082940482809E-3</c:v>
                </c:pt>
                <c:pt idx="29">
                  <c:v>5.2808038728821578E-3</c:v>
                </c:pt>
                <c:pt idx="30">
                  <c:v>5.2373227410053552E-3</c:v>
                </c:pt>
                <c:pt idx="31">
                  <c:v>5.1938999858973777E-3</c:v>
                </c:pt>
                <c:pt idx="32">
                  <c:v>5.1506458329489465E-3</c:v>
                </c:pt>
                <c:pt idx="33">
                  <c:v>5.1076499901563446E-3</c:v>
                </c:pt>
                <c:pt idx="34">
                  <c:v>5.0649851888473867E-3</c:v>
                </c:pt>
                <c:pt idx="35">
                  <c:v>5.0227100807981248E-3</c:v>
                </c:pt>
                <c:pt idx="36">
                  <c:v>4.9808716176452036E-3</c:v>
                </c:pt>
                <c:pt idx="37">
                  <c:v>4.9395070119765223E-3</c:v>
                </c:pt>
                <c:pt idx="38">
                  <c:v>4.8986453589480849E-3</c:v>
                </c:pt>
                <c:pt idx="39">
                  <c:v>4.858308981287961E-3</c:v>
                </c:pt>
                <c:pt idx="40">
                  <c:v>4.8185145480355391E-3</c:v>
                </c:pt>
                <c:pt idx="41">
                  <c:v>4.7792740075211651E-3</c:v>
                </c:pt>
                <c:pt idx="42">
                  <c:v>4.7405953673101218E-3</c:v>
                </c:pt>
                <c:pt idx="43">
                  <c:v>4.7024833476554577E-3</c:v>
                </c:pt>
                <c:pt idx="44">
                  <c:v>4.6649399300743716E-3</c:v>
                </c:pt>
                <c:pt idx="45">
                  <c:v>4.6279648187134556E-3</c:v>
                </c:pt>
                <c:pt idx="46">
                  <c:v>4.5915558289908853E-3</c:v>
                </c:pt>
                <c:pt idx="47">
                  <c:v>4.55570921543773E-3</c:v>
                </c:pt>
                <c:pt idx="48">
                  <c:v>4.5204199485804324E-3</c:v>
                </c:pt>
                <c:pt idx="49">
                  <c:v>4.4856819490140861E-3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EAE-4480-AA4F-CD048020DC1D}"/>
            </c:ext>
          </c:extLst>
        </c:ser>
        <c:ser>
          <c:idx val="15"/>
          <c:order val="15"/>
          <c:tx>
            <c:strRef>
              <c:f>Gamma!$B$39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Gamma!$C$39:$AZ$39</c:f>
              <c:numCache>
                <c:formatCode>General</c:formatCode>
                <c:ptCount val="50"/>
                <c:pt idx="0">
                  <c:v>4.8093577566927397E-7</c:v>
                </c:pt>
                <c:pt idx="1">
                  <c:v>9.4556994587265296E-5</c:v>
                </c:pt>
                <c:pt idx="2">
                  <c:v>5.0353481185787989E-4</c:v>
                </c:pt>
                <c:pt idx="3">
                  <c:v>1.1130292486590083E-3</c:v>
                </c:pt>
                <c:pt idx="4">
                  <c:v>1.7459186523562451E-3</c:v>
                </c:pt>
                <c:pt idx="5">
                  <c:v>2.3169614647433356E-3</c:v>
                </c:pt>
                <c:pt idx="6">
                  <c:v>2.8013465758306814E-3</c:v>
                </c:pt>
                <c:pt idx="7">
                  <c:v>3.2002933770762325E-3</c:v>
                </c:pt>
                <c:pt idx="8">
                  <c:v>3.5239585209983202E-3</c:v>
                </c:pt>
                <c:pt idx="9">
                  <c:v>3.7843224261389784E-3</c:v>
                </c:pt>
                <c:pt idx="10">
                  <c:v>3.9925527693900481E-3</c:v>
                </c:pt>
                <c:pt idx="11">
                  <c:v>4.1582189279311087E-3</c:v>
                </c:pt>
                <c:pt idx="12">
                  <c:v>4.2892254319524875E-3</c:v>
                </c:pt>
                <c:pt idx="13">
                  <c:v>4.3919945977249561E-3</c:v>
                </c:pt>
                <c:pt idx="14">
                  <c:v>4.4717097413523301E-3</c:v>
                </c:pt>
                <c:pt idx="15">
                  <c:v>4.5325480202299748E-3</c:v>
                </c:pt>
                <c:pt idx="16">
                  <c:v>4.5778803544923212E-3</c:v>
                </c:pt>
                <c:pt idx="17">
                  <c:v>4.6104350576069743E-3</c:v>
                </c:pt>
                <c:pt idx="18">
                  <c:v>4.6324287207686055E-3</c:v>
                </c:pt>
                <c:pt idx="19">
                  <c:v>4.6456697775222461E-3</c:v>
                </c:pt>
                <c:pt idx="20">
                  <c:v>4.6516401031869038E-3</c:v>
                </c:pt>
                <c:pt idx="21">
                  <c:v>4.6515592759995934E-3</c:v>
                </c:pt>
                <c:pt idx="22">
                  <c:v>4.6464352718141597E-3</c:v>
                </c:pt>
                <c:pt idx="23">
                  <c:v>4.6371045792771466E-3</c:v>
                </c:pt>
                <c:pt idx="24">
                  <c:v>4.6242640660505456E-3</c:v>
                </c:pt>
                <c:pt idx="25">
                  <c:v>4.6084964016490084E-3</c:v>
                </c:pt>
                <c:pt idx="26">
                  <c:v>4.5902904320774904E-3</c:v>
                </c:pt>
                <c:pt idx="27">
                  <c:v>4.5700575844944318E-3</c:v>
                </c:pt>
                <c:pt idx="28">
                  <c:v>4.5481451367199209E-3</c:v>
                </c:pt>
                <c:pt idx="29">
                  <c:v>4.5248469998567693E-3</c:v>
                </c:pt>
                <c:pt idx="30">
                  <c:v>4.5004125192596982E-3</c:v>
                </c:pt>
                <c:pt idx="31">
                  <c:v>4.4750536892129052E-3</c:v>
                </c:pt>
                <c:pt idx="32">
                  <c:v>4.4489510920290264E-3</c:v>
                </c:pt>
                <c:pt idx="33">
                  <c:v>4.4222588068407913E-3</c:v>
                </c:pt>
                <c:pt idx="34">
                  <c:v>4.3951084825646011E-3</c:v>
                </c:pt>
                <c:pt idx="35">
                  <c:v>4.3676127299290919E-3</c:v>
                </c:pt>
                <c:pt idx="36">
                  <c:v>4.3398679564767874E-3</c:v>
                </c:pt>
                <c:pt idx="37">
                  <c:v>4.3119567440885577E-3</c:v>
                </c:pt>
                <c:pt idx="38">
                  <c:v>4.2839498493485607E-3</c:v>
                </c:pt>
                <c:pt idx="39">
                  <c:v>4.2559078918170063E-3</c:v>
                </c:pt>
                <c:pt idx="40">
                  <c:v>4.2278827831338977E-3</c:v>
                </c:pt>
                <c:pt idx="41">
                  <c:v>4.1999189401658128E-3</c:v>
                </c:pt>
                <c:pt idx="42">
                  <c:v>4.1720543176107872E-3</c:v>
                </c:pt>
                <c:pt idx="43">
                  <c:v>4.1443212891912815E-3</c:v>
                </c:pt>
                <c:pt idx="44">
                  <c:v>4.1167474014793442E-3</c:v>
                </c:pt>
                <c:pt idx="45">
                  <c:v>4.0893560202672312E-3</c:v>
                </c:pt>
                <c:pt idx="46">
                  <c:v>4.0621668860293114E-3</c:v>
                </c:pt>
                <c:pt idx="47">
                  <c:v>4.0351965922663675E-3</c:v>
                </c:pt>
                <c:pt idx="48">
                  <c:v>4.0084589982622093E-3</c:v>
                </c:pt>
                <c:pt idx="49">
                  <c:v>3.9819655859202495E-3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EAE-4480-AA4F-CD048020DC1D}"/>
            </c:ext>
          </c:extLst>
        </c:ser>
        <c:ser>
          <c:idx val="16"/>
          <c:order val="16"/>
          <c:tx>
            <c:strRef>
              <c:f>Gamma!$B$40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Gamma!$C$40:$AZ$40</c:f>
              <c:numCache>
                <c:formatCode>General</c:formatCode>
                <c:ptCount val="50"/>
                <c:pt idx="0">
                  <c:v>2.4984119686305784E-8</c:v>
                </c:pt>
                <c:pt idx="1">
                  <c:v>2.0876714879530865E-5</c:v>
                </c:pt>
                <c:pt idx="2">
                  <c:v>1.8007849189266507E-4</c:v>
                </c:pt>
                <c:pt idx="3">
                  <c:v>5.0660659975445025E-4</c:v>
                </c:pt>
                <c:pt idx="4">
                  <c:v>9.1839058774420546E-4</c:v>
                </c:pt>
                <c:pt idx="5">
                  <c:v>1.3421930911671853E-3</c:v>
                </c:pt>
                <c:pt idx="6">
                  <c:v>1.7385470025647579E-3</c:v>
                </c:pt>
                <c:pt idx="7">
                  <c:v>2.0914714572423773E-3</c:v>
                </c:pt>
                <c:pt idx="8">
                  <c:v>2.3974428180687469E-3</c:v>
                </c:pt>
                <c:pt idx="9">
                  <c:v>2.6587031941631982E-3</c:v>
                </c:pt>
                <c:pt idx="10">
                  <c:v>2.8797692591508474E-3</c:v>
                </c:pt>
                <c:pt idx="11">
                  <c:v>3.0657409950987529E-3</c:v>
                </c:pt>
                <c:pt idx="12">
                  <c:v>3.2215381923153198E-3</c:v>
                </c:pt>
                <c:pt idx="13">
                  <c:v>3.3515955933317416E-3</c:v>
                </c:pt>
                <c:pt idx="14">
                  <c:v>3.4597769463136784E-3</c:v>
                </c:pt>
                <c:pt idx="15">
                  <c:v>3.5493882298125385E-3</c:v>
                </c:pt>
                <c:pt idx="16">
                  <c:v>3.6232312612667792E-3</c:v>
                </c:pt>
                <c:pt idx="17">
                  <c:v>3.6836695148238703E-3</c:v>
                </c:pt>
                <c:pt idx="18">
                  <c:v>3.7326932454951256E-3</c:v>
                </c:pt>
                <c:pt idx="19">
                  <c:v>3.7719785580502133E-3</c:v>
                </c:pt>
                <c:pt idx="20">
                  <c:v>3.8029387072216945E-3</c:v>
                </c:pt>
                <c:pt idx="21">
                  <c:v>3.8267676074581537E-3</c:v>
                </c:pt>
                <c:pt idx="22">
                  <c:v>3.8444762469136925E-3</c:v>
                </c:pt>
                <c:pt idx="23">
                  <c:v>3.8569229400776455E-3</c:v>
                </c:pt>
                <c:pt idx="24">
                  <c:v>3.864838369371446E-3</c:v>
                </c:pt>
                <c:pt idx="25">
                  <c:v>3.8688462855110827E-3</c:v>
                </c:pt>
                <c:pt idx="26">
                  <c:v>3.8694806223472569E-3</c:v>
                </c:pt>
                <c:pt idx="27">
                  <c:v>3.8671996641189356E-3</c:v>
                </c:pt>
                <c:pt idx="28">
                  <c:v>3.8623977946691326E-3</c:v>
                </c:pt>
                <c:pt idx="29">
                  <c:v>3.855415263882422E-3</c:v>
                </c:pt>
                <c:pt idx="30">
                  <c:v>3.8465463271008973E-3</c:v>
                </c:pt>
                <c:pt idx="31">
                  <c:v>3.8360460474626203E-3</c:v>
                </c:pt>
                <c:pt idx="32">
                  <c:v>3.8241359972251169E-3</c:v>
                </c:pt>
                <c:pt idx="33">
                  <c:v>3.8110090503097891E-3</c:v>
                </c:pt>
                <c:pt idx="34">
                  <c:v>3.7968334227825467E-3</c:v>
                </c:pt>
                <c:pt idx="35">
                  <c:v>3.7817560892437763E-3</c:v>
                </c:pt>
                <c:pt idx="36">
                  <c:v>3.7659056798498266E-3</c:v>
                </c:pt>
                <c:pt idx="37">
                  <c:v>3.7493949438665111E-3</c:v>
                </c:pt>
                <c:pt idx="38">
                  <c:v>3.7323228503984705E-3</c:v>
                </c:pt>
                <c:pt idx="39">
                  <c:v>3.7147763845488601E-3</c:v>
                </c:pt>
                <c:pt idx="40">
                  <c:v>3.6968320871810997E-3</c:v>
                </c:pt>
                <c:pt idx="41">
                  <c:v>3.6785573782294073E-3</c:v>
                </c:pt>
                <c:pt idx="42">
                  <c:v>3.6600116967779794E-3</c:v>
                </c:pt>
                <c:pt idx="43">
                  <c:v>3.6412474856126597E-3</c:v>
                </c:pt>
                <c:pt idx="44">
                  <c:v>3.6223110434133688E-3</c:v>
                </c:pt>
                <c:pt idx="45">
                  <c:v>3.6032432640160459E-3</c:v>
                </c:pt>
                <c:pt idx="46">
                  <c:v>3.5840802790810047E-3</c:v>
                </c:pt>
                <c:pt idx="47">
                  <c:v>3.5648540179413985E-3</c:v>
                </c:pt>
                <c:pt idx="48">
                  <c:v>3.5455926962746276E-3</c:v>
                </c:pt>
                <c:pt idx="49">
                  <c:v>3.5263212434632849E-3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EAE-4480-AA4F-CD048020DC1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41971776"/>
        <c:axId val="441970816"/>
        <c:axId val="859871856"/>
      </c:surface3DChart>
      <c:catAx>
        <c:axId val="44197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970816"/>
        <c:crosses val="autoZero"/>
        <c:auto val="1"/>
        <c:lblAlgn val="ctr"/>
        <c:lblOffset val="100"/>
        <c:noMultiLvlLbl val="0"/>
      </c:catAx>
      <c:valAx>
        <c:axId val="44197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971776"/>
        <c:crosses val="autoZero"/>
        <c:crossBetween val="midCat"/>
      </c:valAx>
      <c:serAx>
        <c:axId val="8598718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97081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Gamma, vol=40%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Gamma!$B$45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Gamma!$C$45:$AZ$45</c:f>
              <c:numCache>
                <c:formatCode>General</c:formatCode>
                <c:ptCount val="50"/>
                <c:pt idx="0">
                  <c:v>2.0088667398215202E-5</c:v>
                </c:pt>
                <c:pt idx="1">
                  <c:v>8.3571072825565785E-4</c:v>
                </c:pt>
                <c:pt idx="2">
                  <c:v>2.6494196814334956E-3</c:v>
                </c:pt>
                <c:pt idx="3">
                  <c:v>4.5154593932593247E-3</c:v>
                </c:pt>
                <c:pt idx="4">
                  <c:v>6.0564696070674372E-3</c:v>
                </c:pt>
                <c:pt idx="5">
                  <c:v>7.2373163235592624E-3</c:v>
                </c:pt>
                <c:pt idx="6">
                  <c:v>8.115678082205105E-3</c:v>
                </c:pt>
                <c:pt idx="7">
                  <c:v>8.7593020056123214E-3</c:v>
                </c:pt>
                <c:pt idx="8">
                  <c:v>9.2253016225118147E-3</c:v>
                </c:pt>
                <c:pt idx="9">
                  <c:v>9.5576656929775346E-3</c:v>
                </c:pt>
                <c:pt idx="10">
                  <c:v>9.7892873999446094E-3</c:v>
                </c:pt>
                <c:pt idx="11">
                  <c:v>9.944582814253906E-3</c:v>
                </c:pt>
                <c:pt idx="12">
                  <c:v>1.004171139484562E-2</c:v>
                </c:pt>
                <c:pt idx="13">
                  <c:v>1.0094261190475519E-2</c:v>
                </c:pt>
                <c:pt idx="14">
                  <c:v>1.0112478478021056E-2</c:v>
                </c:pt>
                <c:pt idx="15">
                  <c:v>1.0104153459948195E-2</c:v>
                </c:pt>
                <c:pt idx="16">
                  <c:v>1.0075257397688053E-2</c:v>
                </c:pt>
                <c:pt idx="17">
                  <c:v>1.0030402901750236E-2</c:v>
                </c:pt>
                <c:pt idx="18">
                  <c:v>9.9731787977041814E-3</c:v>
                </c:pt>
                <c:pt idx="19">
                  <c:v>9.9063957663700925E-3</c:v>
                </c:pt>
                <c:pt idx="20">
                  <c:v>9.8322681168232333E-3</c:v>
                </c:pt>
                <c:pt idx="21">
                  <c:v>9.7525494885344777E-3</c:v>
                </c:pt>
                <c:pt idx="22">
                  <c:v>9.668635037794783E-3</c:v>
                </c:pt>
                <c:pt idx="23">
                  <c:v>9.5816390291410918E-3</c:v>
                </c:pt>
                <c:pt idx="24">
                  <c:v>9.4924542212675728E-3</c:v>
                </c:pt>
                <c:pt idx="25">
                  <c:v>9.4017976626359322E-3</c:v>
                </c:pt>
                <c:pt idx="26">
                  <c:v>9.3102462589133451E-3</c:v>
                </c:pt>
                <c:pt idx="27">
                  <c:v>9.2182645821925185E-3</c:v>
                </c:pt>
                <c:pt idx="28">
                  <c:v>9.1262267514567799E-3</c:v>
                </c:pt>
                <c:pt idx="29">
                  <c:v>9.0344337501264971E-3</c:v>
                </c:pt>
                <c:pt idx="30">
                  <c:v>8.9431272081820154E-3</c:v>
                </c:pt>
                <c:pt idx="31">
                  <c:v>8.852500427484122E-3</c:v>
                </c:pt>
                <c:pt idx="32">
                  <c:v>8.7627072444403514E-3</c:v>
                </c:pt>
                <c:pt idx="33">
                  <c:v>8.673869186417044E-3</c:v>
                </c:pt>
                <c:pt idx="34">
                  <c:v>8.5860812747068065E-3</c:v>
                </c:pt>
                <c:pt idx="35">
                  <c:v>8.4994167484282335E-3</c:v>
                </c:pt>
                <c:pt idx="36">
                  <c:v>8.4139309239628229E-3</c:v>
                </c:pt>
                <c:pt idx="37">
                  <c:v>8.3296643586991456E-3</c:v>
                </c:pt>
                <c:pt idx="38">
                  <c:v>8.2466454524977324E-3</c:v>
                </c:pt>
                <c:pt idx="39">
                  <c:v>8.1648925928612774E-3</c:v>
                </c:pt>
                <c:pt idx="40">
                  <c:v>8.084415928400264E-3</c:v>
                </c:pt>
                <c:pt idx="41">
                  <c:v>8.0052188384100702E-3</c:v>
                </c:pt>
                <c:pt idx="42">
                  <c:v>7.9272991531588004E-3</c:v>
                </c:pt>
                <c:pt idx="43">
                  <c:v>7.8506501690217539E-3</c:v>
                </c:pt>
                <c:pt idx="44">
                  <c:v>7.7752614942776816E-3</c:v>
                </c:pt>
                <c:pt idx="45">
                  <c:v>7.7011197547360005E-3</c:v>
                </c:pt>
                <c:pt idx="46">
                  <c:v>7.6282091830343719E-3</c:v>
                </c:pt>
                <c:pt idx="47">
                  <c:v>7.5565121111543813E-3</c:v>
                </c:pt>
                <c:pt idx="48">
                  <c:v>7.4860093822346407E-3</c:v>
                </c:pt>
                <c:pt idx="49">
                  <c:v>7.4166806949471E-3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7-4139-A0B4-4B02369A0B8F}"/>
            </c:ext>
          </c:extLst>
        </c:ser>
        <c:ser>
          <c:idx val="1"/>
          <c:order val="1"/>
          <c:tx>
            <c:strRef>
              <c:f>Gamma!$B$46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Gamma!$C$46:$AZ$46</c:f>
              <c:numCache>
                <c:formatCode>General</c:formatCode>
                <c:ptCount val="50"/>
                <c:pt idx="0">
                  <c:v>1.8686139683275071E-4</c:v>
                </c:pt>
                <c:pt idx="1">
                  <c:v>2.3943206611075122E-3</c:v>
                </c:pt>
                <c:pt idx="2">
                  <c:v>5.1262099002038026E-3</c:v>
                </c:pt>
                <c:pt idx="3">
                  <c:v>7.1797151370505026E-3</c:v>
                </c:pt>
                <c:pt idx="4">
                  <c:v>8.560134762872651E-3</c:v>
                </c:pt>
                <c:pt idx="5">
                  <c:v>9.4567622958321093E-3</c:v>
                </c:pt>
                <c:pt idx="6">
                  <c:v>1.0026176435365509E-2</c:v>
                </c:pt>
                <c:pt idx="7">
                  <c:v>1.0375624380939861E-2</c:v>
                </c:pt>
                <c:pt idx="8">
                  <c:v>1.0575930527762914E-2</c:v>
                </c:pt>
                <c:pt idx="9">
                  <c:v>1.0673932942462667E-2</c:v>
                </c:pt>
                <c:pt idx="10">
                  <c:v>1.0701009892894842E-2</c:v>
                </c:pt>
                <c:pt idx="11">
                  <c:v>1.0678521642016296E-2</c:v>
                </c:pt>
                <c:pt idx="12">
                  <c:v>1.0621243082661725E-2</c:v>
                </c:pt>
                <c:pt idx="13">
                  <c:v>1.0539546103144101E-2</c:v>
                </c:pt>
                <c:pt idx="14">
                  <c:v>1.0440807842492177E-2</c:v>
                </c:pt>
                <c:pt idx="15">
                  <c:v>1.0330335071862628E-2</c:v>
                </c:pt>
                <c:pt idx="16">
                  <c:v>1.0211981539484147E-2</c:v>
                </c:pt>
                <c:pt idx="17">
                  <c:v>1.0088567174561443E-2</c:v>
                </c:pt>
                <c:pt idx="18">
                  <c:v>9.9621672220586519E-3</c:v>
                </c:pt>
                <c:pt idx="19">
                  <c:v>9.8343145705267424E-3</c:v>
                </c:pt>
                <c:pt idx="20">
                  <c:v>9.7061432311149349E-3</c:v>
                </c:pt>
                <c:pt idx="21">
                  <c:v>9.5784913318325438E-3</c:v>
                </c:pt>
                <c:pt idx="22">
                  <c:v>9.4519758777882358E-3</c:v>
                </c:pt>
                <c:pt idx="23">
                  <c:v>9.3270475702935569E-3</c:v>
                </c:pt>
                <c:pt idx="24">
                  <c:v>9.2040313760420982E-3</c:v>
                </c:pt>
                <c:pt idx="25">
                  <c:v>9.0831568024816907E-3</c:v>
                </c:pt>
                <c:pt idx="26">
                  <c:v>8.9645806624612974E-3</c:v>
                </c:pt>
                <c:pt idx="27">
                  <c:v>8.8484043079599464E-3</c:v>
                </c:pt>
                <c:pt idx="28">
                  <c:v>8.7346867559825736E-3</c:v>
                </c:pt>
                <c:pt idx="29">
                  <c:v>8.6234547394859994E-3</c:v>
                </c:pt>
                <c:pt idx="30">
                  <c:v>8.5147104397741459E-3</c:v>
                </c:pt>
                <c:pt idx="31">
                  <c:v>8.4084374590375956E-3</c:v>
                </c:pt>
                <c:pt idx="32">
                  <c:v>8.3046054489028936E-3</c:v>
                </c:pt>
                <c:pt idx="33">
                  <c:v>8.2031737068264162E-3</c:v>
                </c:pt>
                <c:pt idx="34">
                  <c:v>8.1040939757623769E-3</c:v>
                </c:pt>
                <c:pt idx="35">
                  <c:v>8.0073126259845445E-3</c:v>
                </c:pt>
                <c:pt idx="36">
                  <c:v>7.9127723557828548E-3</c:v>
                </c:pt>
                <c:pt idx="37">
                  <c:v>7.8204135161118182E-3</c:v>
                </c:pt>
                <c:pt idx="38">
                  <c:v>7.7301751403628539E-3</c:v>
                </c:pt>
                <c:pt idx="39">
                  <c:v>7.6419957422653607E-3</c:v>
                </c:pt>
                <c:pt idx="40">
                  <c:v>7.5558139310358098E-3</c:v>
                </c:pt>
                <c:pt idx="41">
                  <c:v>7.4715688822247373E-3</c:v>
                </c:pt>
                <c:pt idx="42">
                  <c:v>7.3892006944719446E-3</c:v>
                </c:pt>
                <c:pt idx="43">
                  <c:v>7.3086506559871681E-3</c:v>
                </c:pt>
                <c:pt idx="44">
                  <c:v>7.2298614395912694E-3</c:v>
                </c:pt>
                <c:pt idx="45">
                  <c:v>7.1527772412538502E-3</c:v>
                </c:pt>
                <c:pt idx="46">
                  <c:v>7.0773438740003042E-3</c:v>
                </c:pt>
                <c:pt idx="47">
                  <c:v>7.0035088266460158E-3</c:v>
                </c:pt>
                <c:pt idx="48">
                  <c:v>6.9312212949049776E-3</c:v>
                </c:pt>
                <c:pt idx="49">
                  <c:v>6.8604321909037057E-3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67-4139-A0B4-4B02369A0B8F}"/>
            </c:ext>
          </c:extLst>
        </c:ser>
        <c:ser>
          <c:idx val="2"/>
          <c:order val="2"/>
          <c:tx>
            <c:strRef>
              <c:f>Gamma!$B$47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Gamma!$C$47:$AZ$47</c:f>
              <c:numCache>
                <c:formatCode>General</c:formatCode>
                <c:ptCount val="50"/>
                <c:pt idx="0">
                  <c:v>1.0309404557752424E-3</c:v>
                </c:pt>
                <c:pt idx="1">
                  <c:v>5.3075613758233487E-3</c:v>
                </c:pt>
                <c:pt idx="2">
                  <c:v>8.3851081862422686E-3</c:v>
                </c:pt>
                <c:pt idx="3">
                  <c:v>1.0088330127171414E-2</c:v>
                </c:pt>
                <c:pt idx="4">
                  <c:v>1.0979752382444532E-2</c:v>
                </c:pt>
                <c:pt idx="5">
                  <c:v>1.1414432692899415E-2</c:v>
                </c:pt>
                <c:pt idx="6">
                  <c:v>1.1587506687583985E-2</c:v>
                </c:pt>
                <c:pt idx="7">
                  <c:v>1.1607160589983252E-2</c:v>
                </c:pt>
                <c:pt idx="8">
                  <c:v>1.153533750799713E-2</c:v>
                </c:pt>
                <c:pt idx="9">
                  <c:v>1.1408699948366722E-2</c:v>
                </c:pt>
                <c:pt idx="10">
                  <c:v>1.1249583159032678E-2</c:v>
                </c:pt>
                <c:pt idx="11">
                  <c:v>1.1071915883561084E-2</c:v>
                </c:pt>
                <c:pt idx="12">
                  <c:v>1.0884539366481498E-2</c:v>
                </c:pt>
                <c:pt idx="13">
                  <c:v>1.0693132580429842E-2</c:v>
                </c:pt>
                <c:pt idx="14">
                  <c:v>1.0501363840256982E-2</c:v>
                </c:pt>
                <c:pt idx="15">
                  <c:v>1.0311598640522075E-2</c:v>
                </c:pt>
                <c:pt idx="16">
                  <c:v>1.0125345216686066E-2</c:v>
                </c:pt>
                <c:pt idx="17">
                  <c:v>9.9435409015304552E-3</c:v>
                </c:pt>
                <c:pt idx="18">
                  <c:v>9.7667395123176726E-3</c:v>
                </c:pt>
                <c:pt idx="19">
                  <c:v>9.5952358950200951E-3</c:v>
                </c:pt>
                <c:pt idx="20">
                  <c:v>9.4291498049025001E-3</c:v>
                </c:pt>
                <c:pt idx="21">
                  <c:v>9.2684830301576794E-3</c:v>
                </c:pt>
                <c:pt idx="22">
                  <c:v>9.1131586456083078E-3</c:v>
                </c:pt>
                <c:pt idx="23">
                  <c:v>8.963048173947193E-3</c:v>
                </c:pt>
                <c:pt idx="24">
                  <c:v>8.8179904690949967E-3</c:v>
                </c:pt>
                <c:pt idx="25">
                  <c:v>8.6778048757191854E-3</c:v>
                </c:pt>
                <c:pt idx="26">
                  <c:v>8.5423003966764704E-3</c:v>
                </c:pt>
                <c:pt idx="27">
                  <c:v>8.4112820560071667E-3</c:v>
                </c:pt>
                <c:pt idx="28">
                  <c:v>8.2845552802914592E-3</c:v>
                </c:pt>
                <c:pt idx="29">
                  <c:v>8.1619288736357928E-3</c:v>
                </c:pt>
                <c:pt idx="30">
                  <c:v>8.0432169917437311E-3</c:v>
                </c:pt>
                <c:pt idx="31">
                  <c:v>7.9282404028625832E-3</c:v>
                </c:pt>
                <c:pt idx="32">
                  <c:v>7.8168272411229551E-3</c:v>
                </c:pt>
                <c:pt idx="33">
                  <c:v>7.7088133997810912E-3</c:v>
                </c:pt>
                <c:pt idx="34">
                  <c:v>7.6040426706684471E-3</c:v>
                </c:pt>
                <c:pt idx="35">
                  <c:v>7.5023667066850298E-3</c:v>
                </c:pt>
                <c:pt idx="36">
                  <c:v>7.4036448629727619E-3</c:v>
                </c:pt>
                <c:pt idx="37">
                  <c:v>7.3077439570722593E-3</c:v>
                </c:pt>
                <c:pt idx="38">
                  <c:v>7.2145379772270432E-3</c:v>
                </c:pt>
                <c:pt idx="39">
                  <c:v>7.123907759875891E-3</c:v>
                </c:pt>
                <c:pt idx="40">
                  <c:v>7.0357406514323659E-3</c:v>
                </c:pt>
                <c:pt idx="41">
                  <c:v>6.9499301650956377E-3</c:v>
                </c:pt>
                <c:pt idx="42">
                  <c:v>6.8663756402408153E-3</c:v>
                </c:pt>
                <c:pt idx="43">
                  <c:v>6.7849819095913691E-3</c:v>
                </c:pt>
                <c:pt idx="44">
                  <c:v>6.7056589776566932E-3</c:v>
                </c:pt>
                <c:pt idx="45">
                  <c:v>6.6283217126602489E-3</c:v>
                </c:pt>
                <c:pt idx="46">
                  <c:v>6.5528895532683453E-3</c:v>
                </c:pt>
                <c:pt idx="47">
                  <c:v>6.4792862307674727E-3</c:v>
                </c:pt>
                <c:pt idx="48">
                  <c:v>6.4074395068641817E-3</c:v>
                </c:pt>
                <c:pt idx="49">
                  <c:v>6.3372809269468793E-3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67-4139-A0B4-4B02369A0B8F}"/>
            </c:ext>
          </c:extLst>
        </c:ser>
        <c:ser>
          <c:idx val="3"/>
          <c:order val="3"/>
          <c:tx>
            <c:strRef>
              <c:f>Gamma!$B$48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Gamma!$C$48:$AZ$48</c:f>
              <c:numCache>
                <c:formatCode>General</c:formatCode>
                <c:ptCount val="50"/>
                <c:pt idx="0">
                  <c:v>3.7133014645969629E-3</c:v>
                </c:pt>
                <c:pt idx="1">
                  <c:v>9.5444206122242969E-3</c:v>
                </c:pt>
                <c:pt idx="2">
                  <c:v>1.1962056649825076E-2</c:v>
                </c:pt>
                <c:pt idx="3">
                  <c:v>1.281851717853775E-2</c:v>
                </c:pt>
                <c:pt idx="4">
                  <c:v>1.3014990097403468E-2</c:v>
                </c:pt>
                <c:pt idx="5">
                  <c:v>1.2917966546806091E-2</c:v>
                </c:pt>
                <c:pt idx="6">
                  <c:v>1.2687161977676E-2</c:v>
                </c:pt>
                <c:pt idx="7">
                  <c:v>1.2397281908733668E-2</c:v>
                </c:pt>
                <c:pt idx="8">
                  <c:v>1.2085121185051761E-2</c:v>
                </c:pt>
                <c:pt idx="9">
                  <c:v>1.1769365170574513E-2</c:v>
                </c:pt>
                <c:pt idx="10">
                  <c:v>1.145957109426283E-2</c:v>
                </c:pt>
                <c:pt idx="11">
                  <c:v>1.1160506927928193E-2</c:v>
                </c:pt>
                <c:pt idx="12">
                  <c:v>1.0874357520444772E-2</c:v>
                </c:pt>
                <c:pt idx="13">
                  <c:v>1.0601893240735844E-2</c:v>
                </c:pt>
                <c:pt idx="14">
                  <c:v>1.0343109283665915E-2</c:v>
                </c:pt>
                <c:pt idx="15">
                  <c:v>1.0097583989991747E-2</c:v>
                </c:pt>
                <c:pt idx="16">
                  <c:v>9.8646830425647026E-3</c:v>
                </c:pt>
                <c:pt idx="17">
                  <c:v>9.6436768269237364E-3</c:v>
                </c:pt>
                <c:pt idx="18">
                  <c:v>9.4338078083810763E-3</c:v>
                </c:pt>
                <c:pt idx="19">
                  <c:v>9.2343286657363254E-3</c:v>
                </c:pt>
                <c:pt idx="20">
                  <c:v>9.0445231252792909E-3</c:v>
                </c:pt>
                <c:pt idx="21">
                  <c:v>8.8637165056884605E-3</c:v>
                </c:pt>
                <c:pt idx="22">
                  <c:v>8.691280152836817E-3</c:v>
                </c:pt>
                <c:pt idx="23">
                  <c:v>8.5266322851625959E-3</c:v>
                </c:pt>
                <c:pt idx="24">
                  <c:v>8.3692367821851365E-3</c:v>
                </c:pt>
                <c:pt idx="25">
                  <c:v>8.218600851462041E-3</c:v>
                </c:pt>
                <c:pt idx="26">
                  <c:v>8.0742721439561651E-3</c:v>
                </c:pt>
                <c:pt idx="27">
                  <c:v>7.9358356622989679E-3</c:v>
                </c:pt>
                <c:pt idx="28">
                  <c:v>7.8029106664134658E-3</c:v>
                </c:pt>
                <c:pt idx="29">
                  <c:v>7.6751476937604139E-3</c:v>
                </c:pt>
                <c:pt idx="30">
                  <c:v>7.5522257572309421E-3</c:v>
                </c:pt>
                <c:pt idx="31">
                  <c:v>7.4338497501826228E-3</c:v>
                </c:pt>
                <c:pt idx="32">
                  <c:v>7.3197480676726566E-3</c:v>
                </c:pt>
                <c:pt idx="33">
                  <c:v>7.2096704407805133E-3</c:v>
                </c:pt>
                <c:pt idx="34">
                  <c:v>7.1033859739895473E-3</c:v>
                </c:pt>
                <c:pt idx="35">
                  <c:v>7.000681371971444E-3</c:v>
                </c:pt>
                <c:pt idx="36">
                  <c:v>6.9013593405458373E-3</c:v>
                </c:pt>
                <c:pt idx="37">
                  <c:v>6.8052371462721008E-3</c:v>
                </c:pt>
                <c:pt idx="38">
                  <c:v>6.7121453195596341E-3</c:v>
                </c:pt>
                <c:pt idx="39">
                  <c:v>6.6219264870299895E-3</c:v>
                </c:pt>
                <c:pt idx="40">
                  <c:v>6.5344343199215584E-3</c:v>
                </c:pt>
                <c:pt idx="41">
                  <c:v>6.4495325864659288E-3</c:v>
                </c:pt>
                <c:pt idx="42">
                  <c:v>6.3670942973051564E-3</c:v>
                </c:pt>
                <c:pt idx="43">
                  <c:v>6.2870009341146034E-3</c:v>
                </c:pt>
                <c:pt idx="44">
                  <c:v>6.2091417526213425E-3</c:v>
                </c:pt>
                <c:pt idx="45">
                  <c:v>6.1334131521509037E-3</c:v>
                </c:pt>
                <c:pt idx="46">
                  <c:v>6.0597181046920133E-3</c:v>
                </c:pt>
                <c:pt idx="47">
                  <c:v>5.987965637240673E-3</c:v>
                </c:pt>
                <c:pt idx="48">
                  <c:v>5.9180703618761264E-3</c:v>
                </c:pt>
                <c:pt idx="49">
                  <c:v>5.8499520486373366E-3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67-4139-A0B4-4B02369A0B8F}"/>
            </c:ext>
          </c:extLst>
        </c:ser>
        <c:ser>
          <c:idx val="4"/>
          <c:order val="4"/>
          <c:tx>
            <c:strRef>
              <c:f>Gamma!$B$49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Gamma!$C$49:$AZ$49</c:f>
              <c:numCache>
                <c:formatCode>General</c:formatCode>
                <c:ptCount val="50"/>
                <c:pt idx="0">
                  <c:v>9.4058115353356283E-3</c:v>
                </c:pt>
                <c:pt idx="1">
                  <c:v>1.4443424030823897E-2</c:v>
                </c:pt>
                <c:pt idx="2">
                  <c:v>1.5245954603357852E-2</c:v>
                </c:pt>
                <c:pt idx="3">
                  <c:v>1.4993417874434044E-2</c:v>
                </c:pt>
                <c:pt idx="4">
                  <c:v>1.445889654252335E-2</c:v>
                </c:pt>
                <c:pt idx="5">
                  <c:v>1.3866635473277537E-2</c:v>
                </c:pt>
                <c:pt idx="6">
                  <c:v>1.3288877874791492E-2</c:v>
                </c:pt>
                <c:pt idx="7">
                  <c:v>1.2748540394619342E-2</c:v>
                </c:pt>
                <c:pt idx="8">
                  <c:v>1.2250975700260651E-2</c:v>
                </c:pt>
                <c:pt idx="9">
                  <c:v>1.1795089803831352E-2</c:v>
                </c:pt>
                <c:pt idx="10">
                  <c:v>1.1377557081249788E-2</c:v>
                </c:pt>
                <c:pt idx="11">
                  <c:v>1.0994486561843033E-2</c:v>
                </c:pt>
                <c:pt idx="12">
                  <c:v>1.0642079322475106E-2</c:v>
                </c:pt>
                <c:pt idx="13">
                  <c:v>1.0316868599010353E-2</c:v>
                </c:pt>
                <c:pt idx="14">
                  <c:v>1.0015784285923006E-2</c:v>
                </c:pt>
                <c:pt idx="15">
                  <c:v>9.7361448752723775E-3</c:v>
                </c:pt>
                <c:pt idx="16">
                  <c:v>9.4756218864841847E-3</c:v>
                </c:pt>
                <c:pt idx="17">
                  <c:v>9.2321965566773481E-3</c:v>
                </c:pt>
                <c:pt idx="18">
                  <c:v>9.0041172301678907E-3</c:v>
                </c:pt>
                <c:pt idx="19">
                  <c:v>8.7898607375682079E-3</c:v>
                </c:pt>
                <c:pt idx="20">
                  <c:v>8.5880987265861998E-3</c:v>
                </c:pt>
                <c:pt idx="21">
                  <c:v>8.3976688882149205E-3</c:v>
                </c:pt>
                <c:pt idx="22">
                  <c:v>8.2175506159037591E-3</c:v>
                </c:pt>
                <c:pt idx="23">
                  <c:v>8.0468445125450195E-3</c:v>
                </c:pt>
                <c:pt idx="24">
                  <c:v>7.8847551636976061E-3</c:v>
                </c:pt>
                <c:pt idx="25">
                  <c:v>7.7305766503841314E-3</c:v>
                </c:pt>
                <c:pt idx="26">
                  <c:v>7.583680345690234E-3</c:v>
                </c:pt>
                <c:pt idx="27">
                  <c:v>7.4435046102527894E-3</c:v>
                </c:pt>
                <c:pt idx="28">
                  <c:v>7.3095460659376426E-3</c:v>
                </c:pt>
                <c:pt idx="29">
                  <c:v>7.1813521824651231E-3</c:v>
                </c:pt>
                <c:pt idx="30">
                  <c:v>7.0585149583944672E-3</c:v>
                </c:pt>
                <c:pt idx="31">
                  <c:v>6.9406655165419294E-3</c:v>
                </c:pt>
                <c:pt idx="32">
                  <c:v>6.827469465680319E-3</c:v>
                </c:pt>
                <c:pt idx="33">
                  <c:v>6.7186229063612747E-3</c:v>
                </c:pt>
                <c:pt idx="34">
                  <c:v>6.6138489799261197E-3</c:v>
                </c:pt>
                <c:pt idx="35">
                  <c:v>6.5128948770971857E-3</c:v>
                </c:pt>
                <c:pt idx="36">
                  <c:v>6.4155292366976377E-3</c:v>
                </c:pt>
                <c:pt idx="37">
                  <c:v>6.321539876633182E-3</c:v>
                </c:pt>
                <c:pt idx="38">
                  <c:v>6.2307318087710438E-3</c:v>
                </c:pt>
                <c:pt idx="39">
                  <c:v>6.1429254971648948E-3</c:v>
                </c:pt>
                <c:pt idx="40">
                  <c:v>6.0579553255167258E-3</c:v>
                </c:pt>
                <c:pt idx="41">
                  <c:v>5.9756682450943562E-3</c:v>
                </c:pt>
                <c:pt idx="42">
                  <c:v>5.8959225787423887E-3</c:v>
                </c:pt>
                <c:pt idx="43">
                  <c:v>5.8185869603011361E-3</c:v>
                </c:pt>
                <c:pt idx="44">
                  <c:v>5.743539391816696E-3</c:v>
                </c:pt>
                <c:pt idx="45">
                  <c:v>5.6706664034940285E-3</c:v>
                </c:pt>
                <c:pt idx="46">
                  <c:v>5.599862303502021E-3</c:v>
                </c:pt>
                <c:pt idx="47">
                  <c:v>5.5310285065560362E-3</c:v>
                </c:pt>
                <c:pt idx="48">
                  <c:v>5.4640729317379988E-3</c:v>
                </c:pt>
                <c:pt idx="49">
                  <c:v>5.3989094613139674E-3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67-4139-A0B4-4B02369A0B8F}"/>
            </c:ext>
          </c:extLst>
        </c:ser>
        <c:ser>
          <c:idx val="5"/>
          <c:order val="5"/>
          <c:tx>
            <c:strRef>
              <c:f>Gamma!$B$50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Gamma!$C$50:$AZ$50</c:f>
              <c:numCache>
                <c:formatCode>General</c:formatCode>
                <c:ptCount val="50"/>
                <c:pt idx="0">
                  <c:v>1.7765295072320917E-2</c:v>
                </c:pt>
                <c:pt idx="1">
                  <c:v>1.8931662539579803E-2</c:v>
                </c:pt>
                <c:pt idx="2">
                  <c:v>1.7692424949679604E-2</c:v>
                </c:pt>
                <c:pt idx="3">
                  <c:v>1.6371574860835209E-2</c:v>
                </c:pt>
                <c:pt idx="4">
                  <c:v>1.5221561523768383E-2</c:v>
                </c:pt>
                <c:pt idx="5">
                  <c:v>1.4246821580001753E-2</c:v>
                </c:pt>
                <c:pt idx="6">
                  <c:v>1.3417761710737984E-2</c:v>
                </c:pt>
                <c:pt idx="7">
                  <c:v>1.270532818503029E-2</c:v>
                </c:pt>
                <c:pt idx="8">
                  <c:v>1.2086176918352686E-2</c:v>
                </c:pt>
                <c:pt idx="9">
                  <c:v>1.154233824412115E-2</c:v>
                </c:pt>
                <c:pt idx="10">
                  <c:v>1.1060044779690447E-2</c:v>
                </c:pt>
                <c:pt idx="11">
                  <c:v>1.0628669741068875E-2</c:v>
                </c:pt>
                <c:pt idx="12">
                  <c:v>1.02399156752497E-2</c:v>
                </c:pt>
                <c:pt idx="13">
                  <c:v>9.8872222852003349E-3</c:v>
                </c:pt>
                <c:pt idx="14">
                  <c:v>9.5653383547572995E-3</c:v>
                </c:pt>
                <c:pt idx="15">
                  <c:v>9.2700111358498417E-3</c:v>
                </c:pt>
                <c:pt idx="16">
                  <c:v>8.99775888091571E-3</c:v>
                </c:pt>
                <c:pt idx="17">
                  <c:v>8.7457023629936691E-3</c:v>
                </c:pt>
                <c:pt idx="18">
                  <c:v>8.5114385834092442E-3</c:v>
                </c:pt>
                <c:pt idx="19">
                  <c:v>8.2929449714361312E-3</c:v>
                </c:pt>
                <c:pt idx="20">
                  <c:v>8.08850587667179E-3</c:v>
                </c:pt>
                <c:pt idx="21">
                  <c:v>7.8966555498226586E-3</c:v>
                </c:pt>
                <c:pt idx="22">
                  <c:v>7.7161334580711479E-3</c:v>
                </c:pt>
                <c:pt idx="23">
                  <c:v>7.5458489288390967E-3</c:v>
                </c:pt>
                <c:pt idx="24">
                  <c:v>7.3848529220040173E-3</c:v>
                </c:pt>
                <c:pt idx="25">
                  <c:v>7.2323153031575551E-3</c:v>
                </c:pt>
                <c:pt idx="26">
                  <c:v>7.0875064014853505E-3</c:v>
                </c:pt>
                <c:pt idx="27">
                  <c:v>6.9497819340190387E-3</c:v>
                </c:pt>
                <c:pt idx="28">
                  <c:v>6.8185705965642931E-3</c:v>
                </c:pt>
                <c:pt idx="29">
                  <c:v>6.6933637833884755E-3</c:v>
                </c:pt>
                <c:pt idx="30">
                  <c:v>6.5737070186372634E-3</c:v>
                </c:pt>
                <c:pt idx="31">
                  <c:v>6.4591927735907686E-3</c:v>
                </c:pt>
                <c:pt idx="32">
                  <c:v>6.3494544131725058E-3</c:v>
                </c:pt>
                <c:pt idx="33">
                  <c:v>6.2441610682493175E-3</c:v>
                </c:pt>
                <c:pt idx="34">
                  <c:v>6.1430132712974742E-3</c:v>
                </c:pt>
                <c:pt idx="35">
                  <c:v>6.0457392249417116E-3</c:v>
                </c:pt>
                <c:pt idx="36">
                  <c:v>5.9520915978929934E-3</c:v>
                </c:pt>
                <c:pt idx="37">
                  <c:v>5.8618447625429599E-3</c:v>
                </c:pt>
                <c:pt idx="38">
                  <c:v>5.7747924041332468E-3</c:v>
                </c:pt>
                <c:pt idx="39">
                  <c:v>5.6907454439205562E-3</c:v>
                </c:pt>
                <c:pt idx="40">
                  <c:v>5.6095302287969212E-3</c:v>
                </c:pt>
                <c:pt idx="41">
                  <c:v>5.5309869479283746E-3</c:v>
                </c:pt>
                <c:pt idx="42">
                  <c:v>5.4549682435508767E-3</c:v>
                </c:pt>
                <c:pt idx="43">
                  <c:v>5.3813379884243267E-3</c:v>
                </c:pt>
                <c:pt idx="44">
                  <c:v>5.3099702068385131E-3</c:v>
                </c:pt>
                <c:pt idx="45">
                  <c:v>5.2407481196800696E-3</c:v>
                </c:pt>
                <c:pt idx="46">
                  <c:v>5.1735632970576571E-3</c:v>
                </c:pt>
                <c:pt idx="47">
                  <c:v>5.1083149044624434E-3</c:v>
                </c:pt>
                <c:pt idx="48">
                  <c:v>5.0449090305073226E-3</c:v>
                </c:pt>
                <c:pt idx="49">
                  <c:v>4.9832580860164968E-3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67-4139-A0B4-4B02369A0B8F}"/>
            </c:ext>
          </c:extLst>
        </c:ser>
        <c:ser>
          <c:idx val="6"/>
          <c:order val="6"/>
          <c:tx>
            <c:strRef>
              <c:f>Gamma!$B$51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Gamma!$C$51:$AZ$51</c:f>
              <c:numCache>
                <c:formatCode>General</c:formatCode>
                <c:ptCount val="50"/>
                <c:pt idx="0">
                  <c:v>2.6217397005655067E-2</c:v>
                </c:pt>
                <c:pt idx="1">
                  <c:v>2.1993983876196624E-2</c:v>
                </c:pt>
                <c:pt idx="2">
                  <c:v>1.897878957938726E-2</c:v>
                </c:pt>
                <c:pt idx="3">
                  <c:v>1.6875420659397365E-2</c:v>
                </c:pt>
                <c:pt idx="4">
                  <c:v>1.5319096670935345E-2</c:v>
                </c:pt>
                <c:pt idx="5">
                  <c:v>1.4111238594338552E-2</c:v>
                </c:pt>
                <c:pt idx="6">
                  <c:v>1.313952030194715E-2</c:v>
                </c:pt>
                <c:pt idx="7">
                  <c:v>1.2336005017830942E-2</c:v>
                </c:pt>
                <c:pt idx="8">
                  <c:v>1.1657124380614989E-2</c:v>
                </c:pt>
                <c:pt idx="9">
                  <c:v>1.1073562136236142E-2</c:v>
                </c:pt>
                <c:pt idx="10">
                  <c:v>1.0564800683435923E-2</c:v>
                </c:pt>
                <c:pt idx="11">
                  <c:v>1.0116005636700108E-2</c:v>
                </c:pt>
                <c:pt idx="12">
                  <c:v>9.7161554246965025E-3</c:v>
                </c:pt>
                <c:pt idx="13">
                  <c:v>9.3568699006604129E-3</c:v>
                </c:pt>
                <c:pt idx="14">
                  <c:v>9.0316497467626249E-3</c:v>
                </c:pt>
                <c:pt idx="15">
                  <c:v>8.7353670038784591E-3</c:v>
                </c:pt>
                <c:pt idx="16">
                  <c:v>8.4639144636596657E-3</c:v>
                </c:pt>
                <c:pt idx="17">
                  <c:v>8.2139586076897791E-3</c:v>
                </c:pt>
                <c:pt idx="18">
                  <c:v>7.9827618384518319E-3</c:v>
                </c:pt>
                <c:pt idx="19">
                  <c:v>7.7680521726198881E-3</c:v>
                </c:pt>
                <c:pt idx="20">
                  <c:v>7.5679261269293021E-3</c:v>
                </c:pt>
                <c:pt idx="21">
                  <c:v>7.3807752537764695E-3</c:v>
                </c:pt>
                <c:pt idx="22">
                  <c:v>7.2052298127665889E-3</c:v>
                </c:pt>
                <c:pt idx="23">
                  <c:v>7.040115048958114E-3</c:v>
                </c:pt>
                <c:pt idx="24">
                  <c:v>6.8844168750861372E-3</c:v>
                </c:pt>
                <c:pt idx="25">
                  <c:v>6.7372546580848625E-3</c:v>
                </c:pt>
                <c:pt idx="26">
                  <c:v>6.5978594353113176E-3</c:v>
                </c:pt>
                <c:pt idx="27">
                  <c:v>6.4655563252225667E-3</c:v>
                </c:pt>
                <c:pt idx="28">
                  <c:v>6.33975021044188E-3</c:v>
                </c:pt>
                <c:pt idx="29">
                  <c:v>6.2199139973174349E-3</c:v>
                </c:pt>
                <c:pt idx="30">
                  <c:v>6.1055789213845984E-3</c:v>
                </c:pt>
                <c:pt idx="31">
                  <c:v>5.9963264903254163E-3</c:v>
                </c:pt>
                <c:pt idx="32">
                  <c:v>5.8917817472720398E-3</c:v>
                </c:pt>
                <c:pt idx="33">
                  <c:v>5.791607606119493E-3</c:v>
                </c:pt>
                <c:pt idx="34">
                  <c:v>5.6955000628869093E-3</c:v>
                </c:pt>
                <c:pt idx="35">
                  <c:v>5.6031841273661218E-3</c:v>
                </c:pt>
                <c:pt idx="36">
                  <c:v>5.5144103504000475E-3</c:v>
                </c:pt>
                <c:pt idx="37">
                  <c:v>5.4289518463810967E-3</c:v>
                </c:pt>
                <c:pt idx="38">
                  <c:v>5.3466017295976847E-3</c:v>
                </c:pt>
                <c:pt idx="39">
                  <c:v>5.2671708981051257E-3</c:v>
                </c:pt>
                <c:pt idx="40">
                  <c:v>5.1904861107673556E-3</c:v>
                </c:pt>
                <c:pt idx="41">
                  <c:v>5.1163883126953708E-3</c:v>
                </c:pt>
                <c:pt idx="42">
                  <c:v>5.0447311720181742E-3</c:v>
                </c:pt>
                <c:pt idx="43">
                  <c:v>4.9753797971610163E-3</c:v>
                </c:pt>
                <c:pt idx="44">
                  <c:v>4.9082096088807255E-3</c:v>
                </c:pt>
                <c:pt idx="45">
                  <c:v>4.8431053454560408E-3</c:v>
                </c:pt>
                <c:pt idx="46">
                  <c:v>4.7799601828378332E-3</c:v>
                </c:pt>
                <c:pt idx="47">
                  <c:v>4.7186749543743148E-3</c:v>
                </c:pt>
                <c:pt idx="48">
                  <c:v>4.6591574570547471E-3</c:v>
                </c:pt>
                <c:pt idx="49">
                  <c:v>4.6013218331519383E-3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67-4139-A0B4-4B02369A0B8F}"/>
            </c:ext>
          </c:extLst>
        </c:ser>
        <c:ser>
          <c:idx val="7"/>
          <c:order val="7"/>
          <c:tx>
            <c:strRef>
              <c:f>Gamma!$B$52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Gamma!$C$52:$AZ$52</c:f>
              <c:numCache>
                <c:formatCode>General</c:formatCode>
                <c:ptCount val="50"/>
                <c:pt idx="0">
                  <c:v>3.1394274847913635E-2</c:v>
                </c:pt>
                <c:pt idx="1">
                  <c:v>2.3072238848139817E-2</c:v>
                </c:pt>
                <c:pt idx="2">
                  <c:v>1.9050044641617542E-2</c:v>
                </c:pt>
                <c:pt idx="3">
                  <c:v>1.6569252629223381E-2</c:v>
                </c:pt>
                <c:pt idx="4">
                  <c:v>1.4843419587474004E-2</c:v>
                </c:pt>
                <c:pt idx="5">
                  <c:v>1.3552963614589623E-2</c:v>
                </c:pt>
                <c:pt idx="6">
                  <c:v>1.2540410140529975E-2</c:v>
                </c:pt>
                <c:pt idx="7">
                  <c:v>1.1718016017628462E-2</c:v>
                </c:pt>
                <c:pt idx="8">
                  <c:v>1.1032513084880751E-2</c:v>
                </c:pt>
                <c:pt idx="9">
                  <c:v>1.0449443075086665E-2</c:v>
                </c:pt>
                <c:pt idx="10">
                  <c:v>9.945396557783974E-3</c:v>
                </c:pt>
                <c:pt idx="11">
                  <c:v>9.5038380084618342E-3</c:v>
                </c:pt>
                <c:pt idx="12">
                  <c:v>9.1127101404910576E-3</c:v>
                </c:pt>
                <c:pt idx="13">
                  <c:v>8.7629856403348711E-3</c:v>
                </c:pt>
                <c:pt idx="14">
                  <c:v>8.4477531433912734E-3</c:v>
                </c:pt>
                <c:pt idx="15">
                  <c:v>8.1616191427082169E-3</c:v>
                </c:pt>
                <c:pt idx="16">
                  <c:v>7.900304379547432E-3</c:v>
                </c:pt>
                <c:pt idx="17">
                  <c:v>7.6603641347951622E-3</c:v>
                </c:pt>
                <c:pt idx="18">
                  <c:v>7.4389898371934292E-3</c:v>
                </c:pt>
                <c:pt idx="19">
                  <c:v>7.2338654461924093E-3</c:v>
                </c:pt>
                <c:pt idx="20">
                  <c:v>7.0430615870459854E-3</c:v>
                </c:pt>
                <c:pt idx="21">
                  <c:v>6.864956242095514E-3</c:v>
                </c:pt>
                <c:pt idx="22">
                  <c:v>6.6981744668163142E-3</c:v>
                </c:pt>
                <c:pt idx="23">
                  <c:v>6.5415419611109379E-3</c:v>
                </c:pt>
                <c:pt idx="24">
                  <c:v>6.3940488823676124E-3</c:v>
                </c:pt>
                <c:pt idx="25">
                  <c:v>6.254821332437468E-3</c:v>
                </c:pt>
                <c:pt idx="26">
                  <c:v>6.1230986660978102E-3</c:v>
                </c:pt>
                <c:pt idx="27">
                  <c:v>5.998215266151608E-3</c:v>
                </c:pt>
                <c:pt idx="28">
                  <c:v>5.8795857816375044E-3</c:v>
                </c:pt>
                <c:pt idx="29">
                  <c:v>5.7666930771371723E-3</c:v>
                </c:pt>
                <c:pt idx="30">
                  <c:v>5.6590783235384978E-3</c:v>
                </c:pt>
                <c:pt idx="31">
                  <c:v>5.5563327944234374E-3</c:v>
                </c:pt>
                <c:pt idx="32">
                  <c:v>5.4580910315128435E-3</c:v>
                </c:pt>
                <c:pt idx="33">
                  <c:v>5.3640251169930131E-3</c:v>
                </c:pt>
                <c:pt idx="34">
                  <c:v>5.2738398468360481E-3</c:v>
                </c:pt>
                <c:pt idx="35">
                  <c:v>5.1872686421966198E-3</c:v>
                </c:pt>
                <c:pt idx="36">
                  <c:v>5.1040700690475563E-3</c:v>
                </c:pt>
                <c:pt idx="37">
                  <c:v>5.0240248618835855E-3</c:v>
                </c:pt>
                <c:pt idx="38">
                  <c:v>4.94693336738558E-3</c:v>
                </c:pt>
                <c:pt idx="39">
                  <c:v>4.8726133397302427E-3</c:v>
                </c:pt>
                <c:pt idx="40">
                  <c:v>4.8008980317434504E-3</c:v>
                </c:pt>
                <c:pt idx="41">
                  <c:v>4.731634536072578E-3</c:v>
                </c:pt>
                <c:pt idx="42">
                  <c:v>4.66468233855513E-3</c:v>
                </c:pt>
                <c:pt idx="43">
                  <c:v>4.59991205241507E-3</c:v>
                </c:pt>
                <c:pt idx="44">
                  <c:v>4.5372043071517099E-3</c:v>
                </c:pt>
                <c:pt idx="45">
                  <c:v>4.4764487702511407E-3</c:v>
                </c:pt>
                <c:pt idx="46">
                  <c:v>4.4175432833431809E-3</c:v>
                </c:pt>
                <c:pt idx="47">
                  <c:v>4.3603930973004894E-3</c:v>
                </c:pt>
                <c:pt idx="48">
                  <c:v>4.3049101931512289E-3</c:v>
                </c:pt>
                <c:pt idx="49">
                  <c:v>4.2510126776472605E-3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67-4139-A0B4-4B02369A0B8F}"/>
            </c:ext>
          </c:extLst>
        </c:ser>
        <c:ser>
          <c:idx val="8"/>
          <c:order val="8"/>
          <c:tx>
            <c:strRef>
              <c:f>Gamma!$B$53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Gamma!$C$53:$AZ$53</c:f>
              <c:numCache>
                <c:formatCode>General</c:formatCode>
                <c:ptCount val="50"/>
                <c:pt idx="0">
                  <c:v>3.1459423989360226E-2</c:v>
                </c:pt>
                <c:pt idx="1">
                  <c:v>2.2188935148222344E-2</c:v>
                </c:pt>
                <c:pt idx="2">
                  <c:v>1.8071388538094438E-2</c:v>
                </c:pt>
                <c:pt idx="3">
                  <c:v>1.5610716875634104E-2</c:v>
                </c:pt>
                <c:pt idx="4">
                  <c:v>1.3927351380867573E-2</c:v>
                </c:pt>
                <c:pt idx="5">
                  <c:v>1.268173289793627E-2</c:v>
                </c:pt>
                <c:pt idx="6">
                  <c:v>1.1711321384380947E-2</c:v>
                </c:pt>
                <c:pt idx="7">
                  <c:v>1.092724342056213E-2</c:v>
                </c:pt>
                <c:pt idx="8">
                  <c:v>1.0276259166503715E-2</c:v>
                </c:pt>
                <c:pt idx="9">
                  <c:v>9.7242697009187352E-3</c:v>
                </c:pt>
                <c:pt idx="10">
                  <c:v>9.2482879856441574E-3</c:v>
                </c:pt>
                <c:pt idx="11">
                  <c:v>8.832176851369963E-3</c:v>
                </c:pt>
                <c:pt idx="12">
                  <c:v>8.4642288215253346E-3</c:v>
                </c:pt>
                <c:pt idx="13">
                  <c:v>8.1357153638188916E-3</c:v>
                </c:pt>
                <c:pt idx="14">
                  <c:v>7.8399776814892623E-3</c:v>
                </c:pt>
                <c:pt idx="15">
                  <c:v>7.5718352630398571E-3</c:v>
                </c:pt>
                <c:pt idx="16">
                  <c:v>7.3271887529456894E-3</c:v>
                </c:pt>
                <c:pt idx="17">
                  <c:v>7.1027459245291075E-3</c:v>
                </c:pt>
                <c:pt idx="18">
                  <c:v>6.8958280518728668E-3</c:v>
                </c:pt>
                <c:pt idx="19">
                  <c:v>6.7042302072705265E-3</c:v>
                </c:pt>
                <c:pt idx="20">
                  <c:v>6.5261185858568552E-3</c:v>
                </c:pt>
                <c:pt idx="21">
                  <c:v>6.3599537892306242E-3</c:v>
                </c:pt>
                <c:pt idx="22">
                  <c:v>6.2044326502911987E-3</c:v>
                </c:pt>
                <c:pt idx="23">
                  <c:v>6.0584435247264335E-3</c:v>
                </c:pt>
                <c:pt idx="24">
                  <c:v>5.9210315126927583E-3</c:v>
                </c:pt>
                <c:pt idx="25">
                  <c:v>5.7913711044177826E-3</c:v>
                </c:pt>
                <c:pt idx="26">
                  <c:v>5.6687444461983984E-3</c:v>
                </c:pt>
                <c:pt idx="27">
                  <c:v>5.5525239107072936E-3</c:v>
                </c:pt>
                <c:pt idx="28">
                  <c:v>5.4421579988252269E-3</c:v>
                </c:pt>
                <c:pt idx="29">
                  <c:v>5.3371598454244719E-3</c:v>
                </c:pt>
                <c:pt idx="30">
                  <c:v>5.237097778953018E-3</c:v>
                </c:pt>
                <c:pt idx="31">
                  <c:v>5.1415875145946026E-3</c:v>
                </c:pt>
                <c:pt idx="32">
                  <c:v>5.0502856569861086E-3</c:v>
                </c:pt>
                <c:pt idx="33">
                  <c:v>4.9628842604532587E-3</c:v>
                </c:pt>
                <c:pt idx="34">
                  <c:v>4.8791062491011471E-3</c:v>
                </c:pt>
                <c:pt idx="35">
                  <c:v>4.7987015405458848E-3</c:v>
                </c:pt>
                <c:pt idx="36">
                  <c:v>4.7214437489386338E-3</c:v>
                </c:pt>
                <c:pt idx="37">
                  <c:v>4.6471273676253703E-3</c:v>
                </c:pt>
                <c:pt idx="38">
                  <c:v>4.5755653510631813E-3</c:v>
                </c:pt>
                <c:pt idx="39">
                  <c:v>4.506587030770599E-3</c:v>
                </c:pt>
                <c:pt idx="40">
                  <c:v>4.4400363120858169E-3</c:v>
                </c:pt>
                <c:pt idx="41">
                  <c:v>4.3757701080617065E-3</c:v>
                </c:pt>
                <c:pt idx="42">
                  <c:v>4.31365697448259E-3</c:v>
                </c:pt>
                <c:pt idx="43">
                  <c:v>4.2535759161570286E-3</c:v>
                </c:pt>
                <c:pt idx="44">
                  <c:v>4.1954153396390192E-3</c:v>
                </c:pt>
                <c:pt idx="45">
                  <c:v>4.1390721315999216E-3</c:v>
                </c:pt>
                <c:pt idx="46">
                  <c:v>4.084450845403949E-3</c:v>
                </c:pt>
                <c:pt idx="47">
                  <c:v>4.0314629811778807E-3</c:v>
                </c:pt>
                <c:pt idx="48">
                  <c:v>3.9800263469265927E-3</c:v>
                </c:pt>
                <c:pt idx="49">
                  <c:v>3.9300644901207864E-3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67-4139-A0B4-4B02369A0B8F}"/>
            </c:ext>
          </c:extLst>
        </c:ser>
        <c:ser>
          <c:idx val="9"/>
          <c:order val="9"/>
          <c:tx>
            <c:strRef>
              <c:f>Gamma!$B$54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Gamma!$C$54:$AZ$54</c:f>
              <c:numCache>
                <c:formatCode>General</c:formatCode>
                <c:ptCount val="50"/>
                <c:pt idx="0">
                  <c:v>2.7060468958278856E-2</c:v>
                </c:pt>
                <c:pt idx="1">
                  <c:v>1.9809549402613071E-2</c:v>
                </c:pt>
                <c:pt idx="2">
                  <c:v>1.6334813771368518E-2</c:v>
                </c:pt>
                <c:pt idx="3">
                  <c:v>1.4198346655978964E-2</c:v>
                </c:pt>
                <c:pt idx="4">
                  <c:v>1.2714486334632831E-2</c:v>
                </c:pt>
                <c:pt idx="5">
                  <c:v>1.1606086259672136E-2</c:v>
                </c:pt>
                <c:pt idx="6">
                  <c:v>1.0736984090727554E-2</c:v>
                </c:pt>
                <c:pt idx="7">
                  <c:v>1.00314552917132E-2</c:v>
                </c:pt>
                <c:pt idx="8">
                  <c:v>9.443589126783768E-3</c:v>
                </c:pt>
                <c:pt idx="9">
                  <c:v>8.9437159731400387E-3</c:v>
                </c:pt>
                <c:pt idx="10">
                  <c:v>8.5116949356813954E-3</c:v>
                </c:pt>
                <c:pt idx="11">
                  <c:v>8.1333078853316008E-3</c:v>
                </c:pt>
                <c:pt idx="12">
                  <c:v>7.7981924521382242E-3</c:v>
                </c:pt>
                <c:pt idx="13">
                  <c:v>7.4985935039001113E-3</c:v>
                </c:pt>
                <c:pt idx="14">
                  <c:v>7.228575731552867E-3</c:v>
                </c:pt>
                <c:pt idx="15">
                  <c:v>6.9835087051370905E-3</c:v>
                </c:pt>
                <c:pt idx="16">
                  <c:v>6.7597195468694256E-3</c:v>
                </c:pt>
                <c:pt idx="17">
                  <c:v>6.5542523301578628E-3</c:v>
                </c:pt>
                <c:pt idx="18">
                  <c:v>6.3646974895498259E-3</c:v>
                </c:pt>
                <c:pt idx="19">
                  <c:v>6.1890683697939444E-3</c:v>
                </c:pt>
                <c:pt idx="20">
                  <c:v>6.0257102524538531E-3</c:v>
                </c:pt>
                <c:pt idx="21">
                  <c:v>5.8732322207786566E-3</c:v>
                </c:pt>
                <c:pt idx="22">
                  <c:v>5.7304553809988919E-3</c:v>
                </c:pt>
                <c:pt idx="23">
                  <c:v>5.5963729924301949E-3</c:v>
                </c:pt>
                <c:pt idx="24">
                  <c:v>5.4701193984294672E-3</c:v>
                </c:pt>
                <c:pt idx="25">
                  <c:v>5.3509455501914377E-3</c:v>
                </c:pt>
                <c:pt idx="26">
                  <c:v>5.238199530924182E-3</c:v>
                </c:pt>
                <c:pt idx="27">
                  <c:v>5.1313109159536376E-3</c:v>
                </c:pt>
                <c:pt idx="28">
                  <c:v>5.0297781064352473E-3</c:v>
                </c:pt>
                <c:pt idx="29">
                  <c:v>4.9331579905952452E-3</c:v>
                </c:pt>
                <c:pt idx="30">
                  <c:v>4.8410574431902173E-3</c:v>
                </c:pt>
                <c:pt idx="31">
                  <c:v>4.7531262888744442E-3</c:v>
                </c:pt>
                <c:pt idx="32">
                  <c:v>4.6690514404595252E-3</c:v>
                </c:pt>
                <c:pt idx="33">
                  <c:v>4.5885519869640181E-3</c:v>
                </c:pt>
                <c:pt idx="34">
                  <c:v>4.511375054701873E-3</c:v>
                </c:pt>
                <c:pt idx="35">
                  <c:v>4.4372923015648866E-3</c:v>
                </c:pt>
                <c:pt idx="36">
                  <c:v>4.3660969330622211E-3</c:v>
                </c:pt>
                <c:pt idx="37">
                  <c:v>4.297601150718958E-3</c:v>
                </c:pt>
                <c:pt idx="38">
                  <c:v>4.2316339606608532E-3</c:v>
                </c:pt>
                <c:pt idx="39">
                  <c:v>4.1680392837696815E-3</c:v>
                </c:pt>
                <c:pt idx="40">
                  <c:v>4.1066743195344937E-3</c:v>
                </c:pt>
                <c:pt idx="41">
                  <c:v>4.047408124287266E-3</c:v>
                </c:pt>
                <c:pt idx="42">
                  <c:v>3.9901203713786915E-3</c:v>
                </c:pt>
                <c:pt idx="43">
                  <c:v>3.9347002663882302E-3</c:v>
                </c:pt>
                <c:pt idx="44">
                  <c:v>3.8810455949530964E-3</c:v>
                </c:pt>
                <c:pt idx="45">
                  <c:v>3.8290618844602151E-3</c:v>
                </c:pt>
                <c:pt idx="46">
                  <c:v>3.7786616638418712E-3</c:v>
                </c:pt>
                <c:pt idx="47">
                  <c:v>3.729763808180929E-3</c:v>
                </c:pt>
                <c:pt idx="48">
                  <c:v>3.6822929568685269E-3</c:v>
                </c:pt>
                <c:pt idx="49">
                  <c:v>3.6361789957473738E-3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67-4139-A0B4-4B02369A0B8F}"/>
            </c:ext>
          </c:extLst>
        </c:ser>
        <c:ser>
          <c:idx val="10"/>
          <c:order val="10"/>
          <c:tx>
            <c:strRef>
              <c:f>Gamma!$B$55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Gamma!$C$55:$AZ$55</c:f>
              <c:numCache>
                <c:formatCode>General</c:formatCode>
                <c:ptCount val="50"/>
                <c:pt idx="0">
                  <c:v>2.0407459239631193E-2</c:v>
                </c:pt>
                <c:pt idx="1">
                  <c:v>1.6588897019577217E-2</c:v>
                </c:pt>
                <c:pt idx="2">
                  <c:v>1.416511811110192E-2</c:v>
                </c:pt>
                <c:pt idx="3">
                  <c:v>1.252925756247129E-2</c:v>
                </c:pt>
                <c:pt idx="4">
                  <c:v>1.1337970184019322E-2</c:v>
                </c:pt>
                <c:pt idx="5">
                  <c:v>1.0422092057052875E-2</c:v>
                </c:pt>
                <c:pt idx="6">
                  <c:v>9.6898616738893429E-3</c:v>
                </c:pt>
                <c:pt idx="7">
                  <c:v>9.0870690343232488E-3</c:v>
                </c:pt>
                <c:pt idx="8">
                  <c:v>8.5794719851602589E-3</c:v>
                </c:pt>
                <c:pt idx="9">
                  <c:v>8.144273488185234E-3</c:v>
                </c:pt>
                <c:pt idx="10">
                  <c:v>7.7656440149917894E-3</c:v>
                </c:pt>
                <c:pt idx="11">
                  <c:v>7.4322082974345709E-3</c:v>
                </c:pt>
                <c:pt idx="12">
                  <c:v>7.1355557745001984E-3</c:v>
                </c:pt>
                <c:pt idx="13">
                  <c:v>6.8693168650928874E-3</c:v>
                </c:pt>
                <c:pt idx="14">
                  <c:v>6.6285678372682948E-3</c:v>
                </c:pt>
                <c:pt idx="15">
                  <c:v>6.4094346843325467E-3</c:v>
                </c:pt>
                <c:pt idx="16">
                  <c:v>6.208821944318794E-3</c:v>
                </c:pt>
                <c:pt idx="17">
                  <c:v>6.0242224505724666E-3</c:v>
                </c:pt>
                <c:pt idx="18">
                  <c:v>5.8535809560102299E-3</c:v>
                </c:pt>
                <c:pt idx="19">
                  <c:v>5.6951944937231325E-3</c:v>
                </c:pt>
                <c:pt idx="20">
                  <c:v>5.5476383296756936E-3</c:v>
                </c:pt>
                <c:pt idx="21">
                  <c:v>5.4097100882619905E-3</c:v>
                </c:pt>
                <c:pt idx="22">
                  <c:v>5.2803870062897952E-3</c:v>
                </c:pt>
                <c:pt idx="23">
                  <c:v>5.1587928199062086E-3</c:v>
                </c:pt>
                <c:pt idx="24">
                  <c:v>5.044171820287731E-3</c:v>
                </c:pt>
                <c:pt idx="25">
                  <c:v>4.9358683135417702E-3</c:v>
                </c:pt>
                <c:pt idx="26">
                  <c:v>4.8333102030435043E-3</c:v>
                </c:pt>
                <c:pt idx="27">
                  <c:v>4.7359957508149621E-3</c:v>
                </c:pt>
                <c:pt idx="28">
                  <c:v>4.6434828151567416E-3</c:v>
                </c:pt>
                <c:pt idx="29">
                  <c:v>4.5553800350997334E-3</c:v>
                </c:pt>
                <c:pt idx="30">
                  <c:v>4.4713395586877917E-3</c:v>
                </c:pt>
                <c:pt idx="31">
                  <c:v>4.3910510053812414E-3</c:v>
                </c:pt>
                <c:pt idx="32">
                  <c:v>4.3142364224150534E-3</c:v>
                </c:pt>
                <c:pt idx="33">
                  <c:v>4.2406460473073263E-3</c:v>
                </c:pt>
                <c:pt idx="34">
                  <c:v>4.1700547285034107E-3</c:v>
                </c:pt>
                <c:pt idx="35">
                  <c:v>4.1022588866393064E-3</c:v>
                </c:pt>
                <c:pt idx="36">
                  <c:v>4.0370739224747957E-3</c:v>
                </c:pt>
                <c:pt idx="37">
                  <c:v>3.9743319958967915E-3</c:v>
                </c:pt>
                <c:pt idx="38">
                  <c:v>3.9138801147844586E-3</c:v>
                </c:pt>
                <c:pt idx="39">
                  <c:v>3.8555784838907961E-3</c:v>
                </c:pt>
                <c:pt idx="40">
                  <c:v>3.7992990729252643E-3</c:v>
                </c:pt>
                <c:pt idx="41">
                  <c:v>3.7449243702416851E-3</c:v>
                </c:pt>
                <c:pt idx="42">
                  <c:v>3.6923462943411387E-3</c:v>
                </c:pt>
                <c:pt idx="43">
                  <c:v>3.6414652400936286E-3</c:v>
                </c:pt>
                <c:pt idx="44">
                  <c:v>3.5921892403974823E-3</c:v>
                </c:pt>
                <c:pt idx="45">
                  <c:v>3.5444332271116555E-3</c:v>
                </c:pt>
                <c:pt idx="46">
                  <c:v>3.498118377653554E-3</c:v>
                </c:pt>
                <c:pt idx="47">
                  <c:v>3.453171535763216E-3</c:v>
                </c:pt>
                <c:pt idx="48">
                  <c:v>3.4095246966802423E-3</c:v>
                </c:pt>
                <c:pt idx="49">
                  <c:v>3.3671145484309834E-3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67-4139-A0B4-4B02369A0B8F}"/>
            </c:ext>
          </c:extLst>
        </c:ser>
        <c:ser>
          <c:idx val="11"/>
          <c:order val="11"/>
          <c:tx>
            <c:strRef>
              <c:f>Gamma!$B$56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Gamma!$C$56:$AZ$56</c:f>
              <c:numCache>
                <c:formatCode>General</c:formatCode>
                <c:ptCount val="50"/>
                <c:pt idx="0">
                  <c:v>1.3734374616933852E-2</c:v>
                </c:pt>
                <c:pt idx="1">
                  <c:v>1.3144538242073206E-2</c:v>
                </c:pt>
                <c:pt idx="2">
                  <c:v>1.1851790895811832E-2</c:v>
                </c:pt>
                <c:pt idx="3">
                  <c:v>1.0772266674920391E-2</c:v>
                </c:pt>
                <c:pt idx="4">
                  <c:v>9.9084987020282237E-3</c:v>
                </c:pt>
                <c:pt idx="5">
                  <c:v>9.2077738178183779E-3</c:v>
                </c:pt>
                <c:pt idx="6">
                  <c:v>8.6276770529152141E-3</c:v>
                </c:pt>
                <c:pt idx="7">
                  <c:v>8.138278624941226E-3</c:v>
                </c:pt>
                <c:pt idx="8">
                  <c:v>7.7186073841711772E-3</c:v>
                </c:pt>
                <c:pt idx="9">
                  <c:v>7.3537095017551478E-3</c:v>
                </c:pt>
                <c:pt idx="10">
                  <c:v>7.0326796141570785E-3</c:v>
                </c:pt>
                <c:pt idx="11">
                  <c:v>6.7473865203629838E-3</c:v>
                </c:pt>
                <c:pt idx="12">
                  <c:v>6.4916425282848314E-3</c:v>
                </c:pt>
                <c:pt idx="13">
                  <c:v>6.2606517800349541E-3</c:v>
                </c:pt>
                <c:pt idx="14">
                  <c:v>6.0506358651477299E-3</c:v>
                </c:pt>
                <c:pt idx="15">
                  <c:v>5.8585742337030466E-3</c:v>
                </c:pt>
                <c:pt idx="16">
                  <c:v>5.6820205203469351E-3</c:v>
                </c:pt>
                <c:pt idx="17">
                  <c:v>5.5189701206826564E-3</c:v>
                </c:pt>
                <c:pt idx="18">
                  <c:v>5.3677630640325521E-3</c:v>
                </c:pt>
                <c:pt idx="19">
                  <c:v>5.227011647615883E-3</c:v>
                </c:pt>
                <c:pt idx="20">
                  <c:v>5.0955457411274328E-3</c:v>
                </c:pt>
                <c:pt idx="21">
                  <c:v>4.9723709016230204E-3</c:v>
                </c:pt>
                <c:pt idx="22">
                  <c:v>4.8566359110224612E-3</c:v>
                </c:pt>
                <c:pt idx="23">
                  <c:v>4.7476073376270808E-3</c:v>
                </c:pt>
                <c:pt idx="24">
                  <c:v>4.6446493985473321E-3</c:v>
                </c:pt>
                <c:pt idx="25">
                  <c:v>4.5472078684471581E-3</c:v>
                </c:pt>
                <c:pt idx="26">
                  <c:v>4.4547971096715391E-3</c:v>
                </c:pt>
                <c:pt idx="27">
                  <c:v>4.3669895339150762E-3</c:v>
                </c:pt>
                <c:pt idx="28">
                  <c:v>4.2834069753508244E-3</c:v>
                </c:pt>
                <c:pt idx="29">
                  <c:v>4.2037135791639212E-3</c:v>
                </c:pt>
                <c:pt idx="30">
                  <c:v>4.1276099010395893E-3</c:v>
                </c:pt>
                <c:pt idx="31">
                  <c:v>4.0548279815090099E-3</c:v>
                </c:pt>
                <c:pt idx="32">
                  <c:v>3.9851272105513556E-3</c:v>
                </c:pt>
                <c:pt idx="33">
                  <c:v>3.9182908369944282E-3</c:v>
                </c:pt>
                <c:pt idx="34">
                  <c:v>3.8541230072644556E-3</c:v>
                </c:pt>
                <c:pt idx="35">
                  <c:v>3.7924462412239298E-3</c:v>
                </c:pt>
                <c:pt idx="36">
                  <c:v>3.7330992708896568E-3</c:v>
                </c:pt>
                <c:pt idx="37">
                  <c:v>3.6759351819787233E-3</c:v>
                </c:pt>
                <c:pt idx="38">
                  <c:v>3.6208198094040051E-3</c:v>
                </c:pt>
                <c:pt idx="39">
                  <c:v>3.5676303467174673E-3</c:v>
                </c:pt>
                <c:pt idx="40">
                  <c:v>3.5162541365936885E-3</c:v>
                </c:pt>
                <c:pt idx="41">
                  <c:v>3.4665876151483001E-3</c:v>
                </c:pt>
                <c:pt idx="42">
                  <c:v>3.4185353874944631E-3</c:v>
                </c:pt>
                <c:pt idx="43">
                  <c:v>3.3720094156841993E-3</c:v>
                </c:pt>
                <c:pt idx="44">
                  <c:v>3.3269283032378505E-3</c:v>
                </c:pt>
                <c:pt idx="45">
                  <c:v>3.283216662971814E-3</c:v>
                </c:pt>
                <c:pt idx="46">
                  <c:v>3.2408045569004085E-3</c:v>
                </c:pt>
                <c:pt idx="47">
                  <c:v>3.1996269986969191E-3</c:v>
                </c:pt>
                <c:pt idx="48">
                  <c:v>3.15962351061919E-3</c:v>
                </c:pt>
                <c:pt idx="49">
                  <c:v>3.1207377279898591E-3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67-4139-A0B4-4B02369A0B8F}"/>
            </c:ext>
          </c:extLst>
        </c:ser>
        <c:ser>
          <c:idx val="12"/>
          <c:order val="12"/>
          <c:tx>
            <c:strRef>
              <c:f>Gamma!$B$57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Gamma!$C$57:$AZ$57</c:f>
              <c:numCache>
                <c:formatCode>General</c:formatCode>
                <c:ptCount val="50"/>
                <c:pt idx="0">
                  <c:v>8.3731923526671453E-3</c:v>
                </c:pt>
                <c:pt idx="1">
                  <c:v>9.9276455530618955E-3</c:v>
                </c:pt>
                <c:pt idx="2">
                  <c:v>9.6137131412659116E-3</c:v>
                </c:pt>
                <c:pt idx="3">
                  <c:v>9.0556035253487113E-3</c:v>
                </c:pt>
                <c:pt idx="4">
                  <c:v>8.5098133685480113E-3</c:v>
                </c:pt>
                <c:pt idx="5">
                  <c:v>8.0217305756347564E-3</c:v>
                </c:pt>
                <c:pt idx="6">
                  <c:v>7.5934086626077762E-3</c:v>
                </c:pt>
                <c:pt idx="7">
                  <c:v>7.2176787061213237E-3</c:v>
                </c:pt>
                <c:pt idx="8">
                  <c:v>6.8863294486785787E-3</c:v>
                </c:pt>
                <c:pt idx="9">
                  <c:v>6.5920789237957494E-3</c:v>
                </c:pt>
                <c:pt idx="10">
                  <c:v>6.3288967624881452E-3</c:v>
                </c:pt>
                <c:pt idx="11">
                  <c:v>6.0918912634278337E-3</c:v>
                </c:pt>
                <c:pt idx="12">
                  <c:v>5.8771083644118391E-3</c:v>
                </c:pt>
                <c:pt idx="13">
                  <c:v>5.6813407088274065E-3</c:v>
                </c:pt>
                <c:pt idx="14">
                  <c:v>5.5019697205616752E-3</c:v>
                </c:pt>
                <c:pt idx="15">
                  <c:v>5.3368410983374278E-3</c:v>
                </c:pt>
                <c:pt idx="16">
                  <c:v>5.1841683236508607E-3</c:v>
                </c:pt>
                <c:pt idx="17">
                  <c:v>5.0424581771236193E-3</c:v>
                </c:pt>
                <c:pt idx="18">
                  <c:v>4.9104531161157493E-3</c:v>
                </c:pt>
                <c:pt idx="19">
                  <c:v>4.7870864611597019E-3</c:v>
                </c:pt>
                <c:pt idx="20">
                  <c:v>4.6714473077709706E-3</c:v>
                </c:pt>
                <c:pt idx="21">
                  <c:v>4.5627528487413582E-3</c:v>
                </c:pt>
                <c:pt idx="22">
                  <c:v>4.4603263751068238E-3</c:v>
                </c:pt>
                <c:pt idx="23">
                  <c:v>4.3635796581017634E-3</c:v>
                </c:pt>
                <c:pt idx="24">
                  <c:v>4.2719987354381556E-3</c:v>
                </c:pt>
                <c:pt idx="25">
                  <c:v>4.1851323625239668E-3</c:v>
                </c:pt>
                <c:pt idx="26">
                  <c:v>4.1025825651280759E-3</c:v>
                </c:pt>
                <c:pt idx="27">
                  <c:v>4.0239968610277033E-3</c:v>
                </c:pt>
                <c:pt idx="28">
                  <c:v>3.9490618163667054E-3</c:v>
                </c:pt>
                <c:pt idx="29">
                  <c:v>3.8774976765210125E-3</c:v>
                </c:pt>
                <c:pt idx="30">
                  <c:v>3.8090538675189926E-3</c:v>
                </c:pt>
                <c:pt idx="31">
                  <c:v>3.7435052070794762E-3</c:v>
                </c:pt>
                <c:pt idx="32">
                  <c:v>3.680648697447875E-3</c:v>
                </c:pt>
                <c:pt idx="33">
                  <c:v>3.6203007978792196E-3</c:v>
                </c:pt>
                <c:pt idx="34">
                  <c:v>3.5622950946413252E-3</c:v>
                </c:pt>
                <c:pt idx="35">
                  <c:v>3.5064803021311783E-3</c:v>
                </c:pt>
                <c:pt idx="36">
                  <c:v>3.4527185411134895E-3</c:v>
                </c:pt>
                <c:pt idx="37">
                  <c:v>3.4008838499541396E-3</c:v>
                </c:pt>
                <c:pt idx="38">
                  <c:v>3.3508608926016226E-3</c:v>
                </c:pt>
                <c:pt idx="39">
                  <c:v>3.3025438333995328E-3</c:v>
                </c:pt>
                <c:pt idx="40">
                  <c:v>3.2558353539240254E-3</c:v>
                </c:pt>
                <c:pt idx="41">
                  <c:v>3.2106457911874387E-3</c:v>
                </c:pt>
                <c:pt idx="42">
                  <c:v>3.1668923799305893E-3</c:v>
                </c:pt>
                <c:pt idx="43">
                  <c:v>3.1244985844958214E-3</c:v>
                </c:pt>
                <c:pt idx="44">
                  <c:v>3.0833935080513569E-3</c:v>
                </c:pt>
                <c:pt idx="45">
                  <c:v>3.0435113688198449E-3</c:v>
                </c:pt>
                <c:pt idx="46">
                  <c:v>3.0047910345254903E-3</c:v>
                </c:pt>
                <c:pt idx="47">
                  <c:v>2.967175607574432E-3</c:v>
                </c:pt>
                <c:pt idx="48">
                  <c:v>2.9306120545699679E-3</c:v>
                </c:pt>
                <c:pt idx="49">
                  <c:v>2.8950508746760453E-3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67-4139-A0B4-4B02369A0B8F}"/>
            </c:ext>
          </c:extLst>
        </c:ser>
        <c:ser>
          <c:idx val="13"/>
          <c:order val="13"/>
          <c:tx>
            <c:strRef>
              <c:f>Gamma!$B$58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Gamma!$C$58:$AZ$58</c:f>
              <c:numCache>
                <c:formatCode>General</c:formatCode>
                <c:ptCount val="50"/>
                <c:pt idx="0">
                  <c:v>4.683305428760806E-3</c:v>
                </c:pt>
                <c:pt idx="1">
                  <c:v>7.1916140270652518E-3</c:v>
                </c:pt>
                <c:pt idx="2">
                  <c:v>7.5912069567103911E-3</c:v>
                </c:pt>
                <c:pt idx="3">
                  <c:v>7.4654648419457906E-3</c:v>
                </c:pt>
                <c:pt idx="4">
                  <c:v>7.1993180404580802E-3</c:v>
                </c:pt>
                <c:pt idx="5">
                  <c:v>6.9044216914910346E-3</c:v>
                </c:pt>
                <c:pt idx="6">
                  <c:v>6.6167468547869042E-3</c:v>
                </c:pt>
                <c:pt idx="7">
                  <c:v>6.347704099172847E-3</c:v>
                </c:pt>
                <c:pt idx="8">
                  <c:v>6.0999586042205485E-3</c:v>
                </c:pt>
                <c:pt idx="9">
                  <c:v>5.8729656556991069E-3</c:v>
                </c:pt>
                <c:pt idx="10">
                  <c:v>5.6650693716830628E-3</c:v>
                </c:pt>
                <c:pt idx="11">
                  <c:v>5.4743323750511335E-3</c:v>
                </c:pt>
                <c:pt idx="12">
                  <c:v>5.2988631206368712E-3</c:v>
                </c:pt>
                <c:pt idx="13">
                  <c:v>5.1369354506030944E-3</c:v>
                </c:pt>
                <c:pt idx="14">
                  <c:v>4.9870207098389012E-3</c:v>
                </c:pt>
                <c:pt idx="15">
                  <c:v>4.847783732245258E-3</c:v>
                </c:pt>
                <c:pt idx="16">
                  <c:v>4.7180651297488068E-3</c:v>
                </c:pt>
                <c:pt idx="17">
                  <c:v>4.5968597277163108E-3</c:v>
                </c:pt>
                <c:pt idx="18">
                  <c:v>4.4832953485006545E-3</c:v>
                </c:pt>
                <c:pt idx="19">
                  <c:v>4.3766135814708061E-3</c:v>
                </c:pt>
                <c:pt idx="20">
                  <c:v>4.2761530185730801E-3</c:v>
                </c:pt>
                <c:pt idx="21">
                  <c:v>4.1813349273863917E-3</c:v>
                </c:pt>
                <c:pt idx="22">
                  <c:v>4.0916511314305782E-3</c:v>
                </c:pt>
                <c:pt idx="23">
                  <c:v>4.0066538063641384E-3</c:v>
                </c:pt>
                <c:pt idx="24">
                  <c:v>3.9259469024941684E-3</c:v>
                </c:pt>
                <c:pt idx="25">
                  <c:v>3.8491789313641256E-3</c:v>
                </c:pt>
                <c:pt idx="26">
                  <c:v>3.7760368894836013E-3</c:v>
                </c:pt>
                <c:pt idx="27">
                  <c:v>3.7062411275455222E-3</c:v>
                </c:pt>
                <c:pt idx="28">
                  <c:v>3.6395410054493975E-3</c:v>
                </c:pt>
                <c:pt idx="29">
                  <c:v>3.5757112010624701E-3</c:v>
                </c:pt>
                <c:pt idx="30">
                  <c:v>3.514548563879831E-3</c:v>
                </c:pt>
                <c:pt idx="31">
                  <c:v>3.45586942399584E-3</c:v>
                </c:pt>
                <c:pt idx="32">
                  <c:v>3.3995072826194287E-3</c:v>
                </c:pt>
                <c:pt idx="33">
                  <c:v>3.3453108233085283E-3</c:v>
                </c:pt>
                <c:pt idx="34">
                  <c:v>3.2931421936668506E-3</c:v>
                </c:pt>
                <c:pt idx="35">
                  <c:v>3.2428755158732097E-3</c:v>
                </c:pt>
                <c:pt idx="36">
                  <c:v>3.1943955914621254E-3</c:v>
                </c:pt>
                <c:pt idx="37">
                  <c:v>3.147596771542977E-3</c:v>
                </c:pt>
                <c:pt idx="38">
                  <c:v>3.1023819683761969E-3</c:v>
                </c:pt>
                <c:pt idx="39">
                  <c:v>3.058661788115338E-3</c:v>
                </c:pt>
                <c:pt idx="40">
                  <c:v>3.0163537677315969E-3</c:v>
                </c:pt>
                <c:pt idx="41">
                  <c:v>2.9753817017901109E-3</c:v>
                </c:pt>
                <c:pt idx="42">
                  <c:v>2.9356750469477022E-3</c:v>
                </c:pt>
                <c:pt idx="43">
                  <c:v>2.8971683938724371E-3</c:v>
                </c:pt>
                <c:pt idx="44">
                  <c:v>2.8598009978133012E-3</c:v>
                </c:pt>
                <c:pt idx="45">
                  <c:v>2.8235163603272714E-3</c:v>
                </c:pt>
                <c:pt idx="46">
                  <c:v>2.7882618557451468E-3</c:v>
                </c:pt>
                <c:pt idx="47">
                  <c:v>2.7539883968619575E-3</c:v>
                </c:pt>
                <c:pt idx="48">
                  <c:v>2.7206501351018653E-3</c:v>
                </c:pt>
                <c:pt idx="49">
                  <c:v>2.6882041910546916E-3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67-4139-A0B4-4B02369A0B8F}"/>
            </c:ext>
          </c:extLst>
        </c:ser>
        <c:ser>
          <c:idx val="14"/>
          <c:order val="14"/>
          <c:tx>
            <c:strRef>
              <c:f>Gamma!$B$59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Gamma!$C$59:$AZ$59</c:f>
              <c:numCache>
                <c:formatCode>General</c:formatCode>
                <c:ptCount val="50"/>
                <c:pt idx="0">
                  <c:v>2.4294391974026752E-3</c:v>
                </c:pt>
                <c:pt idx="1">
                  <c:v>5.0233779010107147E-3</c:v>
                </c:pt>
                <c:pt idx="2">
                  <c:v>5.8553422805504348E-3</c:v>
                </c:pt>
                <c:pt idx="3">
                  <c:v>6.0510995545120325E-3</c:v>
                </c:pt>
                <c:pt idx="4">
                  <c:v>6.0116044317558362E-3</c:v>
                </c:pt>
                <c:pt idx="5">
                  <c:v>5.8808586340794635E-3</c:v>
                </c:pt>
                <c:pt idx="6">
                  <c:v>5.7162483698173514E-3</c:v>
                </c:pt>
                <c:pt idx="7">
                  <c:v>5.5424029762557734E-3</c:v>
                </c:pt>
                <c:pt idx="8">
                  <c:v>5.3702888376907874E-3</c:v>
                </c:pt>
                <c:pt idx="9">
                  <c:v>5.2047477127311059E-3</c:v>
                </c:pt>
                <c:pt idx="10">
                  <c:v>5.0477383455545142E-3</c:v>
                </c:pt>
                <c:pt idx="11">
                  <c:v>4.899825139213017E-3</c:v>
                </c:pt>
                <c:pt idx="12">
                  <c:v>4.7608964422920178E-3</c:v>
                </c:pt>
                <c:pt idx="13">
                  <c:v>4.6305235540063739E-3</c:v>
                </c:pt>
                <c:pt idx="14">
                  <c:v>4.5081440917616256E-3</c:v>
                </c:pt>
                <c:pt idx="15">
                  <c:v>4.3931562848232471E-3</c:v>
                </c:pt>
                <c:pt idx="16">
                  <c:v>4.2849668385925091E-3</c:v>
                </c:pt>
                <c:pt idx="17">
                  <c:v>4.1830141493052137E-3</c:v>
                </c:pt>
                <c:pt idx="18">
                  <c:v>4.0867783201103056E-3</c:v>
                </c:pt>
                <c:pt idx="19">
                  <c:v>3.9957841359490459E-3</c:v>
                </c:pt>
                <c:pt idx="20">
                  <c:v>3.9096003618822959E-3</c:v>
                </c:pt>
                <c:pt idx="21">
                  <c:v>3.8278372204321558E-3</c:v>
                </c:pt>
                <c:pt idx="22">
                  <c:v>3.7501430723117751E-3</c:v>
                </c:pt>
                <c:pt idx="23">
                  <c:v>3.6762008604625516E-3</c:v>
                </c:pt>
                <c:pt idx="24">
                  <c:v>3.6057246153481316E-3</c:v>
                </c:pt>
                <c:pt idx="25">
                  <c:v>3.5384561711655662E-3</c:v>
                </c:pt>
                <c:pt idx="26">
                  <c:v>3.4741621590095128E-3</c:v>
                </c:pt>
                <c:pt idx="27">
                  <c:v>3.4126312965261411E-3</c:v>
                </c:pt>
                <c:pt idx="28">
                  <c:v>3.3536719685151734E-3</c:v>
                </c:pt>
                <c:pt idx="29">
                  <c:v>3.2971100802172888E-3</c:v>
                </c:pt>
                <c:pt idx="30">
                  <c:v>3.2427871593811116E-3</c:v>
                </c:pt>
                <c:pt idx="31">
                  <c:v>3.1905586815469821E-3</c:v>
                </c:pt>
                <c:pt idx="32">
                  <c:v>3.1402925934988861E-3</c:v>
                </c:pt>
                <c:pt idx="33">
                  <c:v>3.0918680114592144E-3</c:v>
                </c:pt>
                <c:pt idx="34">
                  <c:v>3.0451740727179036E-3</c:v>
                </c:pt>
                <c:pt idx="35">
                  <c:v>3.0001089216479017E-3</c:v>
                </c:pt>
                <c:pt idx="36">
                  <c:v>2.9565788132706423E-3</c:v>
                </c:pt>
                <c:pt idx="37">
                  <c:v>2.9144973195997454E-3</c:v>
                </c:pt>
                <c:pt idx="38">
                  <c:v>2.873784625864424E-3</c:v>
                </c:pt>
                <c:pt idx="39">
                  <c:v>2.8343669053835256E-3</c:v>
                </c:pt>
                <c:pt idx="40">
                  <c:v>2.7961757633313431E-3</c:v>
                </c:pt>
                <c:pt idx="41">
                  <c:v>2.7591477409209548E-3</c:v>
                </c:pt>
                <c:pt idx="42">
                  <c:v>2.7232238726473922E-3</c:v>
                </c:pt>
                <c:pt idx="43">
                  <c:v>2.6883492902000736E-3</c:v>
                </c:pt>
                <c:pt idx="44">
                  <c:v>2.6544728674899767E-3</c:v>
                </c:pt>
                <c:pt idx="45">
                  <c:v>2.6215469019587592E-3</c:v>
                </c:pt>
                <c:pt idx="46">
                  <c:v>2.5895268279600178E-3</c:v>
                </c:pt>
                <c:pt idx="47">
                  <c:v>2.5583709585404635E-3</c:v>
                </c:pt>
                <c:pt idx="48">
                  <c:v>2.5280402524130692E-3</c:v>
                </c:pt>
                <c:pt idx="49">
                  <c:v>2.4984981033154656E-3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67-4139-A0B4-4B02369A0B8F}"/>
            </c:ext>
          </c:extLst>
        </c:ser>
        <c:ser>
          <c:idx val="15"/>
          <c:order val="15"/>
          <c:tx>
            <c:strRef>
              <c:f>Gamma!$B$60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Gamma!$C$60:$AZ$60</c:f>
              <c:numCache>
                <c:formatCode>General</c:formatCode>
                <c:ptCount val="50"/>
                <c:pt idx="0">
                  <c:v>1.1797749643956228E-3</c:v>
                </c:pt>
                <c:pt idx="1">
                  <c:v>3.3988923428329141E-3</c:v>
                </c:pt>
                <c:pt idx="2">
                  <c:v>4.4249664714346168E-3</c:v>
                </c:pt>
                <c:pt idx="3">
                  <c:v>4.8328138193056347E-3</c:v>
                </c:pt>
                <c:pt idx="4">
                  <c:v>4.9631911763247582E-3</c:v>
                </c:pt>
                <c:pt idx="5">
                  <c:v>4.9638034399966226E-3</c:v>
                </c:pt>
                <c:pt idx="6">
                  <c:v>4.9016734462603608E-3</c:v>
                </c:pt>
                <c:pt idx="7">
                  <c:v>4.8092346754676409E-3</c:v>
                </c:pt>
                <c:pt idx="8">
                  <c:v>4.7030203729840174E-3</c:v>
                </c:pt>
                <c:pt idx="9">
                  <c:v>4.5917683941409963E-3</c:v>
                </c:pt>
                <c:pt idx="10">
                  <c:v>4.48018748199892E-3</c:v>
                </c:pt>
                <c:pt idx="11">
                  <c:v>4.370815624135679E-3</c:v>
                </c:pt>
                <c:pt idx="12">
                  <c:v>4.2649840836620845E-3</c:v>
                </c:pt>
                <c:pt idx="13">
                  <c:v>4.163338543514146E-3</c:v>
                </c:pt>
                <c:pt idx="14">
                  <c:v>4.0661304529771916E-3</c:v>
                </c:pt>
                <c:pt idx="15">
                  <c:v>3.9733843422166681E-3</c:v>
                </c:pt>
                <c:pt idx="16">
                  <c:v>3.8849959235059879E-3</c:v>
                </c:pt>
                <c:pt idx="17">
                  <c:v>3.8007904720023496E-3</c:v>
                </c:pt>
                <c:pt idx="18">
                  <c:v>3.7205578728365606E-3</c:v>
                </c:pt>
                <c:pt idx="19">
                  <c:v>3.6440736961518005E-3</c:v>
                </c:pt>
                <c:pt idx="20">
                  <c:v>3.5711117781874308E-3</c:v>
                </c:pt>
                <c:pt idx="21">
                  <c:v>3.5014515806869972E-3</c:v>
                </c:pt>
                <c:pt idx="22">
                  <c:v>3.4348823177970875E-3</c:v>
                </c:pt>
                <c:pt idx="23">
                  <c:v>3.371205077432415E-3</c:v>
                </c:pt>
                <c:pt idx="24">
                  <c:v>3.3102337029274056E-3</c:v>
                </c:pt>
                <c:pt idx="25">
                  <c:v>3.2517949172694871E-3</c:v>
                </c:pt>
                <c:pt idx="26">
                  <c:v>3.1957279954657435E-3</c:v>
                </c:pt>
                <c:pt idx="27">
                  <c:v>3.1418841791159969E-3</c:v>
                </c:pt>
                <c:pt idx="28">
                  <c:v>3.0901259562691411E-3</c:v>
                </c:pt>
                <c:pt idx="29">
                  <c:v>3.0403262840825581E-3</c:v>
                </c:pt>
                <c:pt idx="30">
                  <c:v>2.992367802416308E-3</c:v>
                </c:pt>
                <c:pt idx="31">
                  <c:v>2.9461420674835302E-3</c:v>
                </c:pt>
                <c:pt idx="32">
                  <c:v>2.9015488223838809E-3</c:v>
                </c:pt>
                <c:pt idx="33">
                  <c:v>2.8584953134266583E-3</c:v>
                </c:pt>
                <c:pt idx="34">
                  <c:v>2.8168956560932533E-3</c:v>
                </c:pt>
                <c:pt idx="35">
                  <c:v>2.7766702513109002E-3</c:v>
                </c:pt>
                <c:pt idx="36">
                  <c:v>2.737745250766541E-3</c:v>
                </c:pt>
                <c:pt idx="37">
                  <c:v>2.7000520688555754E-3</c:v>
                </c:pt>
                <c:pt idx="38">
                  <c:v>2.6635269382536838E-3</c:v>
                </c:pt>
                <c:pt idx="39">
                  <c:v>2.6281105058336422E-3</c:v>
                </c:pt>
                <c:pt idx="40">
                  <c:v>2.5937474655985809E-3</c:v>
                </c:pt>
                <c:pt idx="41">
                  <c:v>2.5603862253857994E-3</c:v>
                </c:pt>
                <c:pt idx="42">
                  <c:v>2.5279786042561895E-3</c:v>
                </c:pt>
                <c:pt idx="43">
                  <c:v>2.4964795576875383E-3</c:v>
                </c:pt>
                <c:pt idx="44">
                  <c:v>2.4658469279120231E-3</c:v>
                </c:pt>
                <c:pt idx="45">
                  <c:v>2.4360412169640382E-3</c:v>
                </c:pt>
                <c:pt idx="46">
                  <c:v>2.4070253802248903E-3</c:v>
                </c:pt>
                <c:pt idx="47">
                  <c:v>2.3787646384602892E-3</c:v>
                </c:pt>
                <c:pt idx="48">
                  <c:v>2.3512263065419321E-3</c:v>
                </c:pt>
                <c:pt idx="49">
                  <c:v>2.3243796372245922E-3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267-4139-A0B4-4B02369A0B8F}"/>
            </c:ext>
          </c:extLst>
        </c:ser>
        <c:ser>
          <c:idx val="16"/>
          <c:order val="16"/>
          <c:tx>
            <c:strRef>
              <c:f>Gamma!$B$61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Gamma!$C$44:$AZ$44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Gamma!$C$61:$AZ$61</c:f>
              <c:numCache>
                <c:formatCode>General</c:formatCode>
                <c:ptCount val="50"/>
                <c:pt idx="0">
                  <c:v>5.4066078067007838E-4</c:v>
                </c:pt>
                <c:pt idx="1">
                  <c:v>2.2364592183655115E-3</c:v>
                </c:pt>
                <c:pt idx="2">
                  <c:v>3.2847288108803691E-3</c:v>
                </c:pt>
                <c:pt idx="3">
                  <c:v>3.8104176531232542E-3</c:v>
                </c:pt>
                <c:pt idx="4">
                  <c:v>4.0573578042017618E-3</c:v>
                </c:pt>
                <c:pt idx="5">
                  <c:v>4.1569047387978002E-3</c:v>
                </c:pt>
                <c:pt idx="6">
                  <c:v>4.1761945555998476E-3</c:v>
                </c:pt>
                <c:pt idx="7">
                  <c:v>4.1507154017368627E-3</c:v>
                </c:pt>
                <c:pt idx="8">
                  <c:v>4.1000360649094698E-3</c:v>
                </c:pt>
                <c:pt idx="9">
                  <c:v>4.0353560093019832E-3</c:v>
                </c:pt>
                <c:pt idx="10">
                  <c:v>3.9632767020426462E-3</c:v>
                </c:pt>
                <c:pt idx="11">
                  <c:v>3.8877735776850254E-3</c:v>
                </c:pt>
                <c:pt idx="12">
                  <c:v>3.8112722011901688E-3</c:v>
                </c:pt>
                <c:pt idx="13">
                  <c:v>3.7352582181827002E-3</c:v>
                </c:pt>
                <c:pt idx="14">
                  <c:v>3.6606346060724026E-3</c:v>
                </c:pt>
                <c:pt idx="15">
                  <c:v>3.5879369127389494E-3</c:v>
                </c:pt>
                <c:pt idx="16">
                  <c:v>3.5174661040568152E-3</c:v>
                </c:pt>
                <c:pt idx="17">
                  <c:v>3.4493722556430736E-3</c:v>
                </c:pt>
                <c:pt idx="18">
                  <c:v>3.3837081901568239E-3</c:v>
                </c:pt>
                <c:pt idx="19">
                  <c:v>3.3204643405546929E-3</c:v>
                </c:pt>
                <c:pt idx="20">
                  <c:v>3.2595916640294556E-3</c:v>
                </c:pt>
                <c:pt idx="21">
                  <c:v>3.2010168255156546E-3</c:v>
                </c:pt>
                <c:pt idx="22">
                  <c:v>3.1446523093059419E-3</c:v>
                </c:pt>
                <c:pt idx="23">
                  <c:v>3.0904031629585983E-3</c:v>
                </c:pt>
                <c:pt idx="24">
                  <c:v>3.0381714826567545E-3</c:v>
                </c:pt>
                <c:pt idx="25">
                  <c:v>2.9878593717213367E-3</c:v>
                </c:pt>
                <c:pt idx="26">
                  <c:v>2.9393708607562854E-3</c:v>
                </c:pt>
                <c:pt idx="27">
                  <c:v>2.8926131189446376E-3</c:v>
                </c:pt>
                <c:pt idx="28">
                  <c:v>2.8474971807887594E-3</c:v>
                </c:pt>
                <c:pt idx="29">
                  <c:v>2.8039383421261765E-3</c:v>
                </c:pt>
                <c:pt idx="30">
                  <c:v>2.7618563315789353E-3</c:v>
                </c:pt>
                <c:pt idx="31">
                  <c:v>2.7211753310403273E-3</c:v>
                </c:pt>
                <c:pt idx="32">
                  <c:v>2.6818238963910164E-3</c:v>
                </c:pt>
                <c:pt idx="33">
                  <c:v>2.6437348140972146E-3</c:v>
                </c:pt>
                <c:pt idx="34">
                  <c:v>2.606844918503483E-3</c:v>
                </c:pt>
                <c:pt idx="35">
                  <c:v>2.5710948870329457E-3</c:v>
                </c:pt>
                <c:pt idx="36">
                  <c:v>2.5364290251587E-3</c:v>
                </c:pt>
                <c:pt idx="37">
                  <c:v>2.5027950492352395E-3</c:v>
                </c:pt>
                <c:pt idx="38">
                  <c:v>2.4701438726108427E-3</c:v>
                </c:pt>
                <c:pt idx="39">
                  <c:v>2.4384293985567685E-3</c:v>
                </c:pt>
                <c:pt idx="40">
                  <c:v>2.4076083222196528E-3</c:v>
                </c:pt>
                <c:pt idx="41">
                  <c:v>2.3776399428699045E-3</c:v>
                </c:pt>
                <c:pt idx="42">
                  <c:v>2.348485987068018E-3</c:v>
                </c:pt>
                <c:pt idx="43">
                  <c:v>2.3201104429219242E-3</c:v>
                </c:pt>
                <c:pt idx="44">
                  <c:v>2.2924794053043505E-3</c:v>
                </c:pt>
                <c:pt idx="45">
                  <c:v>2.2655609316982921E-3</c:v>
                </c:pt>
                <c:pt idx="46">
                  <c:v>2.2393249082114279E-3</c:v>
                </c:pt>
                <c:pt idx="47">
                  <c:v>2.2137429252252574E-3</c:v>
                </c:pt>
                <c:pt idx="48">
                  <c:v>2.1887881621063866E-3</c:v>
                </c:pt>
                <c:pt idx="49">
                  <c:v>2.1644352803946161E-3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267-4139-A0B4-4B02369A0B8F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44437680"/>
        <c:axId val="444437200"/>
        <c:axId val="877137264"/>
      </c:surface3DChart>
      <c:catAx>
        <c:axId val="44443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437200"/>
        <c:crosses val="autoZero"/>
        <c:auto val="1"/>
        <c:lblAlgn val="ctr"/>
        <c:lblOffset val="100"/>
        <c:noMultiLvlLbl val="0"/>
      </c:catAx>
      <c:valAx>
        <c:axId val="44443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437680"/>
        <c:crosses val="autoZero"/>
        <c:crossBetween val="midCat"/>
      </c:valAx>
      <c:serAx>
        <c:axId val="8771372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43720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Rho,</a:t>
            </a:r>
            <a:r>
              <a:rPr lang="en-US" baseline="0"/>
              <a:t> vol=10%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54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Rho!$B$3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Rho!$C$3:$AZ$3</c:f>
              <c:numCache>
                <c:formatCode>General</c:formatCode>
                <c:ptCount val="50"/>
                <c:pt idx="0">
                  <c:v>6.8997547428964834E-58</c:v>
                </c:pt>
                <c:pt idx="1">
                  <c:v>4.1705600383653558E-29</c:v>
                </c:pt>
                <c:pt idx="2">
                  <c:v>2.1207973599216588E-19</c:v>
                </c:pt>
                <c:pt idx="3">
                  <c:v>1.7146657173941593E-14</c:v>
                </c:pt>
                <c:pt idx="4">
                  <c:v>1.6258128709111468E-11</c:v>
                </c:pt>
                <c:pt idx="5">
                  <c:v>1.6481813086334162E-9</c:v>
                </c:pt>
                <c:pt idx="6">
                  <c:v>4.6233752509654254E-8</c:v>
                </c:pt>
                <c:pt idx="7">
                  <c:v>5.7838836856354678E-7</c:v>
                </c:pt>
                <c:pt idx="8">
                  <c:v>4.2109995631038558E-6</c:v>
                </c:pt>
                <c:pt idx="9">
                  <c:v>2.0944883154902441E-5</c:v>
                </c:pt>
                <c:pt idx="10">
                  <c:v>7.8844064362873585E-5</c:v>
                </c:pt>
                <c:pt idx="11">
                  <c:v>2.4055615954076122E-4</c:v>
                </c:pt>
                <c:pt idx="12">
                  <c:v>6.2387639740620895E-4</c:v>
                </c:pt>
                <c:pt idx="13">
                  <c:v>1.4231144992723559E-3</c:v>
                </c:pt>
                <c:pt idx="14">
                  <c:v>2.9278689303132289E-3</c:v>
                </c:pt>
                <c:pt idx="15">
                  <c:v>5.5366525377998112E-3</c:v>
                </c:pt>
                <c:pt idx="16">
                  <c:v>9.7640587632792583E-3</c:v>
                </c:pt>
                <c:pt idx="17">
                  <c:v>1.6241327843808086E-2</c:v>
                </c:pt>
                <c:pt idx="18">
                  <c:v>2.5711022853193401E-2</c:v>
                </c:pt>
                <c:pt idx="19">
                  <c:v>3.9017006065321998E-2</c:v>
                </c:pt>
                <c:pt idx="20">
                  <c:v>5.7091075077413449E-2</c:v>
                </c:pt>
                <c:pt idx="21">
                  <c:v>8.0937570703736125E-2</c:v>
                </c:pt>
                <c:pt idx="22">
                  <c:v>0.11161709631878884</c:v>
                </c:pt>
                <c:pt idx="23">
                  <c:v>0.15023026184001101</c:v>
                </c:pt>
                <c:pt idx="24">
                  <c:v>0.19790213213505509</c:v>
                </c:pt>
                <c:pt idx="25">
                  <c:v>0.25576784668365177</c:v>
                </c:pt>
                <c:pt idx="26">
                  <c:v>0.32495969775902905</c:v>
                </c:pt>
                <c:pt idx="27">
                  <c:v>0.40659581181057697</c:v>
                </c:pt>
                <c:pt idx="28">
                  <c:v>0.50177047130931818</c:v>
                </c:pt>
                <c:pt idx="29">
                  <c:v>0.61154603756096348</c:v>
                </c:pt>
                <c:pt idx="30">
                  <c:v>0.73694638344618657</c:v>
                </c:pt>
                <c:pt idx="31">
                  <c:v>0.87895171331034483</c:v>
                </c:pt>
                <c:pt idx="32">
                  <c:v>1.0384946304488192</c:v>
                </c:pt>
                <c:pt idx="33">
                  <c:v>1.2164573067365299</c:v>
                </c:pt>
                <c:pt idx="34">
                  <c:v>1.4136696106402289</c:v>
                </c:pt>
                <c:pt idx="35">
                  <c:v>1.6309080565689507</c:v>
                </c:pt>
                <c:pt idx="36">
                  <c:v>1.8688954483282969</c:v>
                </c:pt>
                <c:pt idx="37">
                  <c:v>2.1283011009295891</c:v>
                </c:pt>
                <c:pt idx="38">
                  <c:v>2.4097415371561346</c:v>
                </c:pt>
                <c:pt idx="39">
                  <c:v>2.7137815674117114</c:v>
                </c:pt>
                <c:pt idx="40">
                  <c:v>3.0409356730154333</c:v>
                </c:pt>
                <c:pt idx="41">
                  <c:v>3.3916696239813415</c:v>
                </c:pt>
                <c:pt idx="42">
                  <c:v>3.7664022722764927</c:v>
                </c:pt>
                <c:pt idx="43">
                  <c:v>4.1655074705227682</c:v>
                </c:pt>
                <c:pt idx="44">
                  <c:v>4.5893160740892966</c:v>
                </c:pt>
                <c:pt idx="45">
                  <c:v>5.0381179915502319</c:v>
                </c:pt>
                <c:pt idx="46">
                  <c:v>5.5121642546139649</c:v>
                </c:pt>
                <c:pt idx="47">
                  <c:v>6.0116690839384361</c:v>
                </c:pt>
                <c:pt idx="48">
                  <c:v>6.5368119318104503</c:v>
                </c:pt>
                <c:pt idx="49">
                  <c:v>7.087739486564721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9A-4C5D-A0BE-E4B01673E040}"/>
            </c:ext>
          </c:extLst>
        </c:ser>
        <c:ser>
          <c:idx val="1"/>
          <c:order val="1"/>
          <c:tx>
            <c:strRef>
              <c:f>Rho!$B$4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Rho!$C$4:$AZ$4</c:f>
              <c:numCache>
                <c:formatCode>General</c:formatCode>
                <c:ptCount val="50"/>
                <c:pt idx="0">
                  <c:v>1.8240256915210587E-41</c:v>
                </c:pt>
                <c:pt idx="1">
                  <c:v>7.2236755311602645E-21</c:v>
                </c:pt>
                <c:pt idx="2">
                  <c:v>6.8680684372739561E-14</c:v>
                </c:pt>
                <c:pt idx="3">
                  <c:v>2.3996762916801211E-10</c:v>
                </c:pt>
                <c:pt idx="4">
                  <c:v>3.4533346751725237E-8</c:v>
                </c:pt>
                <c:pt idx="5">
                  <c:v>9.9575989539410702E-7</c:v>
                </c:pt>
                <c:pt idx="6">
                  <c:v>1.1375608625566544E-5</c:v>
                </c:pt>
                <c:pt idx="7">
                  <c:v>7.2532656593866113E-5</c:v>
                </c:pt>
                <c:pt idx="8">
                  <c:v>3.1257694746679194E-4</c:v>
                </c:pt>
                <c:pt idx="9">
                  <c:v>1.0218383303882987E-3</c:v>
                </c:pt>
                <c:pt idx="10">
                  <c:v>2.7282309653643209E-3</c:v>
                </c:pt>
                <c:pt idx="11">
                  <c:v>6.250941291057039E-3</c:v>
                </c:pt>
                <c:pt idx="12">
                  <c:v>1.272126024409162E-2</c:v>
                </c:pt>
                <c:pt idx="13">
                  <c:v>2.3570665760331174E-2</c:v>
                </c:pt>
                <c:pt idx="14">
                  <c:v>4.0493361068119432E-2</c:v>
                </c:pt>
                <c:pt idx="15">
                  <c:v>6.5392932214853525E-2</c:v>
                </c:pt>
                <c:pt idx="16">
                  <c:v>0.10032214974830661</c:v>
                </c:pt>
                <c:pt idx="17">
                  <c:v>0.14742288329289793</c:v>
                </c:pt>
                <c:pt idx="18">
                  <c:v>0.20887076360581561</c:v>
                </c:pt>
                <c:pt idx="19">
                  <c:v>0.28682719393543493</c:v>
                </c:pt>
                <c:pt idx="20">
                  <c:v>0.38339978013615661</c:v>
                </c:pt>
                <c:pt idx="21">
                  <c:v>0.50061121263842567</c:v>
                </c:pt>
                <c:pt idx="22">
                  <c:v>0.64037600440876719</c:v>
                </c:pt>
                <c:pt idx="23">
                  <c:v>0.80448416004465739</c:v>
                </c:pt>
                <c:pt idx="24">
                  <c:v>0.99459072565761664</c:v>
                </c:pt>
                <c:pt idx="25">
                  <c:v>1.2122101715018894</c:v>
                </c:pt>
                <c:pt idx="26">
                  <c:v>1.4587146347623128</c:v>
                </c:pt>
                <c:pt idx="27">
                  <c:v>1.7353351615032786</c:v>
                </c:pt>
                <c:pt idx="28">
                  <c:v>2.0431652108359635</c:v>
                </c:pt>
                <c:pt idx="29">
                  <c:v>2.3831658067032904</c:v>
                </c:pt>
                <c:pt idx="30">
                  <c:v>2.7561718355401759</c:v>
                </c:pt>
                <c:pt idx="31">
                  <c:v>3.1628990878089427</c:v>
                </c:pt>
                <c:pt idx="32">
                  <c:v>3.6039517269515815</c:v>
                </c:pt>
                <c:pt idx="33">
                  <c:v>4.0798299410338821</c:v>
                </c:pt>
                <c:pt idx="34">
                  <c:v>4.5909375914506265</c:v>
                </c:pt>
                <c:pt idx="35">
                  <c:v>5.1375897210290313</c:v>
                </c:pt>
                <c:pt idx="36">
                  <c:v>5.7200198223017411</c:v>
                </c:pt>
                <c:pt idx="37">
                  <c:v>6.3383867971484991</c:v>
                </c:pt>
                <c:pt idx="38">
                  <c:v>6.992781562812171</c:v>
                </c:pt>
                <c:pt idx="39">
                  <c:v>7.6832332776932759</c:v>
                </c:pt>
                <c:pt idx="40">
                  <c:v>8.4097151743568261</c:v>
                </c:pt>
                <c:pt idx="41">
                  <c:v>9.1721499977145946</c:v>
                </c:pt>
                <c:pt idx="42">
                  <c:v>9.9704150540982983</c:v>
                </c:pt>
                <c:pt idx="43">
                  <c:v>10.804346882504111</c:v>
                </c:pt>
                <c:pt idx="44">
                  <c:v>11.673745563145278</c:v>
                </c:pt>
                <c:pt idx="45">
                  <c:v>12.578378680985566</c:v>
                </c:pt>
                <c:pt idx="46">
                  <c:v>13.517984963447399</c:v>
                </c:pt>
                <c:pt idx="47">
                  <c:v>14.492277612244671</c:v>
                </c:pt>
                <c:pt idx="48">
                  <c:v>15.500947349470755</c:v>
                </c:pt>
                <c:pt idx="49">
                  <c:v>16.543665197834301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9A-4C5D-A0BE-E4B01673E040}"/>
            </c:ext>
          </c:extLst>
        </c:ser>
        <c:ser>
          <c:idx val="2"/>
          <c:order val="2"/>
          <c:tx>
            <c:strRef>
              <c:f>Rho!$B$5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Rho!$C$5:$AZ$5</c:f>
              <c:numCache>
                <c:formatCode>General</c:formatCode>
                <c:ptCount val="50"/>
                <c:pt idx="0">
                  <c:v>9.9546668867391585E-29</c:v>
                </c:pt>
                <c:pt idx="1">
                  <c:v>1.8148881916339142E-14</c:v>
                </c:pt>
                <c:pt idx="2">
                  <c:v>1.3307124507183834E-9</c:v>
                </c:pt>
                <c:pt idx="3">
                  <c:v>4.0794980511215032E-7</c:v>
                </c:pt>
                <c:pt idx="4">
                  <c:v>1.3625021969122365E-5</c:v>
                </c:pt>
                <c:pt idx="5">
                  <c:v>1.4829729609667342E-4</c:v>
                </c:pt>
                <c:pt idx="6">
                  <c:v>8.4440564273303509E-4</c:v>
                </c:pt>
                <c:pt idx="7">
                  <c:v>3.1927561083099141E-3</c:v>
                </c:pt>
                <c:pt idx="8">
                  <c:v>9.1613031212592951E-3</c:v>
                </c:pt>
                <c:pt idx="9">
                  <c:v>2.162595366355944E-2</c:v>
                </c:pt>
                <c:pt idx="10">
                  <c:v>4.4227229959378556E-2</c:v>
                </c:pt>
                <c:pt idx="11">
                  <c:v>8.1131715388640543E-2</c:v>
                </c:pt>
                <c:pt idx="12">
                  <c:v>0.13677315903379483</c:v>
                </c:pt>
                <c:pt idx="13">
                  <c:v>0.21562088009440039</c:v>
                </c:pt>
                <c:pt idx="14">
                  <c:v>0.32199689115388874</c:v>
                </c:pt>
                <c:pt idx="15">
                  <c:v>0.4599456240217738</c:v>
                </c:pt>
                <c:pt idx="16">
                  <c:v>0.63315088489656846</c:v>
                </c:pt>
                <c:pt idx="17">
                  <c:v>0.84489104460675879</c:v>
                </c:pt>
                <c:pt idx="18">
                  <c:v>1.0980230267122648</c:v>
                </c:pt>
                <c:pt idx="19">
                  <c:v>1.394986710923013</c:v>
                </c:pt>
                <c:pt idx="20">
                  <c:v>1.7378229425893104</c:v>
                </c:pt>
                <c:pt idx="21">
                  <c:v>2.1281999300616379</c:v>
                </c:pt>
                <c:pt idx="22">
                  <c:v>2.5674442030976405</c:v>
                </c:pt>
                <c:pt idx="23">
                  <c:v>3.0565734313926956</c:v>
                </c:pt>
                <c:pt idx="24">
                  <c:v>3.5963292695873346</c:v>
                </c:pt>
                <c:pt idx="25">
                  <c:v>4.1872090399714654</c:v>
                </c:pt>
                <c:pt idx="26">
                  <c:v>4.829495530192899</c:v>
                </c:pt>
                <c:pt idx="27">
                  <c:v>5.5232845116413483</c:v>
                </c:pt>
                <c:pt idx="28">
                  <c:v>6.2685098095512286</c:v>
                </c:pt>
                <c:pt idx="29">
                  <c:v>7.064965905954832</c:v>
                </c:pt>
                <c:pt idx="30">
                  <c:v>7.9123281527143137</c:v>
                </c:pt>
                <c:pt idx="31">
                  <c:v>8.8101707299215324</c:v>
                </c:pt>
                <c:pt idx="32">
                  <c:v>9.7579825167030805</c:v>
                </c:pt>
                <c:pt idx="33">
                  <c:v>10.755181055393196</c:v>
                </c:pt>
                <c:pt idx="34">
                  <c:v>11.80112479220154</c:v>
                </c:pt>
                <c:pt idx="35">
                  <c:v>12.895123772182806</c:v>
                </c:pt>
                <c:pt idx="36">
                  <c:v>14.036448956486058</c:v>
                </c:pt>
                <c:pt idx="37">
                  <c:v>15.224340317565105</c:v>
                </c:pt>
                <c:pt idx="38">
                  <c:v>16.458013854639415</c:v>
                </c:pt>
                <c:pt idx="39">
                  <c:v>17.736667658110342</c:v>
                </c:pt>
                <c:pt idx="40">
                  <c:v>19.05948713843263</c:v>
                </c:pt>
                <c:pt idx="41">
                  <c:v>20.425649522458588</c:v>
                </c:pt>
                <c:pt idx="42">
                  <c:v>21.834327708702851</c:v>
                </c:pt>
                <c:pt idx="43">
                  <c:v>23.284693562401394</c:v>
                </c:pt>
                <c:pt idx="44">
                  <c:v>24.775920721674325</c:v>
                </c:pt>
                <c:pt idx="45">
                  <c:v>26.307186977523788</c:v>
                </c:pt>
                <c:pt idx="46">
                  <c:v>27.877676282746112</c:v>
                </c:pt>
                <c:pt idx="47">
                  <c:v>29.486580438050275</c:v>
                </c:pt>
                <c:pt idx="48">
                  <c:v>31.133100497670622</c:v>
                </c:pt>
                <c:pt idx="49">
                  <c:v>32.816447931472723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9A-4C5D-A0BE-E4B01673E040}"/>
            </c:ext>
          </c:extLst>
        </c:ser>
        <c:ser>
          <c:idx val="3"/>
          <c:order val="3"/>
          <c:tx>
            <c:strRef>
              <c:f>Rho!$B$6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Rho!$C$6:$AZ$6</c:f>
              <c:numCache>
                <c:formatCode>General</c:formatCode>
                <c:ptCount val="50"/>
                <c:pt idx="0">
                  <c:v>5.3493516241294035E-19</c:v>
                </c:pt>
                <c:pt idx="1">
                  <c:v>1.4484262281308254E-9</c:v>
                </c:pt>
                <c:pt idx="2">
                  <c:v>2.6052631871411126E-6</c:v>
                </c:pt>
                <c:pt idx="3">
                  <c:v>1.2492523960331802E-4</c:v>
                </c:pt>
                <c:pt idx="4">
                  <c:v>1.369378385478035E-3</c:v>
                </c:pt>
                <c:pt idx="5">
                  <c:v>7.0864177060534416E-3</c:v>
                </c:pt>
                <c:pt idx="6">
                  <c:v>2.3711237792182871E-2</c:v>
                </c:pt>
                <c:pt idx="7">
                  <c:v>6.0144636736595404E-2</c:v>
                </c:pt>
                <c:pt idx="8">
                  <c:v>0.12646643565367435</c:v>
                </c:pt>
                <c:pt idx="9">
                  <c:v>0.23272427909089094</c:v>
                </c:pt>
                <c:pt idx="10">
                  <c:v>0.38810439629546334</c:v>
                </c:pt>
                <c:pt idx="11">
                  <c:v>0.60049123759214074</c:v>
                </c:pt>
                <c:pt idx="12">
                  <c:v>0.87631514431364654</c:v>
                </c:pt>
                <c:pt idx="13">
                  <c:v>1.2205796483744511</c:v>
                </c:pt>
                <c:pt idx="14">
                  <c:v>1.6369853077301846</c:v>
                </c:pt>
                <c:pt idx="15">
                  <c:v>2.1280953139942409</c:v>
                </c:pt>
                <c:pt idx="16">
                  <c:v>2.6955102326255509</c:v>
                </c:pt>
                <c:pt idx="17">
                  <c:v>3.3400342025449636</c:v>
                </c:pt>
                <c:pt idx="18">
                  <c:v>4.061824236299219</c:v>
                </c:pt>
                <c:pt idx="19">
                  <c:v>4.8605196983075727</c:v>
                </c:pt>
                <c:pt idx="20">
                  <c:v>5.7353520079670091</c:v>
                </c:pt>
                <c:pt idx="21">
                  <c:v>6.6852360921627945</c:v>
                </c:pt>
                <c:pt idx="22">
                  <c:v>7.7088457265179562</c:v>
                </c:pt>
                <c:pt idx="23">
                  <c:v>8.8046750437203833</c:v>
                </c:pt>
                <c:pt idx="24">
                  <c:v>9.9710883811358446</c:v>
                </c:pt>
                <c:pt idx="25">
                  <c:v>11.206360421788077</c:v>
                </c:pt>
                <c:pt idx="26">
                  <c:v>12.508708326759269</c:v>
                </c:pt>
                <c:pt idx="27">
                  <c:v>13.876317302312282</c:v>
                </c:pt>
                <c:pt idx="28">
                  <c:v>15.307360810556968</c:v>
                </c:pt>
                <c:pt idx="29">
                  <c:v>16.800016425945085</c:v>
                </c:pt>
                <c:pt idx="30">
                  <c:v>18.352478162832103</c:v>
                </c:pt>
                <c:pt idx="31">
                  <c:v>19.962965950250236</c:v>
                </c:pt>
                <c:pt idx="32">
                  <c:v>21.629732805976417</c:v>
                </c:pt>
                <c:pt idx="33">
                  <c:v>23.35107015958922</c:v>
                </c:pt>
                <c:pt idx="34">
                  <c:v>25.125311690182439</c:v>
                </c:pt>
                <c:pt idx="35">
                  <c:v>26.95083597571141</c:v>
                </c:pt>
                <c:pt idx="36">
                  <c:v>28.826068194938056</c:v>
                </c:pt>
                <c:pt idx="37">
                  <c:v>30.749481077349138</c:v>
                </c:pt>
                <c:pt idx="38">
                  <c:v>32.719595259348701</c:v>
                </c:pt>
                <c:pt idx="39">
                  <c:v>34.734979174896125</c:v>
                </c:pt>
                <c:pt idx="40">
                  <c:v>36.79424858428002</c:v>
                </c:pt>
                <c:pt idx="41">
                  <c:v>38.896065824827964</c:v>
                </c:pt>
                <c:pt idx="42">
                  <c:v>41.039138851187879</c:v>
                </c:pt>
                <c:pt idx="43">
                  <c:v>43.222220119680777</c:v>
                </c:pt>
                <c:pt idx="44">
                  <c:v>45.4441053605427</c:v>
                </c:pt>
                <c:pt idx="45">
                  <c:v>47.703632273193314</c:v>
                </c:pt>
                <c:pt idx="46">
                  <c:v>49.999679172603848</c:v>
                </c:pt>
                <c:pt idx="47">
                  <c:v>52.331163609098802</c:v>
                </c:pt>
                <c:pt idx="48">
                  <c:v>54.697040979257068</c:v>
                </c:pt>
                <c:pt idx="49">
                  <c:v>57.09630314178446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9A-4C5D-A0BE-E4B01673E040}"/>
            </c:ext>
          </c:extLst>
        </c:ser>
        <c:ser>
          <c:idx val="4"/>
          <c:order val="4"/>
          <c:tx>
            <c:strRef>
              <c:f>Rho!$B$7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Rho!$C$7:$AZ$7</c:f>
              <c:numCache>
                <c:formatCode>General</c:formatCode>
                <c:ptCount val="50"/>
                <c:pt idx="0">
                  <c:v>9.5606229748062578E-12</c:v>
                </c:pt>
                <c:pt idx="1">
                  <c:v>6.7762571900260926E-6</c:v>
                </c:pt>
                <c:pt idx="2">
                  <c:v>7.770392227479003E-4</c:v>
                </c:pt>
                <c:pt idx="3">
                  <c:v>9.3874067121779217E-3</c:v>
                </c:pt>
                <c:pt idx="4">
                  <c:v>4.4930628022144238E-2</c:v>
                </c:pt>
                <c:pt idx="5">
                  <c:v>0.1336727208702719</c:v>
                </c:pt>
                <c:pt idx="6">
                  <c:v>0.30094142404680285</c:v>
                </c:pt>
                <c:pt idx="7">
                  <c:v>0.56671524536186413</c:v>
                </c:pt>
                <c:pt idx="8">
                  <c:v>0.9446978835784493</c:v>
                </c:pt>
                <c:pt idx="9">
                  <c:v>1.4430579922614029</c:v>
                </c:pt>
                <c:pt idx="10">
                  <c:v>2.0656481781473288</c:v>
                </c:pt>
                <c:pt idx="11">
                  <c:v>2.8131792536209694</c:v>
                </c:pt>
                <c:pt idx="12">
                  <c:v>3.6841811838965999</c:v>
                </c:pt>
                <c:pt idx="13">
                  <c:v>4.675732739404399</c:v>
                </c:pt>
                <c:pt idx="14">
                  <c:v>5.783993341671116</c:v>
                </c:pt>
                <c:pt idx="15">
                  <c:v>7.0045809586170433</c:v>
                </c:pt>
                <c:pt idx="16">
                  <c:v>8.3328356303707221</c:v>
                </c:pt>
                <c:pt idx="17">
                  <c:v>9.7640001695819105</c:v>
                </c:pt>
                <c:pt idx="18">
                  <c:v>11.293341777081549</c:v>
                </c:pt>
                <c:pt idx="19">
                  <c:v>12.916231918414772</c:v>
                </c:pt>
                <c:pt idx="20">
                  <c:v>14.628196930560366</c:v>
                </c:pt>
                <c:pt idx="21">
                  <c:v>16.424948242294629</c:v>
                </c:pt>
                <c:pt idx="22">
                  <c:v>18.30239850492568</c:v>
                </c:pt>
                <c:pt idx="23">
                  <c:v>20.256668083167686</c:v>
                </c:pt>
                <c:pt idx="24">
                  <c:v>22.284085043999276</c:v>
                </c:pt>
                <c:pt idx="25">
                  <c:v>24.381180851577515</c:v>
                </c:pt>
                <c:pt idx="26">
                  <c:v>26.544683317745278</c:v>
                </c:pt>
                <c:pt idx="27">
                  <c:v>28.771507891152154</c:v>
                </c:pt>
                <c:pt idx="28">
                  <c:v>31.058748037356036</c:v>
                </c:pt>
                <c:pt idx="29">
                  <c:v>33.403665227840925</c:v>
                </c:pt>
                <c:pt idx="30">
                  <c:v>35.803678889703647</c:v>
                </c:pt>
                <c:pt idx="31">
                  <c:v>38.25635655007747</c:v>
                </c:pt>
                <c:pt idx="32">
                  <c:v>40.759404326207054</c:v>
                </c:pt>
                <c:pt idx="33">
                  <c:v>43.310657853558261</c:v>
                </c:pt>
                <c:pt idx="34">
                  <c:v>45.908073703398983</c:v>
                </c:pt>
                <c:pt idx="35">
                  <c:v>48.549721312902768</c:v>
                </c:pt>
                <c:pt idx="36">
                  <c:v>51.233775431414777</c:v>
                </c:pt>
                <c:pt idx="37">
                  <c:v>53.958509073514655</c:v>
                </c:pt>
                <c:pt idx="38">
                  <c:v>56.722286961059396</c:v>
                </c:pt>
                <c:pt idx="39">
                  <c:v>59.523559431171982</c:v>
                </c:pt>
                <c:pt idx="40">
                  <c:v>62.360856784196322</c:v>
                </c:pt>
                <c:pt idx="41">
                  <c:v>65.232784044283335</c:v>
                </c:pt>
                <c:pt idx="42">
                  <c:v>68.138016105005917</c:v>
                </c:pt>
                <c:pt idx="43">
                  <c:v>71.075293232873165</c:v>
                </c:pt>
                <c:pt idx="44">
                  <c:v>74.043416902564601</c:v>
                </c:pt>
                <c:pt idx="45">
                  <c:v>77.041245938957246</c:v>
                </c:pt>
                <c:pt idx="46">
                  <c:v>80.067692942439692</c:v>
                </c:pt>
                <c:pt idx="47">
                  <c:v>83.12172097550949</c:v>
                </c:pt>
                <c:pt idx="48">
                  <c:v>86.202340490170457</c:v>
                </c:pt>
                <c:pt idx="49">
                  <c:v>89.308606477141765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9A-4C5D-A0BE-E4B01673E040}"/>
            </c:ext>
          </c:extLst>
        </c:ser>
        <c:ser>
          <c:idx val="5"/>
          <c:order val="5"/>
          <c:tx>
            <c:strRef>
              <c:f>Rho!$B$8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Rho!$C$8:$AZ$8</c:f>
              <c:numCache>
                <c:formatCode>General</c:formatCode>
                <c:ptCount val="50"/>
                <c:pt idx="0">
                  <c:v>1.4981715104281291E-6</c:v>
                </c:pt>
                <c:pt idx="1">
                  <c:v>3.0362011070892117E-3</c:v>
                </c:pt>
                <c:pt idx="2">
                  <c:v>4.911764080257626E-2</c:v>
                </c:pt>
                <c:pt idx="3">
                  <c:v>0.22206863454671427</c:v>
                </c:pt>
                <c:pt idx="4">
                  <c:v>0.58793072579454853</c:v>
                </c:pt>
                <c:pt idx="5">
                  <c:v>1.1766528591399643</c:v>
                </c:pt>
                <c:pt idx="6">
                  <c:v>1.9932210842367935</c:v>
                </c:pt>
                <c:pt idx="7">
                  <c:v>3.0294875417979763</c:v>
                </c:pt>
                <c:pt idx="8">
                  <c:v>4.2714832976975066</c:v>
                </c:pt>
                <c:pt idx="9">
                  <c:v>5.7033185664748594</c:v>
                </c:pt>
                <c:pt idx="10">
                  <c:v>7.3091144177247163</c:v>
                </c:pt>
                <c:pt idx="11">
                  <c:v>9.0738882817964956</c:v>
                </c:pt>
                <c:pt idx="12">
                  <c:v>10.983903071993208</c:v>
                </c:pt>
                <c:pt idx="13">
                  <c:v>13.026749202016585</c:v>
                </c:pt>
                <c:pt idx="14">
                  <c:v>15.191299405983859</c:v>
                </c:pt>
                <c:pt idx="15">
                  <c:v>17.467608343775023</c:v>
                </c:pt>
                <c:pt idx="16">
                  <c:v>19.846793498137263</c:v>
                </c:pt>
                <c:pt idx="17">
                  <c:v>22.320915341633452</c:v>
                </c:pt>
                <c:pt idx="18">
                  <c:v>24.882865089804053</c:v>
                </c:pt>
                <c:pt idx="19">
                  <c:v>27.526263359416991</c:v>
                </c:pt>
                <c:pt idx="20">
                  <c:v>30.245370518893292</c:v>
                </c:pt>
                <c:pt idx="21">
                  <c:v>33.035008291587481</c:v>
                </c:pt>
                <c:pt idx="22">
                  <c:v>35.890491633902336</c:v>
                </c:pt>
                <c:pt idx="23">
                  <c:v>38.807569728316444</c:v>
                </c:pt>
                <c:pt idx="24">
                  <c:v>41.782374928542495</c:v>
                </c:pt>
                <c:pt idx="25">
                  <c:v>44.811378575018018</c:v>
                </c:pt>
                <c:pt idx="26">
                  <c:v>47.891352713359602</c:v>
                </c:pt>
                <c:pt idx="27">
                  <c:v>51.019336870281187</c:v>
                </c:pt>
                <c:pt idx="28">
                  <c:v>54.19260915803104</c:v>
                </c:pt>
                <c:pt idx="29">
                  <c:v>57.40866108402416</c:v>
                </c:pt>
                <c:pt idx="30">
                  <c:v>60.665175535188844</c:v>
                </c:pt>
                <c:pt idx="31">
                  <c:v>63.960007486673945</c:v>
                </c:pt>
                <c:pt idx="32">
                  <c:v>67.291167052944616</c:v>
                </c:pt>
                <c:pt idx="33">
                  <c:v>70.656804557247739</c:v>
                </c:pt>
                <c:pt idx="34">
                  <c:v>74.055197344348599</c:v>
                </c:pt>
                <c:pt idx="35">
                  <c:v>77.484738102645622</c:v>
                </c:pt>
                <c:pt idx="36">
                  <c:v>80.943924496451942</c:v>
                </c:pt>
                <c:pt idx="37">
                  <c:v>84.431349938425427</c:v>
                </c:pt>
                <c:pt idx="38">
                  <c:v>87.945695356724357</c:v>
                </c:pt>
                <c:pt idx="39">
                  <c:v>91.485721832214878</c:v>
                </c:pt>
                <c:pt idx="40">
                  <c:v>95.05026399858609</c:v>
                </c:pt>
                <c:pt idx="41">
                  <c:v>98.638224113072027</c:v>
                </c:pt>
                <c:pt idx="42">
                  <c:v>102.24856671806972</c:v>
                </c:pt>
                <c:pt idx="43">
                  <c:v>105.88031382464841</c:v>
                </c:pt>
                <c:pt idx="44">
                  <c:v>109.53254055806552</c:v>
                </c:pt>
                <c:pt idx="45">
                  <c:v>113.20437121319867</c:v>
                </c:pt>
                <c:pt idx="46">
                  <c:v>116.89497567447067</c:v>
                </c:pt>
                <c:pt idx="47">
                  <c:v>120.6035661605715</c:v>
                </c:pt>
                <c:pt idx="48">
                  <c:v>124.32939425920281</c:v>
                </c:pt>
                <c:pt idx="49">
                  <c:v>128.07174822131722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9A-4C5D-A0BE-E4B01673E040}"/>
            </c:ext>
          </c:extLst>
        </c:ser>
        <c:ser>
          <c:idx val="6"/>
          <c:order val="6"/>
          <c:tx>
            <c:strRef>
              <c:f>Rho!$B$9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Rho!$C$9:$AZ$9</c:f>
              <c:numCache>
                <c:formatCode>General</c:formatCode>
                <c:ptCount val="50"/>
                <c:pt idx="0">
                  <c:v>4.5615435801455795E-3</c:v>
                </c:pt>
                <c:pt idx="1">
                  <c:v>0.19578943327318749</c:v>
                </c:pt>
                <c:pt idx="2">
                  <c:v>0.86635170446754073</c:v>
                </c:pt>
                <c:pt idx="3">
                  <c:v>2.0358699772475939</c:v>
                </c:pt>
                <c:pt idx="4">
                  <c:v>3.6258596069978881</c:v>
                </c:pt>
                <c:pt idx="5">
                  <c:v>5.5569135148285937</c:v>
                </c:pt>
                <c:pt idx="6">
                  <c:v>7.7653949825830564</c:v>
                </c:pt>
                <c:pt idx="7">
                  <c:v>10.20250757483633</c:v>
                </c:pt>
                <c:pt idx="8">
                  <c:v>12.830859013377557</c:v>
                </c:pt>
                <c:pt idx="9">
                  <c:v>15.621450219614411</c:v>
                </c:pt>
                <c:pt idx="10">
                  <c:v>18.551441602648566</c:v>
                </c:pt>
                <c:pt idx="11">
                  <c:v>21.60256011974769</c:v>
                </c:pt>
                <c:pt idx="12">
                  <c:v>24.759967609706329</c:v>
                </c:pt>
                <c:pt idx="13">
                  <c:v>28.011449733850053</c:v>
                </c:pt>
                <c:pt idx="14">
                  <c:v>31.346826860026795</c:v>
                </c:pt>
                <c:pt idx="15">
                  <c:v>34.757519780574192</c:v>
                </c:pt>
                <c:pt idx="16">
                  <c:v>38.236224793998034</c:v>
                </c:pt>
                <c:pt idx="17">
                  <c:v>41.776667126608203</c:v>
                </c:pt>
                <c:pt idx="18">
                  <c:v>45.373411281805581</c:v>
                </c:pt>
                <c:pt idx="19">
                  <c:v>49.021713340295129</c:v>
                </c:pt>
                <c:pt idx="20">
                  <c:v>52.717404590242744</c:v>
                </c:pt>
                <c:pt idx="21">
                  <c:v>56.45679885191722</c:v>
                </c:pt>
                <c:pt idx="22">
                  <c:v>60.236617934984793</c:v>
                </c:pt>
                <c:pt idx="23">
                  <c:v>64.053931126047743</c:v>
                </c:pt>
                <c:pt idx="24">
                  <c:v>67.906105644466791</c:v>
                </c:pt>
                <c:pt idx="25">
                  <c:v>71.790765755474567</c:v>
                </c:pt>
                <c:pt idx="26">
                  <c:v>75.705758778023394</c:v>
                </c:pt>
                <c:pt idx="27">
                  <c:v>79.649126629821197</c:v>
                </c:pt>
                <c:pt idx="28">
                  <c:v>83.619081854267364</c:v>
                </c:pt>
                <c:pt idx="29">
                  <c:v>87.613987301824253</c:v>
                </c:pt>
                <c:pt idx="30">
                  <c:v>91.632338811697437</c:v>
                </c:pt>
                <c:pt idx="31">
                  <c:v>95.672750372750443</c:v>
                </c:pt>
                <c:pt idx="32">
                  <c:v>99.733941345562343</c:v>
                </c:pt>
                <c:pt idx="33">
                  <c:v>103.81472540788224</c:v>
                </c:pt>
                <c:pt idx="34">
                  <c:v>107.91400094887774</c:v>
                </c:pt>
                <c:pt idx="35">
                  <c:v>112.03074268755957</c:v>
                </c:pt>
                <c:pt idx="36">
                  <c:v>116.1639943305896</c:v>
                </c:pt>
                <c:pt idx="37">
                  <c:v>120.31286211661642</c:v>
                </c:pt>
                <c:pt idx="38">
                  <c:v>124.47650912004556</c:v>
                </c:pt>
                <c:pt idx="39">
                  <c:v>128.65415020805312</c:v>
                </c:pt>
                <c:pt idx="40">
                  <c:v>132.84504756170207</c:v>
                </c:pt>
                <c:pt idx="41">
                  <c:v>137.04850668600039</c:v>
                </c:pt>
                <c:pt idx="42">
                  <c:v>141.26387284525973</c:v>
                </c:pt>
                <c:pt idx="43">
                  <c:v>145.49052786965026</c:v>
                </c:pt>
                <c:pt idx="44">
                  <c:v>149.72788728677628</c:v>
                </c:pt>
                <c:pt idx="45">
                  <c:v>153.97539773872199</c:v>
                </c:pt>
                <c:pt idx="46">
                  <c:v>158.23253465056942</c:v>
                </c:pt>
                <c:pt idx="47">
                  <c:v>162.49880012106442</c:v>
                </c:pt>
                <c:pt idx="48">
                  <c:v>166.77372101006213</c:v>
                </c:pt>
                <c:pt idx="49">
                  <c:v>171.05684720072716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39A-4C5D-A0BE-E4B01673E040}"/>
            </c:ext>
          </c:extLst>
        </c:ser>
        <c:ser>
          <c:idx val="7"/>
          <c:order val="7"/>
          <c:tx>
            <c:strRef>
              <c:f>Rho!$B$10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Rho!$C$10:$AZ$10</c:f>
              <c:numCache>
                <c:formatCode>General</c:formatCode>
                <c:ptCount val="50"/>
                <c:pt idx="0">
                  <c:v>0.54058155808872665</c:v>
                </c:pt>
                <c:pt idx="1">
                  <c:v>2.6024085650062809</c:v>
                </c:pt>
                <c:pt idx="2">
                  <c:v>5.43315979275153</c:v>
                </c:pt>
                <c:pt idx="3">
                  <c:v>8.6801463209930212</c:v>
                </c:pt>
                <c:pt idx="4">
                  <c:v>12.193085930105974</c:v>
                </c:pt>
                <c:pt idx="5">
                  <c:v>15.893745368596147</c:v>
                </c:pt>
                <c:pt idx="6">
                  <c:v>19.735680124144064</c:v>
                </c:pt>
                <c:pt idx="7">
                  <c:v>23.688743774384434</c:v>
                </c:pt>
                <c:pt idx="8">
                  <c:v>27.732073358297111</c:v>
                </c:pt>
                <c:pt idx="9">
                  <c:v>31.85051860836062</c:v>
                </c:pt>
                <c:pt idx="10">
                  <c:v>36.032658322021639</c:v>
                </c:pt>
                <c:pt idx="11">
                  <c:v>40.269621368417582</c:v>
                </c:pt>
                <c:pt idx="12">
                  <c:v>44.554347196701947</c:v>
                </c:pt>
                <c:pt idx="13">
                  <c:v>48.881101216853544</c:v>
                </c:pt>
                <c:pt idx="14">
                  <c:v>53.24514542880906</c:v>
                </c:pt>
                <c:pt idx="15">
                  <c:v>57.642507580719979</c:v>
                </c:pt>
                <c:pt idx="16">
                  <c:v>62.069815075607217</c:v>
                </c:pt>
                <c:pt idx="17">
                  <c:v>66.524172719658381</c:v>
                </c:pt>
                <c:pt idx="18">
                  <c:v>71.003070937315215</c:v>
                </c:pt>
                <c:pt idx="19">
                  <c:v>75.504315646173964</c:v>
                </c:pt>
                <c:pt idx="20">
                  <c:v>80.025973843476606</c:v>
                </c:pt>
                <c:pt idx="21">
                  <c:v>84.566330795385213</c:v>
                </c:pt>
                <c:pt idx="22">
                  <c:v>89.123855933283537</c:v>
                </c:pt>
                <c:pt idx="23">
                  <c:v>93.697175379154473</c:v>
                </c:pt>
                <c:pt idx="24">
                  <c:v>98.285049584461859</c:v>
                </c:pt>
                <c:pt idx="25">
                  <c:v>102.88635496069831</c:v>
                </c:pt>
                <c:pt idx="26">
                  <c:v>107.50006865995194</c:v>
                </c:pt>
                <c:pt idx="27">
                  <c:v>112.12525586622979</c:v>
                </c:pt>
                <c:pt idx="28">
                  <c:v>116.76105910646656</c:v>
                </c:pt>
                <c:pt idx="29">
                  <c:v>121.40668920003029</c:v>
                </c:pt>
                <c:pt idx="30">
                  <c:v>126.06141754796251</c:v>
                </c:pt>
                <c:pt idx="31">
                  <c:v>130.72456952568788</c:v>
                </c:pt>
                <c:pt idx="32">
                  <c:v>135.39551879079147</c:v>
                </c:pt>
                <c:pt idx="33">
                  <c:v>140.07368235445671</c:v>
                </c:pt>
                <c:pt idx="34">
                  <c:v>144.75851629400358</c:v>
                </c:pt>
                <c:pt idx="35">
                  <c:v>149.44951200663988</c:v>
                </c:pt>
                <c:pt idx="36">
                  <c:v>154.14619292249651</c:v>
                </c:pt>
                <c:pt idx="37">
                  <c:v>158.84811160934359</c:v>
                </c:pt>
                <c:pt idx="38">
                  <c:v>163.55484721288883</c:v>
                </c:pt>
                <c:pt idx="39">
                  <c:v>168.26600318585682</c:v>
                </c:pt>
                <c:pt idx="40">
                  <c:v>172.98120526660873</c:v>
                </c:pt>
                <c:pt idx="41">
                  <c:v>177.70009967424221</c:v>
                </c:pt>
                <c:pt idx="42">
                  <c:v>182.42235149219223</c:v>
                </c:pt>
                <c:pt idx="43">
                  <c:v>187.14764321655366</c:v>
                </c:pt>
                <c:pt idx="44">
                  <c:v>191.87567344882919</c:v>
                </c:pt>
                <c:pt idx="45">
                  <c:v>196.60615571571705</c:v>
                </c:pt>
                <c:pt idx="46">
                  <c:v>201.33881740098553</c:v>
                </c:pt>
                <c:pt idx="47">
                  <c:v>206.07339877653141</c:v>
                </c:pt>
                <c:pt idx="48">
                  <c:v>210.8096521214508</c:v>
                </c:pt>
                <c:pt idx="49">
                  <c:v>215.54734091941634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39A-4C5D-A0BE-E4B01673E040}"/>
            </c:ext>
          </c:extLst>
        </c:ser>
        <c:ser>
          <c:idx val="8"/>
          <c:order val="8"/>
          <c:tx>
            <c:strRef>
              <c:f>Rho!$B$11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Rho!$C$11:$AZ$11</c:f>
              <c:numCache>
                <c:formatCode>General</c:formatCode>
                <c:ptCount val="50"/>
                <c:pt idx="0">
                  <c:v>5.058015139895339</c:v>
                </c:pt>
                <c:pt idx="1">
                  <c:v>10.158061093169939</c:v>
                </c:pt>
                <c:pt idx="2">
                  <c:v>15.281809298363571</c:v>
                </c:pt>
                <c:pt idx="3">
                  <c:v>20.422688060793114</c:v>
                </c:pt>
                <c:pt idx="4">
                  <c:v>25.576885410967218</c:v>
                </c:pt>
                <c:pt idx="5">
                  <c:v>30.741820985414318</c:v>
                </c:pt>
                <c:pt idx="6">
                  <c:v>35.915594909590865</c:v>
                </c:pt>
                <c:pt idx="7">
                  <c:v>41.096731210161046</c:v>
                </c:pt>
                <c:pt idx="8">
                  <c:v>46.284039504608742</c:v>
                </c:pt>
                <c:pt idx="9">
                  <c:v>51.476532828002171</c:v>
                </c:pt>
                <c:pt idx="10">
                  <c:v>56.673375273360662</c:v>
                </c:pt>
                <c:pt idx="11">
                  <c:v>61.873846813086757</c:v>
                </c:pt>
                <c:pt idx="12">
                  <c:v>67.077318658898434</c:v>
                </c:pt>
                <c:pt idx="13">
                  <c:v>72.283235412954454</c:v>
                </c:pt>
                <c:pt idx="14">
                  <c:v>77.491101774469016</c:v>
                </c:pt>
                <c:pt idx="15">
                  <c:v>82.700472405547103</c:v>
                </c:pt>
                <c:pt idx="16">
                  <c:v>87.91094405034633</c:v>
                </c:pt>
                <c:pt idx="17">
                  <c:v>93.122149300533636</c:v>
                </c:pt>
                <c:pt idx="18">
                  <c:v>98.33375158883058</c:v>
                </c:pt>
                <c:pt idx="19">
                  <c:v>103.54544111550688</c:v>
                </c:pt>
                <c:pt idx="20">
                  <c:v>108.75693149508366</c:v>
                </c:pt>
                <c:pt idx="21">
                  <c:v>113.96795696701273</c:v>
                </c:pt>
                <c:pt idx="22">
                  <c:v>119.17827005366833</c:v>
                </c:pt>
                <c:pt idx="23">
                  <c:v>124.38763957722479</c:v>
                </c:pt>
                <c:pt idx="24">
                  <c:v>129.59584896748729</c:v>
                </c:pt>
                <c:pt idx="25">
                  <c:v>134.80269480784693</c:v>
                </c:pt>
                <c:pt idx="26">
                  <c:v>140.0079855778157</c:v>
                </c:pt>
                <c:pt idx="27">
                  <c:v>145.21154055913817</c:v>
                </c:pt>
                <c:pt idx="28">
                  <c:v>150.41318887901511</c:v>
                </c:pt>
                <c:pt idx="29">
                  <c:v>155.6127686690331</c:v>
                </c:pt>
                <c:pt idx="30">
                  <c:v>160.81012632234922</c:v>
                </c:pt>
                <c:pt idx="31">
                  <c:v>166.00511583479678</c:v>
                </c:pt>
                <c:pt idx="32">
                  <c:v>171.19759821805795</c:v>
                </c:pt>
                <c:pt idx="33">
                  <c:v>176.38744097503726</c:v>
                </c:pt>
                <c:pt idx="34">
                  <c:v>181.57451762917427</c:v>
                </c:pt>
                <c:pt idx="35">
                  <c:v>186.75870730074001</c:v>
                </c:pt>
                <c:pt idx="36">
                  <c:v>191.93989432422811</c:v>
                </c:pt>
                <c:pt idx="37">
                  <c:v>197.11796790183189</c:v>
                </c:pt>
                <c:pt idx="38">
                  <c:v>202.292821788727</c:v>
                </c:pt>
                <c:pt idx="39">
                  <c:v>207.46435400648329</c:v>
                </c:pt>
                <c:pt idx="40">
                  <c:v>212.6324665814397</c:v>
                </c:pt>
                <c:pt idx="41">
                  <c:v>217.79706530529927</c:v>
                </c:pt>
                <c:pt idx="42">
                  <c:v>222.95805951556363</c:v>
                </c:pt>
                <c:pt idx="43">
                  <c:v>228.11536189373049</c:v>
                </c:pt>
                <c:pt idx="44">
                  <c:v>233.26888827943822</c:v>
                </c:pt>
                <c:pt idx="45">
                  <c:v>238.41855749896408</c:v>
                </c:pt>
                <c:pt idx="46">
                  <c:v>243.56429120667363</c:v>
                </c:pt>
                <c:pt idx="47">
                  <c:v>248.70601373818192</c:v>
                </c:pt>
                <c:pt idx="48">
                  <c:v>253.84365197413229</c:v>
                </c:pt>
                <c:pt idx="49">
                  <c:v>258.97713521361754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9A-4C5D-A0BE-E4B01673E040}"/>
            </c:ext>
          </c:extLst>
        </c:ser>
        <c:ser>
          <c:idx val="9"/>
          <c:order val="9"/>
          <c:tx>
            <c:strRef>
              <c:f>Rho!$B$12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Rho!$C$12:$AZ$12</c:f>
              <c:numCache>
                <c:formatCode>General</c:formatCode>
                <c:ptCount val="50"/>
                <c:pt idx="0">
                  <c:v>9.3952533892679782</c:v>
                </c:pt>
                <c:pt idx="1">
                  <c:v>17.309729794666577</c:v>
                </c:pt>
                <c:pt idx="2">
                  <c:v>24.548285319545805</c:v>
                </c:pt>
                <c:pt idx="3">
                  <c:v>31.435240865969416</c:v>
                </c:pt>
                <c:pt idx="4">
                  <c:v>38.103111573428784</c:v>
                </c:pt>
                <c:pt idx="5">
                  <c:v>44.619116273382176</c:v>
                </c:pt>
                <c:pt idx="6">
                  <c:v>51.022305279995166</c:v>
                </c:pt>
                <c:pt idx="7">
                  <c:v>57.337518442883209</c:v>
                </c:pt>
                <c:pt idx="8">
                  <c:v>63.581611101087553</c:v>
                </c:pt>
                <c:pt idx="9">
                  <c:v>69.766586400827933</c:v>
                </c:pt>
                <c:pt idx="10">
                  <c:v>75.901317872612935</c:v>
                </c:pt>
                <c:pt idx="11">
                  <c:v>81.992563863199877</c:v>
                </c:pt>
                <c:pt idx="12">
                  <c:v>88.045598275260218</c:v>
                </c:pt>
                <c:pt idx="13">
                  <c:v>94.064620434835177</c:v>
                </c:pt>
                <c:pt idx="14">
                  <c:v>100.05303135383159</c:v>
                </c:pt>
                <c:pt idx="15">
                  <c:v>106.01362576536958</c:v>
                </c:pt>
                <c:pt idx="16">
                  <c:v>111.94872916953845</c:v>
                </c:pt>
                <c:pt idx="17">
                  <c:v>117.86029788377679</c:v>
                </c:pt>
                <c:pt idx="18">
                  <c:v>123.74999354720055</c:v>
                </c:pt>
                <c:pt idx="19">
                  <c:v>129.61923957799161</c:v>
                </c:pt>
                <c:pt idx="20">
                  <c:v>135.46926462226523</c:v>
                </c:pt>
                <c:pt idx="21">
                  <c:v>141.30113645674271</c:v>
                </c:pt>
                <c:pt idx="22">
                  <c:v>147.11578877280286</c:v>
                </c:pt>
                <c:pt idx="23">
                  <c:v>152.9140425749641</c:v>
                </c:pt>
                <c:pt idx="24">
                  <c:v>158.6966234513369</c:v>
                </c:pt>
                <c:pt idx="25">
                  <c:v>164.46417564211978</c:v>
                </c:pt>
                <c:pt idx="26">
                  <c:v>170.21727359735291</c:v>
                </c:pt>
                <c:pt idx="27">
                  <c:v>175.95643154623713</c:v>
                </c:pt>
                <c:pt idx="28">
                  <c:v>181.68211147718196</c:v>
                </c:pt>
                <c:pt idx="29">
                  <c:v>187.39472983683123</c:v>
                </c:pt>
                <c:pt idx="30">
                  <c:v>193.0946631884114</c:v>
                </c:pt>
                <c:pt idx="31">
                  <c:v>198.78225301848516</c:v>
                </c:pt>
                <c:pt idx="32">
                  <c:v>204.45780984210276</c:v>
                </c:pt>
                <c:pt idx="33">
                  <c:v>210.12161672626294</c:v>
                </c:pt>
                <c:pt idx="34">
                  <c:v>215.77393232823982</c:v>
                </c:pt>
                <c:pt idx="35">
                  <c:v>221.4149935270581</c:v>
                </c:pt>
                <c:pt idx="36">
                  <c:v>227.04501771198491</c:v>
                </c:pt>
                <c:pt idx="37">
                  <c:v>232.66420478046194</c:v>
                </c:pt>
                <c:pt idx="38">
                  <c:v>238.27273888874839</c:v>
                </c:pt>
                <c:pt idx="39">
                  <c:v>243.87078999118199</c:v>
                </c:pt>
                <c:pt idx="40">
                  <c:v>249.45851519800561</c:v>
                </c:pt>
                <c:pt idx="41">
                  <c:v>255.03605997685312</c:v>
                </c:pt>
                <c:pt idx="42">
                  <c:v>260.60355921901862</c:v>
                </c:pt>
                <c:pt idx="43">
                  <c:v>266.16113818836629</c:v>
                </c:pt>
                <c:pt idx="44">
                  <c:v>271.70891336803828</c:v>
                </c:pt>
                <c:pt idx="45">
                  <c:v>277.24699321787733</c:v>
                </c:pt>
                <c:pt idx="46">
                  <c:v>282.77547885360877</c:v>
                </c:pt>
                <c:pt idx="47">
                  <c:v>288.29446465726465</c:v>
                </c:pt>
                <c:pt idx="48">
                  <c:v>293.80403882701302</c:v>
                </c:pt>
                <c:pt idx="49">
                  <c:v>299.30428387344614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39A-4C5D-A0BE-E4B01673E040}"/>
            </c:ext>
          </c:extLst>
        </c:ser>
        <c:ser>
          <c:idx val="10"/>
          <c:order val="10"/>
          <c:tx>
            <c:strRef>
              <c:f>Rho!$B$13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Rho!$C$13:$AZ$13</c:f>
              <c:numCache>
                <c:formatCode>General</c:formatCode>
                <c:ptCount val="50"/>
                <c:pt idx="0">
                  <c:v>9.9777807903598905</c:v>
                </c:pt>
                <c:pt idx="1">
                  <c:v>19.647918755774999</c:v>
                </c:pt>
                <c:pt idx="2">
                  <c:v>28.756443180563217</c:v>
                </c:pt>
                <c:pt idx="3">
                  <c:v>37.372216345157355</c:v>
                </c:pt>
                <c:pt idx="4">
                  <c:v>45.606650497595851</c:v>
                </c:pt>
                <c:pt idx="5">
                  <c:v>53.546438342331996</c:v>
                </c:pt>
                <c:pt idx="6">
                  <c:v>61.253729163278898</c:v>
                </c:pt>
                <c:pt idx="7">
                  <c:v>68.773188516542405</c:v>
                </c:pt>
                <c:pt idx="8">
                  <c:v>76.137581768653789</c:v>
                </c:pt>
                <c:pt idx="9">
                  <c:v>83.371514981554569</c:v>
                </c:pt>
                <c:pt idx="10">
                  <c:v>90.49388362270237</c:v>
                </c:pt>
                <c:pt idx="11">
                  <c:v>97.519492763107351</c:v>
                </c:pt>
                <c:pt idx="12">
                  <c:v>104.46015116314872</c:v>
                </c:pt>
                <c:pt idx="13">
                  <c:v>111.3254268899247</c:v>
                </c:pt>
                <c:pt idx="14">
                  <c:v>118.12318076708145</c:v>
                </c:pt>
                <c:pt idx="15">
                  <c:v>124.85995079285036</c:v>
                </c:pt>
                <c:pt idx="16">
                  <c:v>131.5412344329294</c:v>
                </c:pt>
                <c:pt idx="17">
                  <c:v>138.17169950956233</c:v>
                </c:pt>
                <c:pt idx="18">
                  <c:v>144.75534422625546</c:v>
                </c:pt>
                <c:pt idx="19">
                  <c:v>151.29562033151717</c:v>
                </c:pt>
                <c:pt idx="20">
                  <c:v>157.7955291451475</c:v>
                </c:pt>
                <c:pt idx="21">
                  <c:v>164.25769731446573</c:v>
                </c:pt>
                <c:pt idx="22">
                  <c:v>170.68443722750231</c:v>
                </c:pt>
                <c:pt idx="23">
                  <c:v>177.07779566979389</c:v>
                </c:pt>
                <c:pt idx="24">
                  <c:v>183.43959337099159</c:v>
                </c:pt>
                <c:pt idx="25">
                  <c:v>189.77145741807803</c:v>
                </c:pt>
                <c:pt idx="26">
                  <c:v>196.07484802903451</c:v>
                </c:pt>
                <c:pt idx="27">
                  <c:v>202.35108082798749</c:v>
                </c:pt>
                <c:pt idx="28">
                  <c:v>208.60134550210071</c:v>
                </c:pt>
                <c:pt idx="29">
                  <c:v>214.82672152563941</c:v>
                </c:pt>
                <c:pt idx="30">
                  <c:v>221.02819148956908</c:v>
                </c:pt>
                <c:pt idx="31">
                  <c:v>227.20665246298174</c:v>
                </c:pt>
                <c:pt idx="32">
                  <c:v>233.36292572647773</c:v>
                </c:pt>
                <c:pt idx="33">
                  <c:v>239.49776515082863</c:v>
                </c:pt>
                <c:pt idx="34">
                  <c:v>245.61186444203841</c:v>
                </c:pt>
                <c:pt idx="35">
                  <c:v>251.705863432825</c:v>
                </c:pt>
                <c:pt idx="36">
                  <c:v>257.7803535679584</c:v>
                </c:pt>
                <c:pt idx="37">
                  <c:v>263.835882704889</c:v>
                </c:pt>
                <c:pt idx="38">
                  <c:v>269.87295933021778</c:v>
                </c:pt>
                <c:pt idx="39">
                  <c:v>275.89205627569038</c:v>
                </c:pt>
                <c:pt idx="40">
                  <c:v>281.89361400369228</c:v>
                </c:pt>
                <c:pt idx="41">
                  <c:v>287.87804352102916</c:v>
                </c:pt>
                <c:pt idx="42">
                  <c:v>293.84572897058848</c:v>
                </c:pt>
                <c:pt idx="43">
                  <c:v>299.79702994289931</c:v>
                </c:pt>
                <c:pt idx="44">
                  <c:v>305.73228354332537</c:v>
                </c:pt>
                <c:pt idx="45">
                  <c:v>311.65180624540056</c:v>
                </c:pt>
                <c:pt idx="46">
                  <c:v>317.55589555644559</c:v>
                </c:pt>
                <c:pt idx="47">
                  <c:v>323.44483151793651</c:v>
                </c:pt>
                <c:pt idx="48">
                  <c:v>329.31887806001129</c:v>
                </c:pt>
                <c:pt idx="49">
                  <c:v>335.17828422688223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39A-4C5D-A0BE-E4B01673E040}"/>
            </c:ext>
          </c:extLst>
        </c:ser>
        <c:ser>
          <c:idx val="11"/>
          <c:order val="11"/>
          <c:tx>
            <c:strRef>
              <c:f>Rho!$B$14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Rho!$C$14:$AZ$14</c:f>
              <c:numCache>
                <c:formatCode>General</c:formatCode>
                <c:ptCount val="50"/>
                <c:pt idx="0">
                  <c:v>9.9899591088745563</c:v>
                </c:pt>
                <c:pt idx="1">
                  <c:v>19.943607403579602</c:v>
                </c:pt>
                <c:pt idx="2">
                  <c:v>29.76198354061744</c:v>
                </c:pt>
                <c:pt idx="3">
                  <c:v>39.342380536091405</c:v>
                </c:pt>
                <c:pt idx="4">
                  <c:v>48.65034468115244</c:v>
                </c:pt>
                <c:pt idx="5">
                  <c:v>57.693143792728847</c:v>
                </c:pt>
                <c:pt idx="6">
                  <c:v>66.49351340148327</c:v>
                </c:pt>
                <c:pt idx="7">
                  <c:v>75.077492898362266</c:v>
                </c:pt>
                <c:pt idx="8">
                  <c:v>83.469784716418218</c:v>
                </c:pt>
                <c:pt idx="9">
                  <c:v>91.692301259484651</c:v>
                </c:pt>
                <c:pt idx="10">
                  <c:v>99.763960192975091</c:v>
                </c:pt>
                <c:pt idx="11">
                  <c:v>107.70092695410678</c:v>
                </c:pt>
                <c:pt idx="12">
                  <c:v>115.51698329249261</c:v>
                </c:pt>
                <c:pt idx="13">
                  <c:v>123.22389832733194</c:v>
                </c:pt>
                <c:pt idx="14">
                  <c:v>130.83175948672312</c:v>
                </c:pt>
                <c:pt idx="15">
                  <c:v>138.34925321145454</c:v>
                </c:pt>
                <c:pt idx="16">
                  <c:v>145.7838976872894</c:v>
                </c:pt>
                <c:pt idx="17">
                  <c:v>153.14223390260432</c:v>
                </c:pt>
                <c:pt idx="18">
                  <c:v>160.4299819930861</c:v>
                </c:pt>
                <c:pt idx="19">
                  <c:v>167.65216924491807</c:v>
                </c:pt>
                <c:pt idx="20">
                  <c:v>174.8132351677971</c:v>
                </c:pt>
                <c:pt idx="21">
                  <c:v>181.91711807450289</c:v>
                </c:pt>
                <c:pt idx="22">
                  <c:v>188.96732674177534</c:v>
                </c:pt>
                <c:pt idx="23">
                  <c:v>195.96700000924588</c:v>
                </c:pt>
                <c:pt idx="24">
                  <c:v>202.91895659256247</c:v>
                </c:pt>
                <c:pt idx="25">
                  <c:v>209.82573692441005</c:v>
                </c:pt>
                <c:pt idx="26">
                  <c:v>216.68963847149726</c:v>
                </c:pt>
                <c:pt idx="27">
                  <c:v>223.51274568727791</c:v>
                </c:pt>
                <c:pt idx="28">
                  <c:v>230.29695553284594</c:v>
                </c:pt>
                <c:pt idx="29">
                  <c:v>237.04399931886562</c:v>
                </c:pt>
                <c:pt idx="30">
                  <c:v>243.75546147914227</c:v>
                </c:pt>
                <c:pt idx="31">
                  <c:v>250.43279577333564</c:v>
                </c:pt>
                <c:pt idx="32">
                  <c:v>257.07733932603912</c:v>
                </c:pt>
                <c:pt idx="33">
                  <c:v>263.69032483707826</c:v>
                </c:pt>
                <c:pt idx="34">
                  <c:v>270.27289123961106</c:v>
                </c:pt>
                <c:pt idx="35">
                  <c:v>276.82609303549077</c:v>
                </c:pt>
                <c:pt idx="36">
                  <c:v>283.3509084990697</c:v>
                </c:pt>
                <c:pt idx="37">
                  <c:v>289.84824690939593</c:v>
                </c:pt>
                <c:pt idx="38">
                  <c:v>296.31895494515879</c:v>
                </c:pt>
                <c:pt idx="39">
                  <c:v>302.76382235568667</c:v>
                </c:pt>
                <c:pt idx="40">
                  <c:v>309.18358700390155</c:v>
                </c:pt>
                <c:pt idx="41">
                  <c:v>315.57893936270199</c:v>
                </c:pt>
                <c:pt idx="42">
                  <c:v>321.95052653423022</c:v>
                </c:pt>
                <c:pt idx="43">
                  <c:v>328.29895585143157</c:v>
                </c:pt>
                <c:pt idx="44">
                  <c:v>334.62479811289057</c:v>
                </c:pt>
                <c:pt idx="45">
                  <c:v>340.928590494829</c:v>
                </c:pt>
                <c:pt idx="46">
                  <c:v>347.21083917816321</c:v>
                </c:pt>
                <c:pt idx="47">
                  <c:v>353.47202172343441</c:v>
                </c:pt>
                <c:pt idx="48">
                  <c:v>359.71258922211047</c:v>
                </c:pt>
                <c:pt idx="49">
                  <c:v>365.93296824907293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39A-4C5D-A0BE-E4B01673E040}"/>
            </c:ext>
          </c:extLst>
        </c:ser>
        <c:ser>
          <c:idx val="12"/>
          <c:order val="12"/>
          <c:tx>
            <c:strRef>
              <c:f>Rho!$B$15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Rho!$C$15:$AZ$15</c:f>
              <c:numCache>
                <c:formatCode>General</c:formatCode>
                <c:ptCount val="50"/>
                <c:pt idx="0">
                  <c:v>9.9900049613135682</c:v>
                </c:pt>
                <c:pt idx="1">
                  <c:v>19.959626211406121</c:v>
                </c:pt>
                <c:pt idx="2">
                  <c:v>29.898313191089134</c:v>
                </c:pt>
                <c:pt idx="3">
                  <c:v>39.769324894937874</c:v>
                </c:pt>
                <c:pt idx="4">
                  <c:v>49.527868282183348</c:v>
                </c:pt>
                <c:pt idx="5">
                  <c:v>59.142047882605844</c:v>
                </c:pt>
                <c:pt idx="6">
                  <c:v>68.595842929360387</c:v>
                </c:pt>
                <c:pt idx="7">
                  <c:v>77.884877360331075</c:v>
                </c:pt>
                <c:pt idx="8">
                  <c:v>87.011875244291346</c:v>
                </c:pt>
                <c:pt idx="9">
                  <c:v>95.983419426964204</c:v>
                </c:pt>
                <c:pt idx="10">
                  <c:v>104.8079249837991</c:v>
                </c:pt>
                <c:pt idx="11">
                  <c:v>113.49445000422928</c:v>
                </c:pt>
                <c:pt idx="12">
                  <c:v>122.05202916045715</c:v>
                </c:pt>
                <c:pt idx="13">
                  <c:v>130.48931999199021</c:v>
                </c:pt>
                <c:pt idx="14">
                  <c:v>138.81443186796324</c:v>
                </c:pt>
                <c:pt idx="15">
                  <c:v>147.03485959189177</c:v>
                </c:pt>
                <c:pt idx="16">
                  <c:v>155.15747546725433</c:v>
                </c:pt>
                <c:pt idx="17">
                  <c:v>163.1885527068724</c:v>
                </c:pt>
                <c:pt idx="18">
                  <c:v>171.13380438333465</c:v>
                </c:pt>
                <c:pt idx="19">
                  <c:v>178.99842881670318</c:v>
                </c:pt>
                <c:pt idx="20">
                  <c:v>186.78715625985623</c:v>
                </c:pt>
                <c:pt idx="21">
                  <c:v>194.50429408419612</c:v>
                </c:pt>
                <c:pt idx="22">
                  <c:v>202.15376904636801</c:v>
                </c:pt>
                <c:pt idx="23">
                  <c:v>209.73916601922721</c:v>
                </c:pt>
                <c:pt idx="24">
                  <c:v>217.26376302903927</c:v>
                </c:pt>
                <c:pt idx="25">
                  <c:v>224.73056269424802</c:v>
                </c:pt>
                <c:pt idx="26">
                  <c:v>232.14232029231573</c:v>
                </c:pt>
                <c:pt idx="27">
                  <c:v>239.5015687403415</c:v>
                </c:pt>
                <c:pt idx="28">
                  <c:v>246.81064079274051</c:v>
                </c:pt>
                <c:pt idx="29">
                  <c:v>254.07168875355401</c:v>
                </c:pt>
                <c:pt idx="30">
                  <c:v>261.28670198297237</c:v>
                </c:pt>
                <c:pt idx="31">
                  <c:v>268.45752245395101</c:v>
                </c:pt>
                <c:pt idx="32">
                  <c:v>275.58585858921401</c:v>
                </c:pt>
                <c:pt idx="33">
                  <c:v>282.67329758364542</c:v>
                </c:pt>
                <c:pt idx="34">
                  <c:v>289.72131639321873</c:v>
                </c:pt>
                <c:pt idx="35">
                  <c:v>296.73129154977681</c:v>
                </c:pt>
                <c:pt idx="36">
                  <c:v>303.70450794133433</c:v>
                </c:pt>
                <c:pt idx="37">
                  <c:v>310.64216668013319</c:v>
                </c:pt>
                <c:pt idx="38">
                  <c:v>317.54539216531737</c:v>
                </c:pt>
                <c:pt idx="39">
                  <c:v>324.41523843363723</c:v>
                </c:pt>
                <c:pt idx="40">
                  <c:v>331.25269487984775</c:v>
                </c:pt>
                <c:pt idx="41">
                  <c:v>338.05869141824218</c:v>
                </c:pt>
                <c:pt idx="42">
                  <c:v>344.83410314787307</c:v>
                </c:pt>
                <c:pt idx="43">
                  <c:v>351.57975457628885</c:v>
                </c:pt>
                <c:pt idx="44">
                  <c:v>358.29642344990708</c:v>
                </c:pt>
                <c:pt idx="45">
                  <c:v>364.98484423331274</c:v>
                </c:pt>
                <c:pt idx="46">
                  <c:v>371.64571127470248</c:v>
                </c:pt>
                <c:pt idx="47">
                  <c:v>378.2796816902819</c:v>
                </c:pt>
                <c:pt idx="48">
                  <c:v>384.88737799658065</c:v>
                </c:pt>
                <c:pt idx="49">
                  <c:v>391.4693905162963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39A-4C5D-A0BE-E4B01673E040}"/>
            </c:ext>
          </c:extLst>
        </c:ser>
        <c:ser>
          <c:idx val="13"/>
          <c:order val="13"/>
          <c:tx>
            <c:strRef>
              <c:f>Rho!$B$16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Rho!$C$16:$AZ$16</c:f>
              <c:numCache>
                <c:formatCode>General</c:formatCode>
                <c:ptCount val="50"/>
                <c:pt idx="0">
                  <c:v>9.9900049983261354</c:v>
                </c:pt>
                <c:pt idx="1">
                  <c:v>19.960034597449699</c:v>
                </c:pt>
                <c:pt idx="2">
                  <c:v>29.909520753459066</c:v>
                </c:pt>
                <c:pt idx="3">
                  <c:v>39.832927362661074</c:v>
                </c:pt>
                <c:pt idx="4">
                  <c:v>49.715365396356191</c:v>
                </c:pt>
                <c:pt idx="5">
                  <c:v>59.536529236320234</c:v>
                </c:pt>
                <c:pt idx="6">
                  <c:v>69.277091810376731</c:v>
                </c:pt>
                <c:pt idx="7">
                  <c:v>78.922100210084167</c:v>
                </c:pt>
                <c:pt idx="8">
                  <c:v>88.46161416674056</c:v>
                </c:pt>
                <c:pt idx="9">
                  <c:v>97.890054170176697</c:v>
                </c:pt>
                <c:pt idx="10">
                  <c:v>107.20519793282695</c:v>
                </c:pt>
                <c:pt idx="11">
                  <c:v>116.40723237865194</c:v>
                </c:pt>
                <c:pt idx="12">
                  <c:v>125.49798718037577</c:v>
                </c:pt>
                <c:pt idx="13">
                  <c:v>134.480358692523</c:v>
                </c:pt>
                <c:pt idx="14">
                  <c:v>143.35789428027172</c:v>
                </c:pt>
                <c:pt idx="15">
                  <c:v>152.13450021331076</c:v>
                </c:pt>
                <c:pt idx="16">
                  <c:v>160.81424057510438</c:v>
                </c:pt>
                <c:pt idx="17">
                  <c:v>169.40120155448972</c:v>
                </c:pt>
                <c:pt idx="18">
                  <c:v>177.89940199420136</c:v>
                </c:pt>
                <c:pt idx="19">
                  <c:v>186.31273632495481</c:v>
                </c:pt>
                <c:pt idx="20">
                  <c:v>194.64493998089617</c:v>
                </c:pt>
                <c:pt idx="21">
                  <c:v>202.89957028784823</c:v>
                </c:pt>
                <c:pt idx="22">
                  <c:v>211.07999789126612</c:v>
                </c:pt>
                <c:pt idx="23">
                  <c:v>219.18940526400118</c:v>
                </c:pt>
                <c:pt idx="24">
                  <c:v>227.23078987440402</c:v>
                </c:pt>
                <c:pt idx="25">
                  <c:v>235.20697032837697</c:v>
                </c:pt>
                <c:pt idx="26">
                  <c:v>243.12059431505554</c:v>
                </c:pt>
                <c:pt idx="27">
                  <c:v>250.97414754901831</c:v>
                </c:pt>
                <c:pt idx="28">
                  <c:v>258.76996315752956</c:v>
                </c:pt>
                <c:pt idx="29">
                  <c:v>266.51023114110524</c:v>
                </c:pt>
                <c:pt idx="30">
                  <c:v>274.19700766198787</c:v>
                </c:pt>
                <c:pt idx="31">
                  <c:v>281.83222400361853</c:v>
                </c:pt>
                <c:pt idx="32">
                  <c:v>289.41769510595344</c:v>
                </c:pt>
                <c:pt idx="33">
                  <c:v>296.95512762429644</c:v>
                </c:pt>
                <c:pt idx="34">
                  <c:v>304.44612748871583</c:v>
                </c:pt>
                <c:pt idx="35">
                  <c:v>311.89220696101336</c:v>
                </c:pt>
                <c:pt idx="36">
                  <c:v>319.29479119937855</c:v>
                </c:pt>
                <c:pt idx="37">
                  <c:v>326.65522434929477</c:v>
                </c:pt>
                <c:pt idx="38">
                  <c:v>333.9747751843617</c:v>
                </c:pt>
                <c:pt idx="39">
                  <c:v>341.25464232347827</c:v>
                </c:pt>
                <c:pt idx="40">
                  <c:v>348.49595905201443</c:v>
                </c:pt>
                <c:pt idx="41">
                  <c:v>355.69979777469274</c:v>
                </c:pt>
                <c:pt idx="42">
                  <c:v>362.86717412727745</c:v>
                </c:pt>
                <c:pt idx="43">
                  <c:v>369.99905077308472</c:v>
                </c:pt>
                <c:pt idx="44">
                  <c:v>377.09634090896373</c:v>
                </c:pt>
                <c:pt idx="45">
                  <c:v>384.1599115038884</c:v>
                </c:pt>
                <c:pt idx="46">
                  <c:v>391.19058629172673</c:v>
                </c:pt>
                <c:pt idx="47">
                  <c:v>398.18914853817938</c:v>
                </c:pt>
                <c:pt idx="48">
                  <c:v>405.15634360035017</c:v>
                </c:pt>
                <c:pt idx="49">
                  <c:v>412.0928812959383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39A-4C5D-A0BE-E4B01673E040}"/>
            </c:ext>
          </c:extLst>
        </c:ser>
        <c:ser>
          <c:idx val="14"/>
          <c:order val="14"/>
          <c:tx>
            <c:strRef>
              <c:f>Rho!$B$17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Rho!$C$17:$AZ$17</c:f>
              <c:numCache>
                <c:formatCode>General</c:formatCode>
                <c:ptCount val="50"/>
                <c:pt idx="0">
                  <c:v>9.9900049983337507</c:v>
                </c:pt>
                <c:pt idx="1">
                  <c:v>19.960039934571281</c:v>
                </c:pt>
                <c:pt idx="2">
                  <c:v>29.9101131230621</c:v>
                </c:pt>
                <c:pt idx="3">
                  <c:v>39.839738796252952</c:v>
                </c:pt>
                <c:pt idx="4">
                  <c:v>49.746149929550427</c:v>
                </c:pt>
                <c:pt idx="5">
                  <c:v>59.62280065616843</c:v>
                </c:pt>
                <c:pt idx="6">
                  <c:v>69.46011400519069</c:v>
                </c:pt>
                <c:pt idx="7">
                  <c:v>79.247439679380363</c:v>
                </c:pt>
                <c:pt idx="8">
                  <c:v>88.974743056024764</c:v>
                </c:pt>
                <c:pt idx="9">
                  <c:v>98.633554504316649</c:v>
                </c:pt>
                <c:pt idx="10">
                  <c:v>108.21730125118323</c:v>
                </c:pt>
                <c:pt idx="11">
                  <c:v>117.72126744711964</c:v>
                </c:pt>
                <c:pt idx="12">
                  <c:v>127.14237633409796</c:v>
                </c:pt>
                <c:pt idx="13">
                  <c:v>136.47891281773553</c:v>
                </c:pt>
                <c:pt idx="14">
                  <c:v>145.73024832862447</c:v>
                </c:pt>
                <c:pt idx="15">
                  <c:v>154.89659554219622</c:v>
                </c:pt>
                <c:pt idx="16">
                  <c:v>163.97880190741543</c:v>
                </c:pt>
                <c:pt idx="17">
                  <c:v>172.97818178160512</c:v>
                </c:pt>
                <c:pt idx="18">
                  <c:v>181.89638303856756</c:v>
                </c:pt>
                <c:pt idx="19">
                  <c:v>190.73528277688422</c:v>
                </c:pt>
                <c:pt idx="20">
                  <c:v>199.49690679660884</c:v>
                </c:pt>
                <c:pt idx="21">
                  <c:v>208.18336809180934</c:v>
                </c:pt>
                <c:pt idx="22">
                  <c:v>216.79682035035285</c:v>
                </c:pt>
                <c:pt idx="23">
                  <c:v>225.33942318630289</c:v>
                </c:pt>
                <c:pt idx="24">
                  <c:v>233.81331648222823</c:v>
                </c:pt>
                <c:pt idx="25">
                  <c:v>242.22060176730145</c:v>
                </c:pt>
                <c:pt idx="26">
                  <c:v>250.56332900445381</c:v>
                </c:pt>
                <c:pt idx="27">
                  <c:v>258.843487517771</c:v>
                </c:pt>
                <c:pt idx="28">
                  <c:v>267.06300007417781</c:v>
                </c:pt>
                <c:pt idx="29">
                  <c:v>275.2237193552665</c:v>
                </c:pt>
                <c:pt idx="30">
                  <c:v>283.32742622819154</c:v>
                </c:pt>
                <c:pt idx="31">
                  <c:v>291.3758293591614</c:v>
                </c:pt>
                <c:pt idx="32">
                  <c:v>299.37056581757048</c:v>
                </c:pt>
                <c:pt idx="33">
                  <c:v>307.31320239986786</c:v>
                </c:pt>
                <c:pt idx="34">
                  <c:v>315.20523746509099</c:v>
                </c:pt>
                <c:pt idx="35">
                  <c:v>323.04810312268842</c:v>
                </c:pt>
                <c:pt idx="36">
                  <c:v>330.84316765099356</c:v>
                </c:pt>
                <c:pt idx="37">
                  <c:v>338.59173805395221</c:v>
                </c:pt>
                <c:pt idx="38">
                  <c:v>346.29506268636118</c:v>
                </c:pt>
                <c:pt idx="39">
                  <c:v>353.95433389541921</c:v>
                </c:pt>
                <c:pt idx="40">
                  <c:v>361.57069063996221</c:v>
                </c:pt>
                <c:pt idx="41">
                  <c:v>369.1452210592438</c:v>
                </c:pt>
                <c:pt idx="42">
                  <c:v>376.67896497120944</c:v>
                </c:pt>
                <c:pt idx="43">
                  <c:v>384.17291628643591</c:v>
                </c:pt>
                <c:pt idx="44">
                  <c:v>391.6280253286709</c:v>
                </c:pt>
                <c:pt idx="45">
                  <c:v>399.04520105654916</c:v>
                </c:pt>
                <c:pt idx="46">
                  <c:v>406.42531318380895</c:v>
                </c:pt>
                <c:pt idx="47">
                  <c:v>413.7691941974054</c:v>
                </c:pt>
                <c:pt idx="48">
                  <c:v>421.07764127444881</c:v>
                </c:pt>
                <c:pt idx="49">
                  <c:v>428.35141810001801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39A-4C5D-A0BE-E4B01673E040}"/>
            </c:ext>
          </c:extLst>
        </c:ser>
        <c:ser>
          <c:idx val="15"/>
          <c:order val="15"/>
          <c:tx>
            <c:strRef>
              <c:f>Rho!$B$18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Rho!$C$18:$AZ$18</c:f>
              <c:numCache>
                <c:formatCode>General</c:formatCode>
                <c:ptCount val="50"/>
                <c:pt idx="0">
                  <c:v>9.9900049983337507</c:v>
                </c:pt>
                <c:pt idx="1">
                  <c:v>19.960039973180685</c:v>
                </c:pt>
                <c:pt idx="2">
                  <c:v>29.910134317755116</c:v>
                </c:pt>
                <c:pt idx="3">
                  <c:v>39.840284075736406</c:v>
                </c:pt>
                <c:pt idx="4">
                  <c:v>49.750157959169577</c:v>
                </c:pt>
                <c:pt idx="5">
                  <c:v>59.638360220830648</c:v>
                </c:pt>
                <c:pt idx="6">
                  <c:v>69.50181337283162</c:v>
                </c:pt>
                <c:pt idx="7">
                  <c:v>79.335812906789954</c:v>
                </c:pt>
                <c:pt idx="8">
                  <c:v>89.134605998743837</c:v>
                </c:pt>
                <c:pt idx="9">
                  <c:v>98.892095075464468</c:v>
                </c:pt>
                <c:pt idx="10">
                  <c:v>108.60241265305523</c:v>
                </c:pt>
                <c:pt idx="11">
                  <c:v>118.26029281472681</c:v>
                </c:pt>
                <c:pt idx="12">
                  <c:v>127.86126040227073</c:v>
                </c:pt>
                <c:pt idx="13">
                  <c:v>137.40168860108676</c:v>
                </c:pt>
                <c:pt idx="14">
                  <c:v>146.87877380429489</c:v>
                </c:pt>
                <c:pt idx="15">
                  <c:v>156.29046494839491</c:v>
                </c:pt>
                <c:pt idx="16">
                  <c:v>165.63537237118749</c:v>
                </c:pt>
                <c:pt idx="17">
                  <c:v>174.91267166721966</c:v>
                </c:pt>
                <c:pt idx="18">
                  <c:v>184.12201133274453</c:v>
                </c:pt>
                <c:pt idx="19">
                  <c:v>193.26342865983207</c:v>
                </c:pt>
                <c:pt idx="20">
                  <c:v>202.33727568624585</c:v>
                </c:pt>
                <c:pt idx="21">
                  <c:v>211.34415547224782</c:v>
                </c:pt>
                <c:pt idx="22">
                  <c:v>220.28486814913882</c:v>
                </c:pt>
                <c:pt idx="23">
                  <c:v>229.1603657906625</c:v>
                </c:pt>
                <c:pt idx="24">
                  <c:v>237.97171501843155</c:v>
                </c:pt>
                <c:pt idx="25">
                  <c:v>246.72006625407823</c:v>
                </c:pt>
                <c:pt idx="26">
                  <c:v>255.40662860547243</c:v>
                </c:pt>
                <c:pt idx="27">
                  <c:v>264.03264948156618</c:v>
                </c:pt>
                <c:pt idx="28">
                  <c:v>272.59939814704433</c:v>
                </c:pt>
                <c:pt idx="29">
                  <c:v>281.10815254143625</c:v>
                </c:pt>
                <c:pt idx="30">
                  <c:v>289.56018879144011</c:v>
                </c:pt>
                <c:pt idx="31">
                  <c:v>297.95677293738339</c:v>
                </c:pt>
                <c:pt idx="32">
                  <c:v>306.29915447451936</c:v>
                </c:pt>
                <c:pt idx="33">
                  <c:v>314.58856137783846</c:v>
                </c:pt>
                <c:pt idx="34">
                  <c:v>322.8261963363891</c:v>
                </c:pt>
                <c:pt idx="35">
                  <c:v>331.01323397105392</c:v>
                </c:pt>
                <c:pt idx="36">
                  <c:v>339.1508188496349</c:v>
                </c:pt>
                <c:pt idx="37">
                  <c:v>347.24006414618191</c:v>
                </c:pt>
                <c:pt idx="38">
                  <c:v>355.28205081884573</c:v>
                </c:pt>
                <c:pt idx="39">
                  <c:v>363.27782720310546</c:v>
                </c:pt>
                <c:pt idx="40">
                  <c:v>371.22840893581429</c:v>
                </c:pt>
                <c:pt idx="41">
                  <c:v>379.13477914081972</c:v>
                </c:pt>
                <c:pt idx="42">
                  <c:v>386.99788881951292</c:v>
                </c:pt>
                <c:pt idx="43">
                  <c:v>394.81865740002831</c:v>
                </c:pt>
                <c:pt idx="44">
                  <c:v>402.59797340733911</c:v>
                </c:pt>
                <c:pt idx="45">
                  <c:v>410.33669522350522</c:v>
                </c:pt>
                <c:pt idx="46">
                  <c:v>418.03565191309798</c:v>
                </c:pt>
                <c:pt idx="47">
                  <c:v>425.69564409356559</c:v>
                </c:pt>
                <c:pt idx="48">
                  <c:v>433.31744483420289</c:v>
                </c:pt>
                <c:pt idx="49">
                  <c:v>440.9018005705932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39A-4C5D-A0BE-E4B01673E040}"/>
            </c:ext>
          </c:extLst>
        </c:ser>
        <c:ser>
          <c:idx val="16"/>
          <c:order val="16"/>
          <c:tx>
            <c:strRef>
              <c:f>Rho!$B$19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Rho!$C$19:$AZ$19</c:f>
              <c:numCache>
                <c:formatCode>General</c:formatCode>
                <c:ptCount val="50"/>
                <c:pt idx="0">
                  <c:v>9.9900049983337507</c:v>
                </c:pt>
                <c:pt idx="1">
                  <c:v>19.960039973346216</c:v>
                </c:pt>
                <c:pt idx="2">
                  <c:v>29.910134854920656</c:v>
                </c:pt>
                <c:pt idx="3">
                  <c:v>39.840317838234114</c:v>
                </c:pt>
                <c:pt idx="4">
                  <c:v>49.750583249072633</c:v>
                </c:pt>
                <c:pt idx="5">
                  <c:v>59.640728082054494</c:v>
                </c:pt>
                <c:pt idx="6">
                  <c:v>69.510030433566868</c:v>
                </c:pt>
                <c:pt idx="7">
                  <c:v>79.356962372848685</c:v>
                </c:pt>
                <c:pt idx="8">
                  <c:v>89.179120674511395</c:v>
                </c:pt>
                <c:pt idx="9">
                  <c:v>98.973377492216599</c:v>
                </c:pt>
                <c:pt idx="10">
                  <c:v>108.73614755043158</c:v>
                </c:pt>
                <c:pt idx="11">
                  <c:v>118.46367048047372</c:v>
                </c:pt>
                <c:pt idx="12">
                  <c:v>128.15224911917079</c:v>
                </c:pt>
                <c:pt idx="13">
                  <c:v>137.79842271530339</c:v>
                </c:pt>
                <c:pt idx="14">
                  <c:v>147.39907659768198</c:v>
                </c:pt>
                <c:pt idx="15">
                  <c:v>156.95149965222538</c:v>
                </c:pt>
                <c:pt idx="16">
                  <c:v>166.45340320104805</c:v>
                </c:pt>
                <c:pt idx="17">
                  <c:v>175.90291358445975</c:v>
                </c:pt>
                <c:pt idx="18">
                  <c:v>185.29854824722784</c:v>
                </c:pt>
                <c:pt idx="19">
                  <c:v>194.63918255910062</c:v>
                </c:pt>
                <c:pt idx="20">
                  <c:v>203.92401240801641</c:v>
                </c:pt>
                <c:pt idx="21">
                  <c:v>213.15251590366563</c:v>
                </c:pt>
                <c:pt idx="22">
                  <c:v>222.32441628354246</c:v>
                </c:pt>
                <c:pt idx="23">
                  <c:v>231.43964723887424</c:v>
                </c:pt>
                <c:pt idx="24">
                  <c:v>240.49832128467136</c:v>
                </c:pt>
                <c:pt idx="25">
                  <c:v>249.50070140959323</c:v>
                </c:pt>
                <c:pt idx="26">
                  <c:v>258.44717599676341</c:v>
                </c:pt>
                <c:pt idx="27">
                  <c:v>267.33823686086112</c:v>
                </c:pt>
                <c:pt idx="28">
                  <c:v>276.17446016713512</c:v>
                </c:pt>
                <c:pt idx="29">
                  <c:v>284.95648996149049</c:v>
                </c:pt>
                <c:pt idx="30">
                  <c:v>293.68502403165076</c:v>
                </c:pt>
                <c:pt idx="31">
                  <c:v>302.36080182686925</c:v>
                </c:pt>
                <c:pt idx="32">
                  <c:v>310.98459418060128</c:v>
                </c:pt>
                <c:pt idx="33">
                  <c:v>319.55719460228505</c:v>
                </c:pt>
                <c:pt idx="34">
                  <c:v>328.07941192792595</c:v>
                </c:pt>
                <c:pt idx="35">
                  <c:v>336.55206414270913</c:v>
                </c:pt>
                <c:pt idx="36">
                  <c:v>344.97597321128177</c:v>
                </c:pt>
                <c:pt idx="37">
                  <c:v>353.35196077208514</c:v>
                </c:pt>
                <c:pt idx="38">
                  <c:v>361.68084457090015</c:v>
                </c:pt>
                <c:pt idx="39">
                  <c:v>369.9634355255414</c:v>
                </c:pt>
                <c:pt idx="40">
                  <c:v>378.20053532845185</c:v>
                </c:pt>
                <c:pt idx="41">
                  <c:v>386.39293450693356</c:v>
                </c:pt>
                <c:pt idx="42">
                  <c:v>394.54141087206159</c:v>
                </c:pt>
                <c:pt idx="43">
                  <c:v>402.64672829713663</c:v>
                </c:pt>
                <c:pt idx="44">
                  <c:v>410.70963577500794</c:v>
                </c:pt>
                <c:pt idx="45">
                  <c:v>418.73086671090476</c:v>
                </c:pt>
                <c:pt idx="46">
                  <c:v>426.71113841369765</c:v>
                </c:pt>
                <c:pt idx="47">
                  <c:v>434.65115175390474</c:v>
                </c:pt>
                <c:pt idx="48">
                  <c:v>442.55159096139226</c:v>
                </c:pt>
                <c:pt idx="49">
                  <c:v>450.41312353967965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39A-4C5D-A0BE-E4B01673E04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41858160"/>
        <c:axId val="941860080"/>
        <c:axId val="936867296"/>
      </c:surface3DChart>
      <c:catAx>
        <c:axId val="941858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60080"/>
        <c:crosses val="autoZero"/>
        <c:auto val="1"/>
        <c:lblAlgn val="ctr"/>
        <c:lblOffset val="100"/>
        <c:noMultiLvlLbl val="0"/>
      </c:catAx>
      <c:valAx>
        <c:axId val="94186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58160"/>
        <c:crosses val="autoZero"/>
        <c:crossBetween val="midCat"/>
      </c:valAx>
      <c:serAx>
        <c:axId val="9368672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6008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Rho, vol=20%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54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Rho!$B$24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Rho!$C$24:$AZ$24</c:f>
              <c:numCache>
                <c:formatCode>General</c:formatCode>
                <c:ptCount val="50"/>
                <c:pt idx="0">
                  <c:v>2.9155373317769574E-15</c:v>
                </c:pt>
                <c:pt idx="1">
                  <c:v>9.814499677392361E-8</c:v>
                </c:pt>
                <c:pt idx="2">
                  <c:v>4.0745379654173805E-5</c:v>
                </c:pt>
                <c:pt idx="3">
                  <c:v>9.3629247971002433E-4</c:v>
                </c:pt>
                <c:pt idx="4">
                  <c:v>6.5886799235162358E-3</c:v>
                </c:pt>
                <c:pt idx="5">
                  <c:v>2.5336754690401933E-2</c:v>
                </c:pt>
                <c:pt idx="6">
                  <c:v>6.8496313647903914E-2</c:v>
                </c:pt>
                <c:pt idx="7">
                  <c:v>0.14792299832123143</c:v>
                </c:pt>
                <c:pt idx="8">
                  <c:v>0.27423139001812402</c:v>
                </c:pt>
                <c:pt idx="9">
                  <c:v>0.45595912570109315</c:v>
                </c:pt>
                <c:pt idx="10">
                  <c:v>0.69939887226545272</c:v>
                </c:pt>
                <c:pt idx="11">
                  <c:v>1.0087824315352159</c:v>
                </c:pt>
                <c:pt idx="12">
                  <c:v>1.3866044634997214</c:v>
                </c:pt>
                <c:pt idx="13">
                  <c:v>1.8339701091103287</c:v>
                </c:pt>
                <c:pt idx="14">
                  <c:v>2.3509130878638138</c:v>
                </c:pt>
                <c:pt idx="15">
                  <c:v>2.9366650634722555</c:v>
                </c:pt>
                <c:pt idx="16">
                  <c:v>3.5898738827278036</c:v>
                </c:pt>
                <c:pt idx="17">
                  <c:v>4.3087755407227988</c:v>
                </c:pt>
                <c:pt idx="18">
                  <c:v>5.0913271269724083</c:v>
                </c:pt>
                <c:pt idx="19">
                  <c:v>5.9353081456012875</c:v>
                </c:pt>
                <c:pt idx="20">
                  <c:v>6.8383968104267918</c:v>
                </c:pt>
                <c:pt idx="21">
                  <c:v>7.7982268414141789</c:v>
                </c:pt>
                <c:pt idx="22">
                  <c:v>8.812429226081429</c:v>
                </c:pt>
                <c:pt idx="23">
                  <c:v>9.8786624738498556</c:v>
                </c:pt>
                <c:pt idx="24">
                  <c:v>10.994634114355723</c:v>
                </c:pt>
                <c:pt idx="25">
                  <c:v>12.158115566326206</c:v>
                </c:pt>
                <c:pt idx="26">
                  <c:v>13.366952011649122</c:v>
                </c:pt>
                <c:pt idx="27">
                  <c:v>14.619068526368022</c:v>
                </c:pt>
                <c:pt idx="28">
                  <c:v>15.912473424609976</c:v>
                </c:pt>
                <c:pt idx="29">
                  <c:v>17.245259544138371</c:v>
                </c:pt>
                <c:pt idx="30">
                  <c:v>18.615604027989718</c:v>
                </c:pt>
                <c:pt idx="31">
                  <c:v>20.021767023319956</c:v>
                </c:pt>
                <c:pt idx="32">
                  <c:v>21.46208961663482</c:v>
                </c:pt>
                <c:pt idx="33">
                  <c:v>22.934991246651169</c:v>
                </c:pt>
                <c:pt idx="34">
                  <c:v>24.438966776477276</c:v>
                </c:pt>
                <c:pt idx="35">
                  <c:v>25.972583361284826</c:v>
                </c:pt>
                <c:pt idx="36">
                  <c:v>27.53447721286674</c:v>
                </c:pt>
                <c:pt idx="37">
                  <c:v>29.123350335915344</c:v>
                </c:pt>
                <c:pt idx="38">
                  <c:v>30.73796729058547</c:v>
                </c:pt>
                <c:pt idx="39">
                  <c:v>32.377152020462432</c:v>
                </c:pt>
                <c:pt idx="40">
                  <c:v>34.039784773308142</c:v>
                </c:pt>
                <c:pt idx="41">
                  <c:v>35.724799133053466</c:v>
                </c:pt>
                <c:pt idx="42">
                  <c:v>37.431179174779366</c:v>
                </c:pt>
                <c:pt idx="43">
                  <c:v>39.157956749381754</c:v>
                </c:pt>
                <c:pt idx="44">
                  <c:v>40.904208900851842</c:v>
                </c:pt>
                <c:pt idx="45">
                  <c:v>42.669055416331112</c:v>
                </c:pt>
                <c:pt idx="46">
                  <c:v>44.451656507082653</c:v>
                </c:pt>
                <c:pt idx="47">
                  <c:v>46.251210617084467</c:v>
                </c:pt>
                <c:pt idx="48">
                  <c:v>48.066952354956179</c:v>
                </c:pt>
                <c:pt idx="49">
                  <c:v>49.898150544272617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CA-4454-BDF1-7FC94638062D}"/>
            </c:ext>
          </c:extLst>
        </c:ser>
        <c:ser>
          <c:idx val="1"/>
          <c:order val="1"/>
          <c:tx>
            <c:strRef>
              <c:f>Rho!$B$25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Rho!$C$25:$AZ$25</c:f>
              <c:numCache>
                <c:formatCode>General</c:formatCode>
                <c:ptCount val="50"/>
                <c:pt idx="0">
                  <c:v>4.3284662987202277E-11</c:v>
                </c:pt>
                <c:pt idx="1">
                  <c:v>1.3045620291245923E-5</c:v>
                </c:pt>
                <c:pt idx="2">
                  <c:v>1.1214508890306956E-3</c:v>
                </c:pt>
                <c:pt idx="3">
                  <c:v>1.17056753256443E-2</c:v>
                </c:pt>
                <c:pt idx="4">
                  <c:v>5.124182147004356E-2</c:v>
                </c:pt>
                <c:pt idx="5">
                  <c:v>0.1434674536858371</c:v>
                </c:pt>
                <c:pt idx="6">
                  <c:v>0.30898154554743779</c:v>
                </c:pt>
                <c:pt idx="7">
                  <c:v>0.56236751489784886</c:v>
                </c:pt>
                <c:pt idx="8">
                  <c:v>0.9123152567874232</c:v>
                </c:pt>
                <c:pt idx="9">
                  <c:v>1.3628210187071792</c:v>
                </c:pt>
                <c:pt idx="10">
                  <c:v>1.9145027101937826</c:v>
                </c:pt>
                <c:pt idx="11">
                  <c:v>2.5656986373751431</c:v>
                </c:pt>
                <c:pt idx="12">
                  <c:v>3.3132920170041014</c:v>
                </c:pt>
                <c:pt idx="13">
                  <c:v>4.1532969241285462</c:v>
                </c:pt>
                <c:pt idx="14">
                  <c:v>5.0812612347879424</c:v>
                </c:pt>
                <c:pt idx="15">
                  <c:v>6.092537079807343</c:v>
                </c:pt>
                <c:pt idx="16">
                  <c:v>7.1824582640566783</c:v>
                </c:pt>
                <c:pt idx="17">
                  <c:v>8.3464535103583923</c:v>
                </c:pt>
                <c:pt idx="18">
                  <c:v>9.5801159590094702</c:v>
                </c:pt>
                <c:pt idx="19">
                  <c:v>10.87924313868019</c:v>
                </c:pt>
                <c:pt idx="20">
                  <c:v>12.239857206089146</c:v>
                </c:pt>
                <c:pt idx="21">
                  <c:v>13.658212169295858</c:v>
                </c:pt>
                <c:pt idx="22">
                  <c:v>15.130792679364992</c:v>
                </c:pt>
                <c:pt idx="23">
                  <c:v>16.654307509990229</c:v>
                </c:pt>
                <c:pt idx="24">
                  <c:v>18.225679838771018</c:v>
                </c:pt>
                <c:pt idx="25">
                  <c:v>19.842035753641614</c:v>
                </c:pt>
                <c:pt idx="26">
                  <c:v>21.500691934441555</c:v>
                </c:pt>
                <c:pt idx="27">
                  <c:v>23.199143134884423</c:v>
                </c:pt>
                <c:pt idx="28">
                  <c:v>24.935049867737622</c:v>
                </c:pt>
                <c:pt idx="29">
                  <c:v>26.706226544028677</c:v>
                </c:pt>
                <c:pt idx="30">
                  <c:v>28.51063021369319</c:v>
                </c:pt>
                <c:pt idx="31">
                  <c:v>30.346349985246217</c:v>
                </c:pt>
                <c:pt idx="32">
                  <c:v>32.211597155421607</c:v>
                </c:pt>
                <c:pt idx="33">
                  <c:v>34.104696049112768</c:v>
                </c:pt>
                <c:pt idx="34">
                  <c:v>36.024075550383714</c:v>
                </c:pt>
                <c:pt idx="35">
                  <c:v>37.968261293348284</c:v>
                </c:pt>
                <c:pt idx="36">
                  <c:v>39.935868474924106</c:v>
                </c:pt>
                <c:pt idx="37">
                  <c:v>41.925595248187328</c:v>
                </c:pt>
                <c:pt idx="38">
                  <c:v>43.936216654106509</c:v>
                </c:pt>
                <c:pt idx="39">
                  <c:v>45.966579050016698</c:v>
                </c:pt>
                <c:pt idx="40">
                  <c:v>48.015594994736851</c:v>
                </c:pt>
                <c:pt idx="41">
                  <c:v>50.082238552351534</c:v>
                </c:pt>
                <c:pt idx="42">
                  <c:v>52.165540979102438</c:v>
                </c:pt>
                <c:pt idx="43">
                  <c:v>54.26458676039227</c:v>
                </c:pt>
                <c:pt idx="44">
                  <c:v>56.378509967464879</c:v>
                </c:pt>
                <c:pt idx="45">
                  <c:v>58.50649090582538</c:v>
                </c:pt>
                <c:pt idx="46">
                  <c:v>60.647753029843891</c:v>
                </c:pt>
                <c:pt idx="47">
                  <c:v>62.801560100228379</c:v>
                </c:pt>
                <c:pt idx="48">
                  <c:v>64.967213563133981</c:v>
                </c:pt>
                <c:pt idx="49">
                  <c:v>67.144050131601475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CA-4454-BDF1-7FC94638062D}"/>
            </c:ext>
          </c:extLst>
        </c:ser>
        <c:ser>
          <c:idx val="2"/>
          <c:order val="2"/>
          <c:tx>
            <c:strRef>
              <c:f>Rho!$B$26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Rho!$C$26:$AZ$26</c:f>
              <c:numCache>
                <c:formatCode>General</c:formatCode>
                <c:ptCount val="50"/>
                <c:pt idx="0">
                  <c:v>7.7692467200589768E-8</c:v>
                </c:pt>
                <c:pt idx="1">
                  <c:v>6.0569776566511083E-4</c:v>
                </c:pt>
                <c:pt idx="2">
                  <c:v>1.534011080390588E-2</c:v>
                </c:pt>
                <c:pt idx="3">
                  <c:v>8.6710702538517662E-2</c:v>
                </c:pt>
                <c:pt idx="4">
                  <c:v>0.26230859396038003</c:v>
                </c:pt>
                <c:pt idx="5">
                  <c:v>0.5734265004042175</c:v>
                </c:pt>
                <c:pt idx="6">
                  <c:v>1.0340638105047826</c:v>
                </c:pt>
                <c:pt idx="7">
                  <c:v>1.646394957929183</c:v>
                </c:pt>
                <c:pt idx="8">
                  <c:v>2.405785146566469</c:v>
                </c:pt>
                <c:pt idx="9">
                  <c:v>3.304136103382104</c:v>
                </c:pt>
                <c:pt idx="10">
                  <c:v>4.3318818957364229</c:v>
                </c:pt>
                <c:pt idx="11">
                  <c:v>5.4791111632357179</c:v>
                </c:pt>
                <c:pt idx="12">
                  <c:v>6.7361665658423568</c:v>
                </c:pt>
                <c:pt idx="13">
                  <c:v>8.0939423223301432</c:v>
                </c:pt>
                <c:pt idx="14">
                  <c:v>9.5440112877234498</c:v>
                </c:pt>
                <c:pt idx="15">
                  <c:v>11.07865801382964</c:v>
                </c:pt>
                <c:pt idx="16">
                  <c:v>12.690861768237383</c:v>
                </c:pt>
                <c:pt idx="17">
                  <c:v>14.374254610088256</c:v>
                </c:pt>
                <c:pt idx="18">
                  <c:v>16.123068697306845</c:v>
                </c:pt>
                <c:pt idx="19">
                  <c:v>17.932080685197072</c:v>
                </c:pt>
                <c:pt idx="20">
                  <c:v>19.796557429768221</c:v>
                </c:pt>
                <c:pt idx="21">
                  <c:v>21.71220511144352</c:v>
                </c:pt>
                <c:pt idx="22">
                  <c:v>23.675122699219465</c:v>
                </c:pt>
                <c:pt idx="23">
                  <c:v>25.681760006467449</c:v>
                </c:pt>
                <c:pt idx="24">
                  <c:v>27.728880228186494</c:v>
                </c:pt>
                <c:pt idx="25">
                  <c:v>29.813526666920975</c:v>
                </c:pt>
                <c:pt idx="26">
                  <c:v>31.932993274853292</c:v>
                </c:pt>
                <c:pt idx="27">
                  <c:v>34.084798617924264</c:v>
                </c:pt>
                <c:pt idx="28">
                  <c:v>36.266662877750207</c:v>
                </c:pt>
                <c:pt idx="29">
                  <c:v>38.476487533043752</c:v>
                </c:pt>
                <c:pt idx="30">
                  <c:v>40.712337395186672</c:v>
                </c:pt>
                <c:pt idx="31">
                  <c:v>42.972424707413914</c:v>
                </c:pt>
                <c:pt idx="32">
                  <c:v>45.255095050950594</c:v>
                </c:pt>
                <c:pt idx="33">
                  <c:v>47.558814832967052</c:v>
                </c:pt>
                <c:pt idx="34">
                  <c:v>49.882160159760595</c:v>
                </c:pt>
                <c:pt idx="35">
                  <c:v>52.223806923973669</c:v>
                </c:pt>
                <c:pt idx="36">
                  <c:v>54.582521957005312</c:v>
                </c:pt>
                <c:pt idx="37">
                  <c:v>56.957155117287257</c:v>
                </c:pt>
                <c:pt idx="38">
                  <c:v>59.346632202049058</c:v>
                </c:pt>
                <c:pt idx="39">
                  <c:v>61.749948584880109</c:v>
                </c:pt>
                <c:pt idx="40">
                  <c:v>64.166163494086987</c:v>
                </c:pt>
                <c:pt idx="41">
                  <c:v>66.594394857805327</c:v>
                </c:pt>
                <c:pt idx="42">
                  <c:v>69.033814651285141</c:v>
                </c:pt>
                <c:pt idx="43">
                  <c:v>71.483644689938984</c:v>
                </c:pt>
                <c:pt idx="44">
                  <c:v>73.943152818799888</c:v>
                </c:pt>
                <c:pt idx="45">
                  <c:v>76.411649455140548</c:v>
                </c:pt>
                <c:pt idx="46">
                  <c:v>78.888484446288842</c:v>
                </c:pt>
                <c:pt idx="47">
                  <c:v>81.373044209257458</c:v>
                </c:pt>
                <c:pt idx="48">
                  <c:v>83.864749122779898</c:v>
                </c:pt>
                <c:pt idx="49">
                  <c:v>86.363051145805372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CA-4454-BDF1-7FC94638062D}"/>
            </c:ext>
          </c:extLst>
        </c:ser>
        <c:ser>
          <c:idx val="3"/>
          <c:order val="3"/>
          <c:tx>
            <c:strRef>
              <c:f>Rho!$B$27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Rho!$C$27:$AZ$27</c:f>
              <c:numCache>
                <c:formatCode>General</c:formatCode>
                <c:ptCount val="50"/>
                <c:pt idx="0">
                  <c:v>2.5013539023405381E-5</c:v>
                </c:pt>
                <c:pt idx="1">
                  <c:v>1.1981739309242231E-2</c:v>
                </c:pt>
                <c:pt idx="2">
                  <c:v>0.11911631216126903</c:v>
                </c:pt>
                <c:pt idx="3">
                  <c:v>0.42058365657656555</c:v>
                </c:pt>
                <c:pt idx="4">
                  <c:v>0.95750502791312686</c:v>
                </c:pt>
                <c:pt idx="5">
                  <c:v>1.7295450873604499</c:v>
                </c:pt>
                <c:pt idx="6">
                  <c:v>2.7188766452768527</c:v>
                </c:pt>
                <c:pt idx="7">
                  <c:v>3.9025965710024675</c:v>
                </c:pt>
                <c:pt idx="8">
                  <c:v>5.2579361449743303</c:v>
                </c:pt>
                <c:pt idx="9">
                  <c:v>6.7641543932963408</c:v>
                </c:pt>
                <c:pt idx="10">
                  <c:v>8.4030308717272728</c:v>
                </c:pt>
                <c:pt idx="11">
                  <c:v>10.15880318467277</c:v>
                </c:pt>
                <c:pt idx="12">
                  <c:v>12.017909874322465</c:v>
                </c:pt>
                <c:pt idx="13">
                  <c:v>13.968688572840152</c:v>
                </c:pt>
                <c:pt idx="14">
                  <c:v>16.001088392431054</c:v>
                </c:pt>
                <c:pt idx="15">
                  <c:v>18.106416584304746</c:v>
                </c:pt>
                <c:pt idx="16">
                  <c:v>20.277123214968302</c:v>
                </c:pt>
                <c:pt idx="17">
                  <c:v>22.506621239391059</c:v>
                </c:pt>
                <c:pt idx="18">
                  <c:v>24.78913728352466</c:v>
                </c:pt>
                <c:pt idx="19">
                  <c:v>27.119588189475021</c:v>
                </c:pt>
                <c:pt idx="20">
                  <c:v>29.493478815840803</c:v>
                </c:pt>
                <c:pt idx="21">
                  <c:v>31.906817236753756</c:v>
                </c:pt>
                <c:pt idx="22">
                  <c:v>34.356044141419865</c:v>
                </c:pt>
                <c:pt idx="23">
                  <c:v>36.837973824114073</c:v>
                </c:pt>
                <c:pt idx="24">
                  <c:v>39.349744651422256</c:v>
                </c:pt>
                <c:pt idx="25">
                  <c:v>41.888777301333477</c:v>
                </c:pt>
                <c:pt idx="26">
                  <c:v>44.452739398440251</c:v>
                </c:pt>
                <c:pt idx="27">
                  <c:v>47.039515433903119</c:v>
                </c:pt>
                <c:pt idx="28">
                  <c:v>49.647181070167512</c:v>
                </c:pt>
                <c:pt idx="29">
                  <c:v>52.273981099216769</c:v>
                </c:pt>
                <c:pt idx="30">
                  <c:v>54.918310458108792</c:v>
                </c:pt>
                <c:pt idx="31">
                  <c:v>57.578697813686546</c:v>
                </c:pt>
                <c:pt idx="32">
                  <c:v>60.25379131526072</c:v>
                </c:pt>
                <c:pt idx="33">
                  <c:v>62.942346184137541</c:v>
                </c:pt>
                <c:pt idx="34">
                  <c:v>65.643213865578119</c:v>
                </c:pt>
                <c:pt idx="35">
                  <c:v>68.355332514849195</c:v>
                </c:pt>
                <c:pt idx="36">
                  <c:v>71.077718626603442</c:v>
                </c:pt>
                <c:pt idx="37">
                  <c:v>73.809459647599155</c:v>
                </c:pt>
                <c:pt idx="38">
                  <c:v>76.549707438064772</c:v>
                </c:pt>
                <c:pt idx="39">
                  <c:v>79.297672467890507</c:v>
                </c:pt>
                <c:pt idx="40">
                  <c:v>82.052618651126167</c:v>
                </c:pt>
                <c:pt idx="41">
                  <c:v>84.81385873664432</c:v>
                </c:pt>
                <c:pt idx="42">
                  <c:v>87.580750184835395</c:v>
                </c:pt>
                <c:pt idx="43">
                  <c:v>90.352691470252978</c:v>
                </c:pt>
                <c:pt idx="44">
                  <c:v>93.129118758581356</c:v>
                </c:pt>
                <c:pt idx="45">
                  <c:v>95.909502913423822</c:v>
                </c:pt>
                <c:pt idx="46">
                  <c:v>98.693346794441155</c:v>
                </c:pt>
                <c:pt idx="47">
                  <c:v>101.48018281348976</c:v>
                </c:pt>
                <c:pt idx="48">
                  <c:v>104.26957071976643</c:v>
                </c:pt>
                <c:pt idx="49">
                  <c:v>107.06109558869028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CA-4454-BDF1-7FC94638062D}"/>
            </c:ext>
          </c:extLst>
        </c:ser>
        <c:ser>
          <c:idx val="4"/>
          <c:order val="4"/>
          <c:tx>
            <c:strRef>
              <c:f>Rho!$B$28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Rho!$C$28:$AZ$28</c:f>
              <c:numCache>
                <c:formatCode>General</c:formatCode>
                <c:ptCount val="50"/>
                <c:pt idx="0">
                  <c:v>1.9684019476440347E-3</c:v>
                </c:pt>
                <c:pt idx="1">
                  <c:v>0.1180615367981647</c:v>
                </c:pt>
                <c:pt idx="2">
                  <c:v>0.58294742224800933</c:v>
                </c:pt>
                <c:pt idx="3">
                  <c:v>1.4449660567580993</c:v>
                </c:pt>
                <c:pt idx="4">
                  <c:v>2.6541221761136979</c:v>
                </c:pt>
                <c:pt idx="5">
                  <c:v>4.1483206002554978</c:v>
                </c:pt>
                <c:pt idx="6">
                  <c:v>5.8743138124230585</c:v>
                </c:pt>
                <c:pt idx="7">
                  <c:v>7.789892042713972</c:v>
                </c:pt>
                <c:pt idx="8">
                  <c:v>9.8621140558168001</c:v>
                </c:pt>
                <c:pt idx="9">
                  <c:v>12.065171933845738</c:v>
                </c:pt>
                <c:pt idx="10">
                  <c:v>14.378633795122116</c:v>
                </c:pt>
                <c:pt idx="11">
                  <c:v>16.786122169628204</c:v>
                </c:pt>
                <c:pt idx="12">
                  <c:v>19.274344116905304</c:v>
                </c:pt>
                <c:pt idx="13">
                  <c:v>21.832380910501634</c:v>
                </c:pt>
                <c:pt idx="14">
                  <c:v>24.451164204710715</c:v>
                </c:pt>
                <c:pt idx="15">
                  <c:v>27.123085619664508</c:v>
                </c:pt>
                <c:pt idx="16">
                  <c:v>29.841702285697167</c:v>
                </c:pt>
                <c:pt idx="17">
                  <c:v>32.601512057808698</c:v>
                </c:pt>
                <c:pt idx="18">
                  <c:v>35.397779879192306</c:v>
                </c:pt>
                <c:pt idx="19">
                  <c:v>38.22640213674083</c:v>
                </c:pt>
                <c:pt idx="20">
                  <c:v>41.083799564971017</c:v>
                </c:pt>
                <c:pt idx="21">
                  <c:v>43.966831844508796</c:v>
                </c:pt>
                <c:pt idx="22">
                  <c:v>46.872728864542019</c:v>
                </c:pt>
                <c:pt idx="23">
                  <c:v>49.799034915873591</c:v>
                </c:pt>
                <c:pt idx="24">
                  <c:v>52.743563014208014</c:v>
                </c:pt>
                <c:pt idx="25">
                  <c:v>55.704357231611681</c:v>
                </c:pt>
                <c:pt idx="26">
                  <c:v>58.679661412429049</c:v>
                </c:pt>
                <c:pt idx="27">
                  <c:v>61.667893019789602</c:v>
                </c:pt>
                <c:pt idx="28">
                  <c:v>64.667621136003277</c:v>
                </c:pt>
                <c:pt idx="29">
                  <c:v>67.677547849775834</c:v>
                </c:pt>
                <c:pt idx="30">
                  <c:v>70.696492423128163</c:v>
                </c:pt>
                <c:pt idx="31">
                  <c:v>73.723377753975456</c:v>
                </c:pt>
                <c:pt idx="32">
                  <c:v>76.75721874576729</c:v>
                </c:pt>
                <c:pt idx="33">
                  <c:v>79.797112270167347</c:v>
                </c:pt>
                <c:pt idx="34">
                  <c:v>82.842228467442666</c:v>
                </c:pt>
                <c:pt idx="35">
                  <c:v>85.891803175732647</c:v>
                </c:pt>
                <c:pt idx="36">
                  <c:v>88.945131317447064</c:v>
                </c:pt>
                <c:pt idx="37">
                  <c:v>92.001561100792188</c:v>
                </c:pt>
                <c:pt idx="38">
                  <c:v>95.060488918429073</c:v>
                </c:pt>
                <c:pt idx="39">
                  <c:v>98.121354844747401</c:v>
                </c:pt>
                <c:pt idx="40">
                  <c:v>101.18363864912843</c:v>
                </c:pt>
                <c:pt idx="41">
                  <c:v>104.24685625559538</c:v>
                </c:pt>
                <c:pt idx="42">
                  <c:v>107.31055658998162</c:v>
                </c:pt>
                <c:pt idx="43">
                  <c:v>110.37431876462547</c:v>
                </c:pt>
                <c:pt idx="44">
                  <c:v>113.43774955798116</c:v>
                </c:pt>
                <c:pt idx="45">
                  <c:v>116.50048115269567</c:v>
                </c:pt>
                <c:pt idx="46">
                  <c:v>119.56216910086258</c:v>
                </c:pt>
                <c:pt idx="47">
                  <c:v>122.62249048950535</c:v>
                </c:pt>
                <c:pt idx="48">
                  <c:v>125.68114228301118</c:v>
                </c:pt>
                <c:pt idx="49">
                  <c:v>128.73783982233832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CA-4454-BDF1-7FC94638062D}"/>
            </c:ext>
          </c:extLst>
        </c:ser>
        <c:ser>
          <c:idx val="5"/>
          <c:order val="5"/>
          <c:tx>
            <c:strRef>
              <c:f>Rho!$B$29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Rho!$C$29:$AZ$29</c:f>
              <c:numCache>
                <c:formatCode>General</c:formatCode>
                <c:ptCount val="50"/>
                <c:pt idx="0">
                  <c:v>4.8575796157643729E-2</c:v>
                </c:pt>
                <c:pt idx="1">
                  <c:v>0.65728086131009644</c:v>
                </c:pt>
                <c:pt idx="2">
                  <c:v>1.9560484482833891</c:v>
                </c:pt>
                <c:pt idx="3">
                  <c:v>3.7454643863001085</c:v>
                </c:pt>
                <c:pt idx="4">
                  <c:v>5.8755556011287497</c:v>
                </c:pt>
                <c:pt idx="5">
                  <c:v>8.2510457333700931</c:v>
                </c:pt>
                <c:pt idx="6">
                  <c:v>10.810010394461255</c:v>
                </c:pt>
                <c:pt idx="7">
                  <c:v>13.510429218050069</c:v>
                </c:pt>
                <c:pt idx="8">
                  <c:v>16.322605204399803</c:v>
                </c:pt>
                <c:pt idx="9">
                  <c:v>19.224806199408725</c:v>
                </c:pt>
                <c:pt idx="10">
                  <c:v>22.200655438282514</c:v>
                </c:pt>
                <c:pt idx="11">
                  <c:v>25.237503391980841</c:v>
                </c:pt>
                <c:pt idx="12">
                  <c:v>28.325372917836884</c:v>
                </c:pt>
                <c:pt idx="13">
                  <c:v>31.456252725055538</c:v>
                </c:pt>
                <c:pt idx="14">
                  <c:v>34.623610135402544</c:v>
                </c:pt>
                <c:pt idx="15">
                  <c:v>37.822046368765946</c:v>
                </c:pt>
                <c:pt idx="16">
                  <c:v>41.047047109998687</c:v>
                </c:pt>
                <c:pt idx="17">
                  <c:v>44.29479839044366</c:v>
                </c:pt>
                <c:pt idx="18">
                  <c:v>47.562048253387928</c:v>
                </c:pt>
                <c:pt idx="19">
                  <c:v>50.84600116043957</c:v>
                </c:pt>
                <c:pt idx="20">
                  <c:v>54.144236235503264</c:v>
                </c:pt>
                <c:pt idx="21">
                  <c:v>57.454643147436421</c:v>
                </c:pt>
                <c:pt idx="22">
                  <c:v>60.775371237375836</c:v>
                </c:pt>
                <c:pt idx="23">
                  <c:v>64.104788724949771</c:v>
                </c:pt>
                <c:pt idx="24">
                  <c:v>67.441449678335204</c:v>
                </c:pt>
                <c:pt idx="25">
                  <c:v>70.784067032038806</c:v>
                </c:pt>
                <c:pt idx="26">
                  <c:v>74.131490364242993</c:v>
                </c:pt>
                <c:pt idx="27">
                  <c:v>77.482687455586188</c:v>
                </c:pt>
                <c:pt idx="28">
                  <c:v>80.836728878703227</c:v>
                </c:pt>
                <c:pt idx="29">
                  <c:v>84.192775036698535</c:v>
                </c:pt>
                <c:pt idx="30">
                  <c:v>87.550065195435067</c:v>
                </c:pt>
                <c:pt idx="31">
                  <c:v>90.907908150582742</c:v>
                </c:pt>
                <c:pt idx="32">
                  <c:v>94.265674243884348</c:v>
                </c:pt>
                <c:pt idx="33">
                  <c:v>97.622788499859027</c:v>
                </c:pt>
                <c:pt idx="34">
                  <c:v>100.97872469835293</c:v>
                </c:pt>
                <c:pt idx="35">
                  <c:v>104.33300023301875</c:v>
                </c:pt>
                <c:pt idx="36">
                  <c:v>107.68517163320975</c:v>
                </c:pt>
                <c:pt idx="37">
                  <c:v>111.03483064858204</c:v>
                </c:pt>
                <c:pt idx="38">
                  <c:v>114.38160081316781</c:v>
                </c:pt>
                <c:pt idx="39">
                  <c:v>117.72513441976241</c:v>
                </c:pt>
                <c:pt idx="40">
                  <c:v>121.06510984688187</c:v>
                </c:pt>
                <c:pt idx="41">
                  <c:v>124.40122918985024</c:v>
                </c:pt>
                <c:pt idx="42">
                  <c:v>127.73321615520189</c:v>
                </c:pt>
                <c:pt idx="43">
                  <c:v>131.06081418386034</c:v>
                </c:pt>
                <c:pt idx="44">
                  <c:v>134.38378477375133</c:v>
                </c:pt>
                <c:pt idx="45">
                  <c:v>137.70190597682489</c:v>
                </c:pt>
                <c:pt idx="46">
                  <c:v>141.01497104906602</c:v>
                </c:pt>
                <c:pt idx="47">
                  <c:v>144.3227872350929</c:v>
                </c:pt>
                <c:pt idx="48">
                  <c:v>147.62517467148643</c:v>
                </c:pt>
                <c:pt idx="49">
                  <c:v>150.92196539513881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1CA-4454-BDF1-7FC94638062D}"/>
            </c:ext>
          </c:extLst>
        </c:ser>
        <c:ser>
          <c:idx val="6"/>
          <c:order val="6"/>
          <c:tx>
            <c:strRef>
              <c:f>Rho!$B$30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Rho!$C$30:$AZ$30</c:f>
              <c:numCache>
                <c:formatCode>General</c:formatCode>
                <c:ptCount val="50"/>
                <c:pt idx="0">
                  <c:v>0.4626650529105753</c:v>
                </c:pt>
                <c:pt idx="1">
                  <c:v>2.2955278113909658</c:v>
                </c:pt>
                <c:pt idx="2">
                  <c:v>4.8240469025865851</c:v>
                </c:pt>
                <c:pt idx="3">
                  <c:v>7.7145681524544081</c:v>
                </c:pt>
                <c:pt idx="4">
                  <c:v>10.825115598149127</c:v>
                </c:pt>
                <c:pt idx="5">
                  <c:v>14.082638092999991</c:v>
                </c:pt>
                <c:pt idx="6">
                  <c:v>17.444422479079947</c:v>
                </c:pt>
                <c:pt idx="7">
                  <c:v>20.88321053401625</c:v>
                </c:pt>
                <c:pt idx="8">
                  <c:v>24.380474754909542</c:v>
                </c:pt>
                <c:pt idx="9">
                  <c:v>27.923010462044491</c:v>
                </c:pt>
                <c:pt idx="10">
                  <c:v>31.50105316370545</c:v>
                </c:pt>
                <c:pt idx="11">
                  <c:v>35.107166599865053</c:v>
                </c:pt>
                <c:pt idx="12">
                  <c:v>38.735549995307935</c:v>
                </c:pt>
                <c:pt idx="13">
                  <c:v>42.381587281856397</c:v>
                </c:pt>
                <c:pt idx="14">
                  <c:v>46.04154296658006</c:v>
                </c:pt>
                <c:pt idx="15">
                  <c:v>49.71235057586442</c:v>
                </c:pt>
                <c:pt idx="16">
                  <c:v>53.391461600734104</c:v>
                </c:pt>
                <c:pt idx="17">
                  <c:v>57.076735176127826</c:v>
                </c:pt>
                <c:pt idx="18">
                  <c:v>60.766355903599489</c:v>
                </c:pt>
                <c:pt idx="19">
                  <c:v>64.458771564347103</c:v>
                </c:pt>
                <c:pt idx="20">
                  <c:v>68.152645174199264</c:v>
                </c:pt>
                <c:pt idx="21">
                  <c:v>71.846817566007715</c:v>
                </c:pt>
                <c:pt idx="22">
                  <c:v>75.54027782393409</c:v>
                </c:pt>
                <c:pt idx="23">
                  <c:v>79.232139659027411</c:v>
                </c:pt>
                <c:pt idx="24">
                  <c:v>82.92162233940337</c:v>
                </c:pt>
                <c:pt idx="25">
                  <c:v>86.608035153663209</c:v>
                </c:pt>
                <c:pt idx="26">
                  <c:v>90.290764645104232</c:v>
                </c:pt>
                <c:pt idx="27">
                  <c:v>93.969264040521296</c:v>
                </c:pt>
                <c:pt idx="28">
                  <c:v>97.64304443320593</c:v>
                </c:pt>
                <c:pt idx="29">
                  <c:v>101.31166738002781</c:v>
                </c:pt>
                <c:pt idx="30">
                  <c:v>104.97473864738936</c:v>
                </c:pt>
                <c:pt idx="31">
                  <c:v>108.63190289739578</c:v>
                </c:pt>
                <c:pt idx="32">
                  <c:v>112.28283914871017</c:v>
                </c:pt>
                <c:pt idx="33">
                  <c:v>115.92725687975471</c:v>
                </c:pt>
                <c:pt idx="34">
                  <c:v>119.56489266768591</c:v>
                </c:pt>
                <c:pt idx="35">
                  <c:v>123.19550727674068</c:v>
                </c:pt>
                <c:pt idx="36">
                  <c:v>126.81888312545209</c:v>
                </c:pt>
                <c:pt idx="37">
                  <c:v>130.4348220748661</c:v>
                </c:pt>
                <c:pt idx="38">
                  <c:v>134.04314348998923</c:v>
                </c:pt>
                <c:pt idx="39">
                  <c:v>137.64368253482539</c:v>
                </c:pt>
                <c:pt idx="40">
                  <c:v>141.23628866793706</c:v>
                </c:pt>
                <c:pt idx="41">
                  <c:v>144.82082431082208</c:v>
                </c:pt>
                <c:pt idx="42">
                  <c:v>148.39716366577977</c:v>
                </c:pt>
                <c:pt idx="43">
                  <c:v>151.96519166354591</c:v>
                </c:pt>
                <c:pt idx="44">
                  <c:v>155.52480302395517</c:v>
                </c:pt>
                <c:pt idx="45">
                  <c:v>159.07590141536525</c:v>
                </c:pt>
                <c:pt idx="46">
                  <c:v>162.61839870064031</c:v>
                </c:pt>
                <c:pt idx="47">
                  <c:v>166.15221425921877</c:v>
                </c:pt>
                <c:pt idx="48">
                  <c:v>169.67727437624592</c:v>
                </c:pt>
                <c:pt idx="49">
                  <c:v>173.19351169097621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1CA-4454-BDF1-7FC94638062D}"/>
            </c:ext>
          </c:extLst>
        </c:ser>
        <c:ser>
          <c:idx val="7"/>
          <c:order val="7"/>
          <c:tx>
            <c:strRef>
              <c:f>Rho!$B$31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Rho!$C$31:$AZ$31</c:f>
              <c:numCache>
                <c:formatCode>General</c:formatCode>
                <c:ptCount val="50"/>
                <c:pt idx="0">
                  <c:v>2.0396276517295933</c:v>
                </c:pt>
                <c:pt idx="1">
                  <c:v>5.5018256030450026</c:v>
                </c:pt>
                <c:pt idx="2">
                  <c:v>9.274491325250402</c:v>
                </c:pt>
                <c:pt idx="3">
                  <c:v>13.187458778736868</c:v>
                </c:pt>
                <c:pt idx="4">
                  <c:v>17.178656648502812</c:v>
                </c:pt>
                <c:pt idx="5">
                  <c:v>21.217661617090137</c:v>
                </c:pt>
                <c:pt idx="6">
                  <c:v>25.287075576346901</c:v>
                </c:pt>
                <c:pt idx="7">
                  <c:v>29.375944234947269</c:v>
                </c:pt>
                <c:pt idx="8">
                  <c:v>33.476899762460491</c:v>
                </c:pt>
                <c:pt idx="9">
                  <c:v>37.584742260070186</c:v>
                </c:pt>
                <c:pt idx="10">
                  <c:v>41.695665141994091</c:v>
                </c:pt>
                <c:pt idx="11">
                  <c:v>45.806800765768735</c:v>
                </c:pt>
                <c:pt idx="12">
                  <c:v>49.915938601444758</c:v>
                </c:pt>
                <c:pt idx="13">
                  <c:v>54.021342395339097</c:v>
                </c:pt>
                <c:pt idx="14">
                  <c:v>58.121627097547538</c:v>
                </c:pt>
                <c:pt idx="15">
                  <c:v>62.215673419563089</c:v>
                </c:pt>
                <c:pt idx="16">
                  <c:v>66.302566939149727</c:v>
                </c:pt>
                <c:pt idx="17">
                  <c:v>70.381553709148278</c:v>
                </c:pt>
                <c:pt idx="18">
                  <c:v>74.452007255718641</c:v>
                </c:pt>
                <c:pt idx="19">
                  <c:v>78.513403617493836</c:v>
                </c:pt>
                <c:pt idx="20">
                  <c:v>82.565302176554468</c:v>
                </c:pt>
                <c:pt idx="21">
                  <c:v>86.607330736097779</c:v>
                </c:pt>
                <c:pt idx="22">
                  <c:v>90.639173761767353</c:v>
                </c:pt>
                <c:pt idx="23">
                  <c:v>94.660563013729742</c:v>
                </c:pt>
                <c:pt idx="24">
                  <c:v>98.671270008894524</c:v>
                </c:pt>
                <c:pt idx="25">
                  <c:v>102.67109990065613</c:v>
                </c:pt>
                <c:pt idx="26">
                  <c:v>106.6598864683713</c:v>
                </c:pt>
                <c:pt idx="27">
                  <c:v>110.63748798417035</c:v>
                </c:pt>
                <c:pt idx="28">
                  <c:v>114.60378377964308</c:v>
                </c:pt>
                <c:pt idx="29">
                  <c:v>118.55867137549208</c:v>
                </c:pt>
                <c:pt idx="30">
                  <c:v>122.50206406752034</c:v>
                </c:pt>
                <c:pt idx="31">
                  <c:v>126.43388888516343</c:v>
                </c:pt>
                <c:pt idx="32">
                  <c:v>130.3540848561853</c:v>
                </c:pt>
                <c:pt idx="33">
                  <c:v>134.26260152454489</c:v>
                </c:pt>
                <c:pt idx="34">
                  <c:v>138.15939767882602</c:v>
                </c:pt>
                <c:pt idx="35">
                  <c:v>142.04444025674437</c:v>
                </c:pt>
                <c:pt idx="36">
                  <c:v>145.91770339764236</c:v>
                </c:pt>
                <c:pt idx="37">
                  <c:v>149.77916761995968</c:v>
                </c:pt>
                <c:pt idx="38">
                  <c:v>153.62881910472007</c:v>
                </c:pt>
                <c:pt idx="39">
                  <c:v>157.46664906933412</c:v>
                </c:pt>
                <c:pt idx="40">
                  <c:v>161.29265321865159</c:v>
                </c:pt>
                <c:pt idx="41">
                  <c:v>165.10683126233729</c:v>
                </c:pt>
                <c:pt idx="42">
                  <c:v>168.90918648939524</c:v>
                </c:pt>
                <c:pt idx="43">
                  <c:v>172.69972539210301</c:v>
                </c:pt>
                <c:pt idx="44">
                  <c:v>176.47845733280363</c:v>
                </c:pt>
                <c:pt idx="45">
                  <c:v>180.24539424798658</c:v>
                </c:pt>
                <c:pt idx="46">
                  <c:v>184.00055038490723</c:v>
                </c:pt>
                <c:pt idx="47">
                  <c:v>187.7439420666787</c:v>
                </c:pt>
                <c:pt idx="48">
                  <c:v>191.47558748234448</c:v>
                </c:pt>
                <c:pt idx="49">
                  <c:v>195.1955064989242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1CA-4454-BDF1-7FC94638062D}"/>
            </c:ext>
          </c:extLst>
        </c:ser>
        <c:ser>
          <c:idx val="8"/>
          <c:order val="8"/>
          <c:tx>
            <c:strRef>
              <c:f>Rho!$B$32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Rho!$C$32:$AZ$32</c:f>
              <c:numCache>
                <c:formatCode>General</c:formatCode>
                <c:ptCount val="50"/>
                <c:pt idx="0">
                  <c:v>4.9319898584384116</c:v>
                </c:pt>
                <c:pt idx="1">
                  <c:v>9.8019788801767245</c:v>
                </c:pt>
                <c:pt idx="2">
                  <c:v>14.628325566737617</c:v>
                </c:pt>
                <c:pt idx="3">
                  <c:v>19.417631512966548</c:v>
                </c:pt>
                <c:pt idx="4">
                  <c:v>24.173738548666901</c:v>
                </c:pt>
                <c:pt idx="5">
                  <c:v>28.899256857821797</c:v>
                </c:pt>
                <c:pt idx="6">
                  <c:v>33.596116095735589</c:v>
                </c:pt>
                <c:pt idx="7">
                  <c:v>38.265821976803814</c:v>
                </c:pt>
                <c:pt idx="8">
                  <c:v>42.909594584950781</c:v>
                </c:pt>
                <c:pt idx="9">
                  <c:v>47.528450546914641</c:v>
                </c:pt>
                <c:pt idx="10">
                  <c:v>52.123255391929909</c:v>
                </c:pt>
                <c:pt idx="11">
                  <c:v>56.694758730344901</c:v>
                </c:pt>
                <c:pt idx="12">
                  <c:v>61.243618893738955</c:v>
                </c:pt>
                <c:pt idx="13">
                  <c:v>65.770420783846205</c:v>
                </c:pt>
                <c:pt idx="14">
                  <c:v>70.275689165990372</c:v>
                </c:pt>
                <c:pt idx="15">
                  <c:v>74.759898803298526</c:v>
                </c:pt>
                <c:pt idx="16">
                  <c:v>79.223482337588294</c:v>
                </c:pt>
                <c:pt idx="17">
                  <c:v>83.666836523960512</c:v>
                </c:pt>
                <c:pt idx="18">
                  <c:v>88.09032723730256</c:v>
                </c:pt>
                <c:pt idx="19">
                  <c:v>92.494293545844172</c:v>
                </c:pt>
                <c:pt idx="20">
                  <c:v>96.87905106450286</c:v>
                </c:pt>
                <c:pt idx="21">
                  <c:v>101.24489474425351</c:v>
                </c:pt>
                <c:pt idx="22">
                  <c:v>105.59210121418536</c:v>
                </c:pt>
                <c:pt idx="23">
                  <c:v>109.92093076467341</c:v>
                </c:pt>
                <c:pt idx="24">
                  <c:v>114.23162903959584</c:v>
                </c:pt>
                <c:pt idx="25">
                  <c:v>118.52442849042791</c:v>
                </c:pt>
                <c:pt idx="26">
                  <c:v>122.79954963375525</c:v>
                </c:pt>
                <c:pt idx="27">
                  <c:v>127.05720214521092</c:v>
                </c:pt>
                <c:pt idx="28">
                  <c:v>131.29758581630026</c:v>
                </c:pt>
                <c:pt idx="29">
                  <c:v>135.52089139551936</c:v>
                </c:pt>
                <c:pt idx="30">
                  <c:v>139.72730133121883</c:v>
                </c:pt>
                <c:pt idx="31">
                  <c:v>143.91699043054646</c:v>
                </c:pt>
                <c:pt idx="32">
                  <c:v>148.09012644632259</c:v>
                </c:pt>
                <c:pt idx="33">
                  <c:v>152.24687060171499</c:v>
                </c:pt>
                <c:pt idx="34">
                  <c:v>156.38737806097399</c:v>
                </c:pt>
                <c:pt idx="35">
                  <c:v>160.5117983531843</c:v>
                </c:pt>
                <c:pt idx="36">
                  <c:v>164.62027575492172</c:v>
                </c:pt>
                <c:pt idx="37">
                  <c:v>168.71294963682391</c:v>
                </c:pt>
                <c:pt idx="38">
                  <c:v>172.78995477835602</c:v>
                </c:pt>
                <c:pt idx="39">
                  <c:v>176.85142165444597</c:v>
                </c:pt>
                <c:pt idx="40">
                  <c:v>180.89747669715783</c:v>
                </c:pt>
                <c:pt idx="41">
                  <c:v>184.92824253514422</c:v>
                </c:pt>
                <c:pt idx="42">
                  <c:v>188.94383821325957</c:v>
                </c:pt>
                <c:pt idx="43">
                  <c:v>192.94437939441008</c:v>
                </c:pt>
                <c:pt idx="44">
                  <c:v>196.92997854545681</c:v>
                </c:pt>
                <c:pt idx="45">
                  <c:v>200.9007451087646</c:v>
                </c:pt>
                <c:pt idx="46">
                  <c:v>204.8567856608008</c:v>
                </c:pt>
                <c:pt idx="47">
                  <c:v>208.79820405902035</c:v>
                </c:pt>
                <c:pt idx="48">
                  <c:v>212.72510157813514</c:v>
                </c:pt>
                <c:pt idx="49">
                  <c:v>216.63757703673949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1CA-4454-BDF1-7FC94638062D}"/>
            </c:ext>
          </c:extLst>
        </c:ser>
        <c:ser>
          <c:idx val="9"/>
          <c:order val="9"/>
          <c:tx>
            <c:strRef>
              <c:f>Rho!$B$33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Rho!$C$33:$AZ$33</c:f>
              <c:numCache>
                <c:formatCode>General</c:formatCode>
                <c:ptCount val="50"/>
                <c:pt idx="0">
                  <c:v>7.7428944428213189</c:v>
                </c:pt>
                <c:pt idx="1">
                  <c:v>13.963207315360487</c:v>
                </c:pt>
                <c:pt idx="2">
                  <c:v>19.801355879149479</c:v>
                </c:pt>
                <c:pt idx="3">
                  <c:v>25.432746553601699</c:v>
                </c:pt>
                <c:pt idx="4">
                  <c:v>30.924184743469109</c:v>
                </c:pt>
                <c:pt idx="5">
                  <c:v>36.309866980005239</c:v>
                </c:pt>
                <c:pt idx="6">
                  <c:v>41.610220083116062</c:v>
                </c:pt>
                <c:pt idx="7">
                  <c:v>46.838682825452473</c:v>
                </c:pt>
                <c:pt idx="8">
                  <c:v>52.00470479945416</c:v>
                </c:pt>
                <c:pt idx="9">
                  <c:v>57.115262574421607</c:v>
                </c:pt>
                <c:pt idx="10">
                  <c:v>62.175702748657528</c:v>
                </c:pt>
                <c:pt idx="11">
                  <c:v>67.190245447350335</c:v>
                </c:pt>
                <c:pt idx="12">
                  <c:v>72.162302281855588</c:v>
                </c:pt>
                <c:pt idx="13">
                  <c:v>77.094686351401819</c:v>
                </c:pt>
                <c:pt idx="14">
                  <c:v>81.989756152584818</c:v>
                </c:pt>
                <c:pt idx="15">
                  <c:v>86.849517290041277</c:v>
                </c:pt>
                <c:pt idx="16">
                  <c:v>91.675696274079556</c:v>
                </c:pt>
                <c:pt idx="17">
                  <c:v>96.469795289044669</c:v>
                </c:pt>
                <c:pt idx="18">
                  <c:v>101.23313364605735</c:v>
                </c:pt>
                <c:pt idx="19">
                  <c:v>105.96687970369521</c:v>
                </c:pt>
                <c:pt idx="20">
                  <c:v>110.67207582692566</c:v>
                </c:pt>
                <c:pt idx="21">
                  <c:v>115.34965817023266</c:v>
                </c:pt>
                <c:pt idx="22">
                  <c:v>120.00047255103472</c:v>
                </c:pt>
                <c:pt idx="23">
                  <c:v>124.62528732724441</c:v>
                </c:pt>
                <c:pt idx="24">
                  <c:v>129.22480394934576</c:v>
                </c:pt>
                <c:pt idx="25">
                  <c:v>133.79966568602867</c:v>
                </c:pt>
                <c:pt idx="26">
                  <c:v>138.35046489986854</c:v>
                </c:pt>
                <c:pt idx="27">
                  <c:v>142.87774916057003</c:v>
                </c:pt>
                <c:pt idx="28">
                  <c:v>147.38202641782578</c:v>
                </c:pt>
                <c:pt idx="29">
                  <c:v>151.86376940705392</c:v>
                </c:pt>
                <c:pt idx="30">
                  <c:v>156.32341942451029</c:v>
                </c:pt>
                <c:pt idx="31">
                  <c:v>160.76138958025473</c:v>
                </c:pt>
                <c:pt idx="32">
                  <c:v>165.17806761589924</c:v>
                </c:pt>
                <c:pt idx="33">
                  <c:v>169.57381835733025</c:v>
                </c:pt>
                <c:pt idx="34">
                  <c:v>173.94898585948812</c:v>
                </c:pt>
                <c:pt idx="35">
                  <c:v>178.30389528994112</c:v>
                </c:pt>
                <c:pt idx="36">
                  <c:v>182.63885458975815</c:v>
                </c:pt>
                <c:pt idx="37">
                  <c:v>186.95415594359221</c:v>
                </c:pt>
                <c:pt idx="38">
                  <c:v>191.25007708556808</c:v>
                </c:pt>
                <c:pt idx="39">
                  <c:v>195.52688246325391</c:v>
                </c:pt>
                <c:pt idx="40">
                  <c:v>199.78482427847447</c:v>
                </c:pt>
                <c:pt idx="41">
                  <c:v>204.02414342083242</c:v>
                </c:pt>
                <c:pt idx="42">
                  <c:v>208.24507030741754</c:v>
                </c:pt>
                <c:pt idx="43">
                  <c:v>212.44782564020832</c:v>
                </c:pt>
                <c:pt idx="44">
                  <c:v>216.63262109101836</c:v>
                </c:pt>
                <c:pt idx="45">
                  <c:v>220.79965992246093</c:v>
                </c:pt>
                <c:pt idx="46">
                  <c:v>224.94913755224721</c:v>
                </c:pt>
                <c:pt idx="47">
                  <c:v>229.08124206714945</c:v>
                </c:pt>
                <c:pt idx="48">
                  <c:v>233.19615469213571</c:v>
                </c:pt>
                <c:pt idx="49">
                  <c:v>237.29405021947213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1CA-4454-BDF1-7FC94638062D}"/>
            </c:ext>
          </c:extLst>
        </c:ser>
        <c:ser>
          <c:idx val="10"/>
          <c:order val="10"/>
          <c:tx>
            <c:strRef>
              <c:f>Rho!$B$34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Rho!$C$34:$AZ$34</c:f>
              <c:numCache>
                <c:formatCode>General</c:formatCode>
                <c:ptCount val="50"/>
                <c:pt idx="0">
                  <c:v>9.3111062933054924</c:v>
                </c:pt>
                <c:pt idx="1">
                  <c:v>16.997597069863819</c:v>
                </c:pt>
                <c:pt idx="2">
                  <c:v>23.936909463006028</c:v>
                </c:pt>
                <c:pt idx="3">
                  <c:v>30.470390561626747</c:v>
                </c:pt>
                <c:pt idx="4">
                  <c:v>36.738595144398118</c:v>
                </c:pt>
                <c:pt idx="5">
                  <c:v>42.813919395874585</c:v>
                </c:pt>
                <c:pt idx="6">
                  <c:v>48.739182226438395</c:v>
                </c:pt>
                <c:pt idx="7">
                  <c:v>54.542150099630142</c:v>
                </c:pt>
                <c:pt idx="8">
                  <c:v>60.242046033683735</c:v>
                </c:pt>
                <c:pt idx="9">
                  <c:v>65.852844532273409</c:v>
                </c:pt>
                <c:pt idx="10">
                  <c:v>71.385096279460569</c:v>
                </c:pt>
                <c:pt idx="11">
                  <c:v>76.847010789415847</c:v>
                </c:pt>
                <c:pt idx="12">
                  <c:v>82.245134855835516</c:v>
                </c:pt>
                <c:pt idx="13">
                  <c:v>87.584796997583751</c:v>
                </c:pt>
                <c:pt idx="14">
                  <c:v>92.870409511912868</c:v>
                </c:pt>
                <c:pt idx="15">
                  <c:v>98.105680207936459</c:v>
                </c:pt>
                <c:pt idx="16">
                  <c:v>103.29376480098867</c:v>
                </c:pt>
                <c:pt idx="17">
                  <c:v>108.43737912904156</c:v>
                </c:pt>
                <c:pt idx="18">
                  <c:v>113.53888344474242</c:v>
                </c:pt>
                <c:pt idx="19">
                  <c:v>118.60034685036835</c:v>
                </c:pt>
                <c:pt idx="20">
                  <c:v>123.62359732426977</c:v>
                </c:pt>
                <c:pt idx="21">
                  <c:v>128.61026110284774</c:v>
                </c:pt>
                <c:pt idx="22">
                  <c:v>133.56179407133629</c:v>
                </c:pt>
                <c:pt idx="23">
                  <c:v>138.4795070678102</c:v>
                </c:pt>
                <c:pt idx="24">
                  <c:v>143.36458648983773</c:v>
                </c:pt>
                <c:pt idx="25">
                  <c:v>148.21811123257916</c:v>
                </c:pt>
                <c:pt idx="26">
                  <c:v>153.04106673045484</c:v>
                </c:pt>
                <c:pt idx="27">
                  <c:v>157.83435668906282</c:v>
                </c:pt>
                <c:pt idx="28">
                  <c:v>162.59881295819966</c:v>
                </c:pt>
                <c:pt idx="29">
                  <c:v>167.33520389609637</c:v>
                </c:pt>
                <c:pt idx="30">
                  <c:v>172.0442414993866</c:v>
                </c:pt>
                <c:pt idx="31">
                  <c:v>176.72658751598797</c:v>
                </c:pt>
                <c:pt idx="32">
                  <c:v>181.38285871415266</c:v>
                </c:pt>
                <c:pt idx="33">
                  <c:v>186.01363144697893</c:v>
                </c:pt>
                <c:pt idx="34">
                  <c:v>190.61944562518394</c:v>
                </c:pt>
                <c:pt idx="35">
                  <c:v>195.20080819010852</c:v>
                </c:pt>
                <c:pt idx="36">
                  <c:v>199.75819616241992</c:v>
                </c:pt>
                <c:pt idx="37">
                  <c:v>204.2920593288074</c:v>
                </c:pt>
                <c:pt idx="38">
                  <c:v>208.80282261838641</c:v>
                </c:pt>
                <c:pt idx="39">
                  <c:v>213.29088821197067</c:v>
                </c:pt>
                <c:pt idx="40">
                  <c:v>217.75663742041573</c:v>
                </c:pt>
                <c:pt idx="41">
                  <c:v>222.20043236254588</c:v>
                </c:pt>
                <c:pt idx="42">
                  <c:v>226.62261746849657</c:v>
                </c:pt>
                <c:pt idx="43">
                  <c:v>231.02352083043613</c:v>
                </c:pt>
                <c:pt idx="44">
                  <c:v>235.40345541941832</c:v>
                </c:pt>
                <c:pt idx="45">
                  <c:v>239.76272018443765</c:v>
                </c:pt>
                <c:pt idx="46">
                  <c:v>244.10160104751125</c:v>
                </c:pt>
                <c:pt idx="47">
                  <c:v>248.42037180672168</c:v>
                </c:pt>
                <c:pt idx="48">
                  <c:v>252.71929495756004</c:v>
                </c:pt>
                <c:pt idx="49">
                  <c:v>256.9986224415502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1CA-4454-BDF1-7FC94638062D}"/>
            </c:ext>
          </c:extLst>
        </c:ser>
        <c:ser>
          <c:idx val="11"/>
          <c:order val="11"/>
          <c:tx>
            <c:strRef>
              <c:f>Rho!$B$35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Rho!$C$35:$AZ$35</c:f>
              <c:numCache>
                <c:formatCode>General</c:formatCode>
                <c:ptCount val="50"/>
                <c:pt idx="0">
                  <c:v>9.8489758625579302</c:v>
                </c:pt>
                <c:pt idx="1">
                  <c:v>18.727453260072853</c:v>
                </c:pt>
                <c:pt idx="2">
                  <c:v>26.74171475353192</c:v>
                </c:pt>
                <c:pt idx="3">
                  <c:v>34.200126589648207</c:v>
                </c:pt>
                <c:pt idx="4">
                  <c:v>41.277215823472964</c:v>
                </c:pt>
                <c:pt idx="5">
                  <c:v>48.073652121744175</c:v>
                </c:pt>
                <c:pt idx="6">
                  <c:v>54.652113577166297</c:v>
                </c:pt>
                <c:pt idx="7">
                  <c:v>61.054291488019352</c:v>
                </c:pt>
                <c:pt idx="8">
                  <c:v>67.309416261096175</c:v>
                </c:pt>
                <c:pt idx="9">
                  <c:v>73.43885824101524</c:v>
                </c:pt>
                <c:pt idx="10">
                  <c:v>79.458778146251888</c:v>
                </c:pt>
                <c:pt idx="11">
                  <c:v>85.381740275363398</c:v>
                </c:pt>
                <c:pt idx="12">
                  <c:v>91.217740659853305</c:v>
                </c:pt>
                <c:pt idx="13">
                  <c:v>96.974888251429135</c:v>
                </c:pt>
                <c:pt idx="14">
                  <c:v>102.65987136012461</c:v>
                </c:pt>
                <c:pt idx="15">
                  <c:v>108.27828621505343</c:v>
                </c:pt>
                <c:pt idx="16">
                  <c:v>113.83487415197752</c:v>
                </c:pt>
                <c:pt idx="17">
                  <c:v>119.33369655013396</c:v>
                </c:pt>
                <c:pt idx="18">
                  <c:v>124.77826631673554</c:v>
                </c:pt>
                <c:pt idx="19">
                  <c:v>130.1716483822899</c:v>
                </c:pt>
                <c:pt idx="20">
                  <c:v>135.51653766829455</c:v>
                </c:pt>
                <c:pt idx="21">
                  <c:v>140.81532039534991</c:v>
                </c:pt>
                <c:pt idx="22">
                  <c:v>146.07012287953319</c:v>
                </c:pt>
                <c:pt idx="23">
                  <c:v>151.28285079991707</c:v>
                </c:pt>
                <c:pt idx="24">
                  <c:v>156.45522111616262</c:v>
                </c:pt>
                <c:pt idx="25">
                  <c:v>161.58878825070076</c:v>
                </c:pt>
                <c:pt idx="26">
                  <c:v>166.68496574750907</c:v>
                </c:pt>
                <c:pt idx="27">
                  <c:v>171.74504432829821</c:v>
                </c:pt>
                <c:pt idx="28">
                  <c:v>176.77020705345612</c:v>
                </c:pt>
                <c:pt idx="29">
                  <c:v>181.76154213669031</c:v>
                </c:pt>
                <c:pt idx="30">
                  <c:v>186.72005384342674</c:v>
                </c:pt>
                <c:pt idx="31">
                  <c:v>191.64667181286191</c:v>
                </c:pt>
                <c:pt idx="32">
                  <c:v>196.54225907451516</c:v>
                </c:pt>
                <c:pt idx="33">
                  <c:v>201.40761897676569</c:v>
                </c:pt>
                <c:pt idx="34">
                  <c:v>206.2435012032638</c:v>
                </c:pt>
                <c:pt idx="35">
                  <c:v>211.05060702042684</c:v>
                </c:pt>
                <c:pt idx="36">
                  <c:v>215.82959387335973</c:v>
                </c:pt>
                <c:pt idx="37">
                  <c:v>220.58107942691839</c:v>
                </c:pt>
                <c:pt idx="38">
                  <c:v>225.30564513208424</c:v>
                </c:pt>
                <c:pt idx="39">
                  <c:v>230.00383938445145</c:v>
                </c:pt>
                <c:pt idx="40">
                  <c:v>234.67618033077457</c:v>
                </c:pt>
                <c:pt idx="41">
                  <c:v>239.32315837065198</c:v>
                </c:pt>
                <c:pt idx="42">
                  <c:v>243.94523839313743</c:v>
                </c:pt>
                <c:pt idx="43">
                  <c:v>248.54286178205993</c:v>
                </c:pt>
                <c:pt idx="44">
                  <c:v>253.11644821884346</c:v>
                </c:pt>
                <c:pt idx="45">
                  <c:v>257.66639730746357</c:v>
                </c:pt>
                <c:pt idx="46">
                  <c:v>262.19309004270082</c:v>
                </c:pt>
                <c:pt idx="47">
                  <c:v>266.69689013992627</c:v>
                </c:pt>
                <c:pt idx="48">
                  <c:v>271.17814524219278</c:v>
                </c:pt>
                <c:pt idx="49">
                  <c:v>275.63718801831254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1CA-4454-BDF1-7FC94638062D}"/>
            </c:ext>
          </c:extLst>
        </c:ser>
        <c:ser>
          <c:idx val="12"/>
          <c:order val="12"/>
          <c:tx>
            <c:strRef>
              <c:f>Rho!$B$36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Rho!$C$36:$AZ$36</c:f>
              <c:numCache>
                <c:formatCode>General</c:formatCode>
                <c:ptCount val="50"/>
                <c:pt idx="0">
                  <c:v>9.9693029945287854</c:v>
                </c:pt>
                <c:pt idx="1">
                  <c:v>19.522974084010126</c:v>
                </c:pt>
                <c:pt idx="2">
                  <c:v>28.39016422301777</c:v>
                </c:pt>
                <c:pt idx="3">
                  <c:v>36.680746478076991</c:v>
                </c:pt>
                <c:pt idx="4">
                  <c:v>44.52940714583994</c:v>
                </c:pt>
                <c:pt idx="5">
                  <c:v>52.035124616342841</c:v>
                </c:pt>
                <c:pt idx="6">
                  <c:v>59.267237553388952</c:v>
                </c:pt>
                <c:pt idx="7">
                  <c:v>66.275083755870511</c:v>
                </c:pt>
                <c:pt idx="8">
                  <c:v>73.094735333031409</c:v>
                </c:pt>
                <c:pt idx="9">
                  <c:v>79.753296736124071</c:v>
                </c:pt>
                <c:pt idx="10">
                  <c:v>86.27164604316286</c:v>
                </c:pt>
                <c:pt idx="11">
                  <c:v>92.666220586205981</c:v>
                </c:pt>
                <c:pt idx="12">
                  <c:v>98.950210815958272</c:v>
                </c:pt>
                <c:pt idx="13">
                  <c:v>105.13437955576562</c:v>
                </c:pt>
                <c:pt idx="14">
                  <c:v>111.22763803332587</c:v>
                </c:pt>
                <c:pt idx="15">
                  <c:v>117.23745998936677</c:v>
                </c:pt>
                <c:pt idx="16">
                  <c:v>123.17018541516252</c:v>
                </c:pt>
                <c:pt idx="17">
                  <c:v>129.03124740461573</c:v>
                </c:pt>
                <c:pt idx="18">
                  <c:v>134.82534437247151</c:v>
                </c:pt>
                <c:pt idx="19">
                  <c:v>140.55657274099252</c:v>
                </c:pt>
                <c:pt idx="20">
                  <c:v>146.22853054687866</c:v>
                </c:pt>
                <c:pt idx="21">
                  <c:v>151.84439933243175</c:v>
                </c:pt>
                <c:pt idx="22">
                  <c:v>157.40700959544188</c:v>
                </c:pt>
                <c:pt idx="23">
                  <c:v>162.9188936331866</c:v>
                </c:pt>
                <c:pt idx="24">
                  <c:v>168.382328608569</c:v>
                </c:pt>
                <c:pt idx="25">
                  <c:v>173.79937195057423</c:v>
                </c:pt>
                <c:pt idx="26">
                  <c:v>179.17189068540515</c:v>
                </c:pt>
                <c:pt idx="27">
                  <c:v>184.50158591813749</c:v>
                </c:pt>
                <c:pt idx="28">
                  <c:v>189.7900134065834</c:v>
                </c:pt>
                <c:pt idx="29">
                  <c:v>195.03860096125632</c:v>
                </c:pt>
                <c:pt idx="30">
                  <c:v>200.24866324847756</c:v>
                </c:pt>
                <c:pt idx="31">
                  <c:v>205.42141445409717</c:v>
                </c:pt>
                <c:pt idx="32">
                  <c:v>210.55797917333442</c:v>
                </c:pt>
                <c:pt idx="33">
                  <c:v>215.65940182088951</c:v>
                </c:pt>
                <c:pt idx="34">
                  <c:v>220.72665479967583</c:v>
                </c:pt>
                <c:pt idx="35">
                  <c:v>225.76064562254984</c:v>
                </c:pt>
                <c:pt idx="36">
                  <c:v>230.76222314651963</c:v>
                </c:pt>
                <c:pt idx="37">
                  <c:v>235.73218305103018</c:v>
                </c:pt>
                <c:pt idx="38">
                  <c:v>240.67127266950595</c:v>
                </c:pt>
                <c:pt idx="39">
                  <c:v>245.58019526519712</c:v>
                </c:pt>
                <c:pt idx="40">
                  <c:v>250.45961382762172</c:v>
                </c:pt>
                <c:pt idx="41">
                  <c:v>255.31015445383105</c:v>
                </c:pt>
                <c:pt idx="42">
                  <c:v>260.13240936880339</c:v>
                </c:pt>
                <c:pt idx="43">
                  <c:v>264.92693963107473</c:v>
                </c:pt>
                <c:pt idx="44">
                  <c:v>269.6942775629131</c:v>
                </c:pt>
                <c:pt idx="45">
                  <c:v>274.43492893866892</c:v>
                </c:pt>
                <c:pt idx="46">
                  <c:v>279.14937496018666</c:v>
                </c:pt>
                <c:pt idx="47">
                  <c:v>283.83807404416842</c:v>
                </c:pt>
                <c:pt idx="48">
                  <c:v>288.5014634430118</c:v>
                </c:pt>
                <c:pt idx="49">
                  <c:v>293.13996071778939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1CA-4454-BDF1-7FC94638062D}"/>
            </c:ext>
          </c:extLst>
        </c:ser>
        <c:ser>
          <c:idx val="13"/>
          <c:order val="13"/>
          <c:tx>
            <c:strRef>
              <c:f>Rho!$B$37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Rho!$C$37:$AZ$37</c:f>
              <c:numCache>
                <c:formatCode>General</c:formatCode>
                <c:ptCount val="50"/>
                <c:pt idx="0">
                  <c:v>9.9877868050641503</c:v>
                </c:pt>
                <c:pt idx="1">
                  <c:v>19.8261213746312</c:v>
                </c:pt>
                <c:pt idx="2">
                  <c:v>29.245072006046914</c:v>
                </c:pt>
                <c:pt idx="3">
                  <c:v>38.183205335550987</c:v>
                </c:pt>
                <c:pt idx="4">
                  <c:v>46.692198548977835</c:v>
                </c:pt>
                <c:pt idx="5">
                  <c:v>54.839430840815332</c:v>
                </c:pt>
                <c:pt idx="6">
                  <c:v>62.683596450535603</c:v>
                </c:pt>
                <c:pt idx="7">
                  <c:v>70.271704194040638</c:v>
                </c:pt>
                <c:pt idx="8">
                  <c:v>77.640758146235612</c:v>
                </c:pt>
                <c:pt idx="9">
                  <c:v>84.819982584634872</c:v>
                </c:pt>
                <c:pt idx="10">
                  <c:v>91.832695816939776</c:v>
                </c:pt>
                <c:pt idx="11">
                  <c:v>98.697735694326767</c:v>
                </c:pt>
                <c:pt idx="12">
                  <c:v>105.43051355826336</c:v>
                </c:pt>
                <c:pt idx="13">
                  <c:v>112.04379047813339</c:v>
                </c:pt>
                <c:pt idx="14">
                  <c:v>118.54825237304844</c:v>
                </c:pt>
                <c:pt idx="15">
                  <c:v>124.95294041224376</c:v>
                </c:pt>
                <c:pt idx="16">
                  <c:v>131.26557684852222</c:v>
                </c:pt>
                <c:pt idx="17">
                  <c:v>137.492814637484</c:v>
                </c:pt>
                <c:pt idx="18">
                  <c:v>143.64043091141022</c:v>
                </c:pt>
                <c:pt idx="19">
                  <c:v>149.71347861958171</c:v>
                </c:pt>
                <c:pt idx="20">
                  <c:v>155.71640664155908</c:v>
                </c:pt>
                <c:pt idx="21">
                  <c:v>161.65315587575483</c:v>
                </c:pt>
                <c:pt idx="22">
                  <c:v>167.52723682476258</c:v>
                </c:pt>
                <c:pt idx="23">
                  <c:v>173.34179278544363</c:v>
                </c:pt>
                <c:pt idx="24">
                  <c:v>179.09965173251067</c:v>
                </c:pt>
                <c:pt idx="25">
                  <c:v>184.80336924155054</c:v>
                </c:pt>
                <c:pt idx="26">
                  <c:v>190.45526425048573</c:v>
                </c:pt>
                <c:pt idx="27">
                  <c:v>196.05744905169558</c:v>
                </c:pt>
                <c:pt idx="28">
                  <c:v>201.61185460156619</c:v>
                </c:pt>
                <c:pt idx="29">
                  <c:v>207.12025200276011</c:v>
                </c:pt>
                <c:pt idx="30">
                  <c:v>212.5842708375425</c:v>
                </c:pt>
                <c:pt idx="31">
                  <c:v>218.00541489409568</c:v>
                </c:pt>
                <c:pt idx="32">
                  <c:v>223.38507572177815</c:v>
                </c:pt>
                <c:pt idx="33">
                  <c:v>228.72454436833027</c:v>
                </c:pt>
                <c:pt idx="34">
                  <c:v>234.02502158663111</c:v>
                </c:pt>
                <c:pt idx="35">
                  <c:v>239.28762674670665</c:v>
                </c:pt>
                <c:pt idx="36">
                  <c:v>244.51340564723014</c:v>
                </c:pt>
                <c:pt idx="37">
                  <c:v>249.70333738743304</c:v>
                </c:pt>
                <c:pt idx="38">
                  <c:v>254.85834043341276</c:v>
                </c:pt>
                <c:pt idx="39">
                  <c:v>259.97927799092867</c:v>
                </c:pt>
                <c:pt idx="40">
                  <c:v>265.06696277889193</c:v>
                </c:pt>
                <c:pt idx="41">
                  <c:v>270.12216128306079</c:v>
                </c:pt>
                <c:pt idx="42">
                  <c:v>275.14559755733603</c:v>
                </c:pt>
                <c:pt idx="43">
                  <c:v>280.1379566299978</c:v>
                </c:pt>
                <c:pt idx="44">
                  <c:v>285.09988756386525</c:v>
                </c:pt>
                <c:pt idx="45">
                  <c:v>290.03200621235965</c:v>
                </c:pt>
                <c:pt idx="46">
                  <c:v>294.93489770758788</c:v>
                </c:pt>
                <c:pt idx="47">
                  <c:v>299.80911871160851</c:v>
                </c:pt>
                <c:pt idx="48">
                  <c:v>304.65519945786616</c:v>
                </c:pt>
                <c:pt idx="49">
                  <c:v>309.47364560622196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1CA-4454-BDF1-7FC94638062D}"/>
            </c:ext>
          </c:extLst>
        </c:ser>
        <c:ser>
          <c:idx val="14"/>
          <c:order val="14"/>
          <c:tx>
            <c:strRef>
              <c:f>Rho!$B$38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Rho!$C$38:$AZ$38</c:f>
              <c:numCache>
                <c:formatCode>General</c:formatCode>
                <c:ptCount val="50"/>
                <c:pt idx="0">
                  <c:v>9.989825783141761</c:v>
                </c:pt>
                <c:pt idx="1">
                  <c:v>19.924080062887661</c:v>
                </c:pt>
                <c:pt idx="2">
                  <c:v>29.642425234579129</c:v>
                </c:pt>
                <c:pt idx="3">
                  <c:v>39.021658405667154</c:v>
                </c:pt>
                <c:pt idx="4">
                  <c:v>48.039616695751526</c:v>
                </c:pt>
                <c:pt idx="5">
                  <c:v>56.719853041525752</c:v>
                </c:pt>
                <c:pt idx="6">
                  <c:v>65.098182663181063</c:v>
                </c:pt>
                <c:pt idx="7">
                  <c:v>73.210216289147141</c:v>
                </c:pt>
                <c:pt idx="8">
                  <c:v>81.087590504535044</c:v>
                </c:pt>
                <c:pt idx="9">
                  <c:v>88.757319713568393</c:v>
                </c:pt>
                <c:pt idx="10">
                  <c:v>96.242165870813224</c:v>
                </c:pt>
                <c:pt idx="11">
                  <c:v>103.56126648920475</c:v>
                </c:pt>
                <c:pt idx="12">
                  <c:v>110.73075933133246</c:v>
                </c:pt>
                <c:pt idx="13">
                  <c:v>117.7643251164187</c:v>
                </c:pt>
                <c:pt idx="14">
                  <c:v>124.67363530085693</c:v>
                </c:pt>
                <c:pt idx="15">
                  <c:v>131.46871378977332</c:v>
                </c:pt>
                <c:pt idx="16">
                  <c:v>138.15822691407394</c:v>
                </c:pt>
                <c:pt idx="17">
                  <c:v>144.74971570890841</c:v>
                </c:pt>
                <c:pt idx="18">
                  <c:v>151.24978248367267</c:v>
                </c:pt>
                <c:pt idx="19">
                  <c:v>157.66424137341923</c:v>
                </c:pt>
                <c:pt idx="20">
                  <c:v>163.99824050897516</c:v>
                </c:pt>
                <c:pt idx="21">
                  <c:v>170.25636176013873</c:v>
                </c:pt>
                <c:pt idx="22">
                  <c:v>176.44270267799365</c:v>
                </c:pt>
                <c:pt idx="23">
                  <c:v>182.56094423252131</c:v>
                </c:pt>
                <c:pt idx="24">
                  <c:v>188.61440714938252</c:v>
                </c:pt>
                <c:pt idx="25">
                  <c:v>194.60609904147438</c:v>
                </c:pt>
                <c:pt idx="26">
                  <c:v>200.53875406336624</c:v>
                </c:pt>
                <c:pt idx="27">
                  <c:v>206.41486645630164</c:v>
                </c:pt>
                <c:pt idx="28">
                  <c:v>212.23671907241214</c:v>
                </c:pt>
                <c:pt idx="29">
                  <c:v>218.0064077496892</c:v>
                </c:pt>
                <c:pt idx="30">
                  <c:v>223.72586223945231</c:v>
                </c:pt>
                <c:pt idx="31">
                  <c:v>229.39686425450574</c:v>
                </c:pt>
                <c:pt idx="32">
                  <c:v>235.02106310056189</c:v>
                </c:pt>
                <c:pt idx="33">
                  <c:v>240.59998926952923</c:v>
                </c:pt>
                <c:pt idx="34">
                  <c:v>246.13506630611039</c:v>
                </c:pt>
                <c:pt idx="35">
                  <c:v>251.62762120518866</c:v>
                </c:pt>
                <c:pt idx="36">
                  <c:v>257.0788935538697</c:v>
                </c:pt>
                <c:pt idx="37">
                  <c:v>262.49004359663627</c:v>
                </c:pt>
                <c:pt idx="38">
                  <c:v>267.86215937318008</c:v>
                </c:pt>
                <c:pt idx="39">
                  <c:v>273.19626305478522</c:v>
                </c:pt>
                <c:pt idx="40">
                  <c:v>278.49331658563358</c:v>
                </c:pt>
                <c:pt idx="41">
                  <c:v>283.75422671926339</c:v>
                </c:pt>
                <c:pt idx="42">
                  <c:v>288.9798495270137</c:v>
                </c:pt>
                <c:pt idx="43">
                  <c:v>294.17099444410718</c:v>
                </c:pt>
                <c:pt idx="44">
                  <c:v>299.32842790966822</c:v>
                </c:pt>
                <c:pt idx="45">
                  <c:v>304.45287664910694</c:v>
                </c:pt>
                <c:pt idx="46">
                  <c:v>309.54503064066824</c:v>
                </c:pt>
                <c:pt idx="47">
                  <c:v>314.60554580232815</c:v>
                </c:pt>
                <c:pt idx="48">
                  <c:v>319.63504643045547</c:v>
                </c:pt>
                <c:pt idx="49">
                  <c:v>324.63412741759055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1CA-4454-BDF1-7FC94638062D}"/>
            </c:ext>
          </c:extLst>
        </c:ser>
        <c:ser>
          <c:idx val="15"/>
          <c:order val="15"/>
          <c:tx>
            <c:strRef>
              <c:f>Rho!$B$39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Rho!$C$39:$AZ$39</c:f>
              <c:numCache>
                <c:formatCode>General</c:formatCode>
                <c:ptCount val="50"/>
                <c:pt idx="0">
                  <c:v>9.9899937425487071</c:v>
                </c:pt>
                <c:pt idx="1">
                  <c:v>19.951462891393383</c:v>
                </c:pt>
                <c:pt idx="2">
                  <c:v>29.810172215636356</c:v>
                </c:pt>
                <c:pt idx="3">
                  <c:v>39.457121776080655</c:v>
                </c:pt>
                <c:pt idx="4">
                  <c:v>48.832355634235014</c:v>
                </c:pt>
                <c:pt idx="5">
                  <c:v>57.922265459566475</c:v>
                </c:pt>
                <c:pt idx="6">
                  <c:v>66.73692184392155</c:v>
                </c:pt>
                <c:pt idx="7">
                  <c:v>75.295737423125914</c:v>
                </c:pt>
                <c:pt idx="8">
                  <c:v>83.62051674627169</c:v>
                </c:pt>
                <c:pt idx="9">
                  <c:v>91.732436651684779</c:v>
                </c:pt>
                <c:pt idx="10">
                  <c:v>99.650887955721103</c:v>
                </c:pt>
                <c:pt idx="11">
                  <c:v>107.39315723574289</c:v>
                </c:pt>
                <c:pt idx="12">
                  <c:v>114.97446966285729</c:v>
                </c:pt>
                <c:pt idx="13">
                  <c:v>122.40817222241328</c:v>
                </c:pt>
                <c:pt idx="14">
                  <c:v>129.70595750120449</c:v>
                </c:pt>
                <c:pt idx="15">
                  <c:v>136.87808460213029</c:v>
                </c:pt>
                <c:pt idx="16">
                  <c:v>143.9335799807825</c:v>
                </c:pt>
                <c:pt idx="17">
                  <c:v>150.88041303921528</c:v>
                </c:pt>
                <c:pt idx="18">
                  <c:v>157.72564663370272</c:v>
                </c:pt>
                <c:pt idx="19">
                  <c:v>164.47556479755497</c:v>
                </c:pt>
                <c:pt idx="20">
                  <c:v>171.13578064331162</c:v>
                </c:pt>
                <c:pt idx="21">
                  <c:v>177.71132740782372</c:v>
                </c:pt>
                <c:pt idx="22">
                  <c:v>184.20673533132472</c:v>
                </c:pt>
                <c:pt idx="23">
                  <c:v>190.62609670309027</c:v>
                </c:pt>
                <c:pt idx="24">
                  <c:v>196.97312104593431</c:v>
                </c:pt>
                <c:pt idx="25">
                  <c:v>203.25118208448924</c:v>
                </c:pt>
                <c:pt idx="26">
                  <c:v>209.46335785925817</c:v>
                </c:pt>
                <c:pt idx="27">
                  <c:v>215.61246511026602</c:v>
                </c:pt>
                <c:pt idx="28">
                  <c:v>221.70108885668176</c:v>
                </c:pt>
                <c:pt idx="29">
                  <c:v>227.7316079364563</c:v>
                </c:pt>
                <c:pt idx="30">
                  <c:v>233.70621713715138</c:v>
                </c:pt>
                <c:pt idx="31">
                  <c:v>239.62694644057069</c:v>
                </c:pt>
                <c:pt idx="32">
                  <c:v>245.4956778151039</c:v>
                </c:pt>
                <c:pt idx="33">
                  <c:v>251.31415991714908</c:v>
                </c:pt>
                <c:pt idx="34">
                  <c:v>257.08402100352959</c:v>
                </c:pt>
                <c:pt idx="35">
                  <c:v>262.80678030799385</c:v>
                </c:pt>
                <c:pt idx="36">
                  <c:v>268.48385809466879</c:v>
                </c:pt>
                <c:pt idx="37">
                  <c:v>274.11658456811546</c:v>
                </c:pt>
                <c:pt idx="38">
                  <c:v>279.70620779210606</c:v>
                </c:pt>
                <c:pt idx="39">
                  <c:v>285.25390074635317</c:v>
                </c:pt>
                <c:pt idx="40">
                  <c:v>290.76076763133943</c:v>
                </c:pt>
                <c:pt idx="41">
                  <c:v>296.22784951542133</c:v>
                </c:pt>
                <c:pt idx="42">
                  <c:v>301.65612940497795</c:v>
                </c:pt>
                <c:pt idx="43">
                  <c:v>307.0465368070881</c:v>
                </c:pt>
                <c:pt idx="44">
                  <c:v>312.39995184468148</c:v>
                </c:pt>
                <c:pt idx="45">
                  <c:v>317.7172089760324</c:v>
                </c:pt>
                <c:pt idx="46">
                  <c:v>322.99910036359785</c:v>
                </c:pt>
                <c:pt idx="47">
                  <c:v>328.24637893134854</c:v>
                </c:pt>
                <c:pt idx="48">
                  <c:v>333.45976114474058</c:v>
                </c:pt>
                <c:pt idx="49">
                  <c:v>338.63992954318462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1CA-4454-BDF1-7FC94638062D}"/>
            </c:ext>
          </c:extLst>
        </c:ser>
        <c:ser>
          <c:idx val="16"/>
          <c:order val="16"/>
          <c:tx>
            <c:strRef>
              <c:f>Rho!$B$40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Rho!$C$40:$AZ$40</c:f>
              <c:numCache>
                <c:formatCode>General</c:formatCode>
                <c:ptCount val="50"/>
                <c:pt idx="0">
                  <c:v>9.9900044333117659</c:v>
                </c:pt>
                <c:pt idx="1">
                  <c:v>19.958199888181859</c:v>
                </c:pt>
                <c:pt idx="2">
                  <c:v>29.875241343482664</c:v>
                </c:pt>
                <c:pt idx="3">
                  <c:v>39.669441320637574</c:v>
                </c:pt>
                <c:pt idx="4">
                  <c:v>49.275873716227721</c:v>
                </c:pt>
                <c:pt idx="5">
                  <c:v>58.659707295076828</c:v>
                </c:pt>
                <c:pt idx="6">
                  <c:v>67.810197543662667</c:v>
                </c:pt>
                <c:pt idx="7">
                  <c:v>76.730661853179072</c:v>
                </c:pt>
                <c:pt idx="8">
                  <c:v>85.431448147951755</c:v>
                </c:pt>
                <c:pt idx="9">
                  <c:v>93.925858365570534</c:v>
                </c:pt>
                <c:pt idx="10">
                  <c:v>102.22796567098746</c:v>
                </c:pt>
                <c:pt idx="11">
                  <c:v>110.35151195897653</c:v>
                </c:pt>
                <c:pt idx="12">
                  <c:v>118.30939435504304</c:v>
                </c:pt>
                <c:pt idx="13">
                  <c:v>126.11346472821283</c:v>
                </c:pt>
                <c:pt idx="14">
                  <c:v>133.77449114730291</c:v>
                </c:pt>
                <c:pt idx="15">
                  <c:v>141.30219947676213</c:v>
                </c:pt>
                <c:pt idx="16">
                  <c:v>148.70535118023273</c:v>
                </c:pt>
                <c:pt idx="17">
                  <c:v>155.9918340531236</c:v>
                </c:pt>
                <c:pt idx="18">
                  <c:v>163.16875387224707</c:v>
                </c:pt>
                <c:pt idx="19">
                  <c:v>170.24252108865093</c:v>
                </c:pt>
                <c:pt idx="20">
                  <c:v>177.21893001152091</c:v>
                </c:pt>
                <c:pt idx="21">
                  <c:v>184.10322969922836</c:v>
                </c:pt>
                <c:pt idx="22">
                  <c:v>190.90018668324839</c:v>
                </c:pt>
                <c:pt idx="23">
                  <c:v>197.61414008721923</c:v>
                </c:pt>
                <c:pt idx="24">
                  <c:v>204.24904988195715</c:v>
                </c:pt>
                <c:pt idx="25">
                  <c:v>210.80853905822912</c:v>
                </c:pt>
                <c:pt idx="26">
                  <c:v>217.29593046992025</c:v>
                </c:pt>
                <c:pt idx="27">
                  <c:v>223.71427903840043</c:v>
                </c:pt>
                <c:pt idx="28">
                  <c:v>230.06639993491453</c:v>
                </c:pt>
                <c:pt idx="29">
                  <c:v>236.35489328260059</c:v>
                </c:pt>
                <c:pt idx="30">
                  <c:v>242.58216584875814</c:v>
                </c:pt>
                <c:pt idx="31">
                  <c:v>248.75045013367262</c:v>
                </c:pt>
                <c:pt idx="32">
                  <c:v>254.86182120543509</c:v>
                </c:pt>
                <c:pt idx="33">
                  <c:v>260.91821158066881</c:v>
                </c:pt>
                <c:pt idx="34">
                  <c:v>266.92142440835255</c:v>
                </c:pt>
                <c:pt idx="35">
                  <c:v>272.87314517731136</c:v>
                </c:pt>
                <c:pt idx="36">
                  <c:v>278.77495213666674</c:v>
                </c:pt>
                <c:pt idx="37">
                  <c:v>284.62832559188035</c:v>
                </c:pt>
                <c:pt idx="38">
                  <c:v>290.43465621632822</c:v>
                </c:pt>
                <c:pt idx="39">
                  <c:v>296.19525249901477</c:v>
                </c:pt>
                <c:pt idx="40">
                  <c:v>301.91134743257601</c:v>
                </c:pt>
                <c:pt idx="41">
                  <c:v>307.58410453168091</c:v>
                </c:pt>
                <c:pt idx="42">
                  <c:v>313.21462325995731</c:v>
                </c:pt>
                <c:pt idx="43">
                  <c:v>318.80394393331824</c:v>
                </c:pt>
                <c:pt idx="44">
                  <c:v>324.35305215878776</c:v>
                </c:pt>
                <c:pt idx="45">
                  <c:v>329.86288286039138</c:v>
                </c:pt>
                <c:pt idx="46">
                  <c:v>335.33432393719795</c:v>
                </c:pt>
                <c:pt idx="47">
                  <c:v>340.7682195930214</c:v>
                </c:pt>
                <c:pt idx="48">
                  <c:v>346.16537337247269</c:v>
                </c:pt>
                <c:pt idx="49">
                  <c:v>351.52655093388364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1CA-4454-BDF1-7FC9463806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04340208"/>
        <c:axId val="821368704"/>
        <c:axId val="1059042208"/>
      </c:surface3DChart>
      <c:catAx>
        <c:axId val="404340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368704"/>
        <c:crosses val="autoZero"/>
        <c:auto val="1"/>
        <c:lblAlgn val="ctr"/>
        <c:lblOffset val="100"/>
        <c:noMultiLvlLbl val="0"/>
      </c:catAx>
      <c:valAx>
        <c:axId val="82136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340208"/>
        <c:crosses val="autoZero"/>
        <c:crossBetween val="midCat"/>
      </c:valAx>
      <c:serAx>
        <c:axId val="10590422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36870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Rho, vol=40%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54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Rho!$B$45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Rho!$C$45:$AZ$45</c:f>
              <c:numCache>
                <c:formatCode>General</c:formatCode>
                <c:ptCount val="50"/>
                <c:pt idx="0">
                  <c:v>2.1199464390282875E-4</c:v>
                </c:pt>
                <c:pt idx="1">
                  <c:v>3.3410152637297671E-2</c:v>
                </c:pt>
                <c:pt idx="2">
                  <c:v>0.22740331672264325</c:v>
                </c:pt>
                <c:pt idx="3">
                  <c:v>0.66095606128822748</c:v>
                </c:pt>
                <c:pt idx="4">
                  <c:v>1.3341496192013671</c:v>
                </c:pt>
                <c:pt idx="5">
                  <c:v>2.2182054930954451</c:v>
                </c:pt>
                <c:pt idx="6">
                  <c:v>3.2798013308085325</c:v>
                </c:pt>
                <c:pt idx="7">
                  <c:v>4.4887301949385643</c:v>
                </c:pt>
                <c:pt idx="8">
                  <c:v>5.8195424216233285</c:v>
                </c:pt>
                <c:pt idx="9">
                  <c:v>7.2513128024172824</c:v>
                </c:pt>
                <c:pt idx="10">
                  <c:v>8.7669381205946699</c:v>
                </c:pt>
                <c:pt idx="11">
                  <c:v>10.352412970428153</c:v>
                </c:pt>
                <c:pt idx="12">
                  <c:v>11.996208096973973</c:v>
                </c:pt>
                <c:pt idx="13">
                  <c:v>13.688769165660592</c:v>
                </c:pt>
                <c:pt idx="14">
                  <c:v>15.422122124389954</c:v>
                </c:pt>
                <c:pt idx="15">
                  <c:v>17.189564805243414</c:v>
                </c:pt>
                <c:pt idx="16">
                  <c:v>18.985425868221043</c:v>
                </c:pt>
                <c:pt idx="17">
                  <c:v>20.804875617053547</c:v>
                </c:pt>
                <c:pt idx="18">
                  <c:v>22.64377663485114</c:v>
                </c:pt>
                <c:pt idx="19">
                  <c:v>24.498565043083374</c:v>
                </c:pt>
                <c:pt idx="20">
                  <c:v>26.366155419206429</c:v>
                </c:pt>
                <c:pt idx="21">
                  <c:v>28.243864102552326</c:v>
                </c:pt>
                <c:pt idx="22">
                  <c:v>30.129346888716384</c:v>
                </c:pt>
                <c:pt idx="23">
                  <c:v>32.020548062063739</c:v>
                </c:pt>
                <c:pt idx="24">
                  <c:v>33.915658426022354</c:v>
                </c:pt>
                <c:pt idx="25">
                  <c:v>35.813080523787924</c:v>
                </c:pt>
                <c:pt idx="26">
                  <c:v>37.711399644145345</c:v>
                </c:pt>
                <c:pt idx="27">
                  <c:v>39.609359512258941</c:v>
                </c:pt>
                <c:pt idx="28">
                  <c:v>41.505841798346964</c:v>
                </c:pt>
                <c:pt idx="29">
                  <c:v>43.399848756334357</c:v>
                </c:pt>
                <c:pt idx="30">
                  <c:v>45.290488443240832</c:v>
                </c:pt>
                <c:pt idx="31">
                  <c:v>47.176962078068236</c:v>
                </c:pt>
                <c:pt idx="32">
                  <c:v>49.058553183620127</c:v>
                </c:pt>
                <c:pt idx="33">
                  <c:v>50.934618221470217</c:v>
                </c:pt>
                <c:pt idx="34">
                  <c:v>52.804578483291323</c:v>
                </c:pt>
                <c:pt idx="35">
                  <c:v>54.667913044052376</c:v>
                </c:pt>
                <c:pt idx="36">
                  <c:v>56.524152616536952</c:v>
                </c:pt>
                <c:pt idx="37">
                  <c:v>58.372874174027899</c:v>
                </c:pt>
                <c:pt idx="38">
                  <c:v>60.213696230216847</c:v>
                </c:pt>
                <c:pt idx="39">
                  <c:v>62.046274683504308</c:v>
                </c:pt>
                <c:pt idx="40">
                  <c:v>63.870299147684264</c:v>
                </c:pt>
                <c:pt idx="41">
                  <c:v>65.68548970320505</c:v>
                </c:pt>
                <c:pt idx="42">
                  <c:v>67.491594013277791</c:v>
                </c:pt>
                <c:pt idx="43">
                  <c:v>69.288384757466204</c:v>
                </c:pt>
                <c:pt idx="44">
                  <c:v>71.07565734235817</c:v>
                </c:pt>
                <c:pt idx="45">
                  <c:v>72.85322785474682</c:v>
                </c:pt>
                <c:pt idx="46">
                  <c:v>74.620931227637953</c:v>
                </c:pt>
                <c:pt idx="47">
                  <c:v>76.378619593521591</c:v>
                </c:pt>
                <c:pt idx="48">
                  <c:v>78.126160802828011</c:v>
                </c:pt>
                <c:pt idx="49">
                  <c:v>79.863437088441117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40-4C63-BB64-70DF2F2E85EF}"/>
            </c:ext>
          </c:extLst>
        </c:ser>
        <c:ser>
          <c:idx val="1"/>
          <c:order val="1"/>
          <c:tx>
            <c:strRef>
              <c:f>Rho!$B$46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Rho!$C$46:$AZ$46</c:f>
              <c:numCache>
                <c:formatCode>General</c:formatCode>
                <c:ptCount val="50"/>
                <c:pt idx="0">
                  <c:v>2.688395841193117E-3</c:v>
                </c:pt>
                <c:pt idx="1">
                  <c:v>0.12878062769075843</c:v>
                </c:pt>
                <c:pt idx="2">
                  <c:v>0.58621559612638163</c:v>
                </c:pt>
                <c:pt idx="3">
                  <c:v>1.3895295048668961</c:v>
                </c:pt>
                <c:pt idx="4">
                  <c:v>2.4776047475522174</c:v>
                </c:pt>
                <c:pt idx="5">
                  <c:v>3.7882430933967277</c:v>
                </c:pt>
                <c:pt idx="6">
                  <c:v>5.2717373794706477</c:v>
                </c:pt>
                <c:pt idx="7">
                  <c:v>6.8902669412987683</c:v>
                </c:pt>
                <c:pt idx="8">
                  <c:v>8.6151673554682819</c:v>
                </c:pt>
                <c:pt idx="9">
                  <c:v>10.424503359111174</c:v>
                </c:pt>
                <c:pt idx="10">
                  <c:v>12.301259643583773</c:v>
                </c:pt>
                <c:pt idx="11">
                  <c:v>14.232049210863531</c:v>
                </c:pt>
                <c:pt idx="12">
                  <c:v>16.206196624633009</c:v>
                </c:pt>
                <c:pt idx="13">
                  <c:v>18.215082492418315</c:v>
                </c:pt>
                <c:pt idx="14">
                  <c:v>20.251668886572546</c:v>
                </c:pt>
                <c:pt idx="15">
                  <c:v>22.310150903029616</c:v>
                </c:pt>
                <c:pt idx="16">
                  <c:v>24.385697171128598</c:v>
                </c:pt>
                <c:pt idx="17">
                  <c:v>26.474253935573397</c:v>
                </c:pt>
                <c:pt idx="18">
                  <c:v>28.572395204414146</c:v>
                </c:pt>
                <c:pt idx="19">
                  <c:v>30.677206733412678</c:v>
                </c:pt>
                <c:pt idx="20">
                  <c:v>32.786195188826078</c:v>
                </c:pt>
                <c:pt idx="21">
                  <c:v>34.897216277541773</c:v>
                </c:pt>
                <c:pt idx="22">
                  <c:v>37.008417331371263</c:v>
                </c:pt>
                <c:pt idx="23">
                  <c:v>39.11819102566519</c:v>
                </c:pt>
                <c:pt idx="24">
                  <c:v>41.225137761761204</c:v>
                </c:pt>
                <c:pt idx="25">
                  <c:v>43.328034854629266</c:v>
                </c:pt>
                <c:pt idx="26">
                  <c:v>45.425811112955998</c:v>
                </c:pt>
                <c:pt idx="27">
                  <c:v>47.517525727407339</c:v>
                </c:pt>
                <c:pt idx="28">
                  <c:v>49.602350627342808</c:v>
                </c:pt>
                <c:pt idx="29">
                  <c:v>51.679555650077766</c:v>
                </c:pt>
                <c:pt idx="30">
                  <c:v>53.748496006251933</c:v>
                </c:pt>
                <c:pt idx="31">
                  <c:v>55.808601631596332</c:v>
                </c:pt>
                <c:pt idx="32">
                  <c:v>57.859368097751371</c:v>
                </c:pt>
                <c:pt idx="33">
                  <c:v>59.900348818836271</c:v>
                </c:pt>
                <c:pt idx="34">
                  <c:v>61.931148340644604</c:v>
                </c:pt>
                <c:pt idx="35">
                  <c:v>63.951416538921286</c:v>
                </c:pt>
                <c:pt idx="36">
                  <c:v>65.960843584604788</c:v>
                </c:pt>
                <c:pt idx="37">
                  <c:v>67.959155559032368</c:v>
                </c:pt>
                <c:pt idx="38">
                  <c:v>69.946110622290263</c:v>
                </c:pt>
                <c:pt idx="39">
                  <c:v>71.921495654206893</c:v>
                </c:pt>
                <c:pt idx="40">
                  <c:v>73.885123300747182</c:v>
                </c:pt>
                <c:pt idx="41">
                  <c:v>75.836829369395062</c:v>
                </c:pt>
                <c:pt idx="42">
                  <c:v>77.776470526000367</c:v>
                </c:pt>
                <c:pt idx="43">
                  <c:v>79.703922252896305</c:v>
                </c:pt>
                <c:pt idx="44">
                  <c:v>81.619077034164235</c:v>
                </c:pt>
                <c:pt idx="45">
                  <c:v>83.521842738970733</c:v>
                </c:pt>
                <c:pt idx="46">
                  <c:v>85.412141178119668</c:v>
                </c:pt>
                <c:pt idx="47">
                  <c:v>87.289906812495161</c:v>
                </c:pt>
                <c:pt idx="48">
                  <c:v>89.155085595047368</c:v>
                </c:pt>
                <c:pt idx="49">
                  <c:v>91.007633930482314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40-4C63-BB64-70DF2F2E85EF}"/>
            </c:ext>
          </c:extLst>
        </c:ser>
        <c:ser>
          <c:idx val="2"/>
          <c:order val="2"/>
          <c:tx>
            <c:strRef>
              <c:f>Rho!$B$47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Rho!$C$47:$AZ$47</c:f>
              <c:numCache>
                <c:formatCode>General</c:formatCode>
                <c:ptCount val="50"/>
                <c:pt idx="0">
                  <c:v>2.0174608982033621E-2</c:v>
                </c:pt>
                <c:pt idx="1">
                  <c:v>0.38176337268635946</c:v>
                </c:pt>
                <c:pt idx="2">
                  <c:v>1.2672370904528139</c:v>
                </c:pt>
                <c:pt idx="3">
                  <c:v>2.557150573273471</c:v>
                </c:pt>
                <c:pt idx="4">
                  <c:v>4.1322802256892963</c:v>
                </c:pt>
                <c:pt idx="5">
                  <c:v>5.9102116217632439</c:v>
                </c:pt>
                <c:pt idx="6">
                  <c:v>7.8354047566188081</c:v>
                </c:pt>
                <c:pt idx="7">
                  <c:v>9.8695666860390112</c:v>
                </c:pt>
                <c:pt idx="8">
                  <c:v>11.985494372773882</c:v>
                </c:pt>
                <c:pt idx="9">
                  <c:v>14.163308228529683</c:v>
                </c:pt>
                <c:pt idx="10">
                  <c:v>16.388114161488453</c:v>
                </c:pt>
                <c:pt idx="11">
                  <c:v>18.64851121454479</c:v>
                </c:pt>
                <c:pt idx="12">
                  <c:v>20.93561020616869</c:v>
                </c:pt>
                <c:pt idx="13">
                  <c:v>23.242369974697247</c:v>
                </c:pt>
                <c:pt idx="14">
                  <c:v>25.563136776542226</c:v>
                </c:pt>
                <c:pt idx="15">
                  <c:v>27.893317210392091</c:v>
                </c:pt>
                <c:pt idx="16">
                  <c:v>30.229141121653001</c:v>
                </c:pt>
                <c:pt idx="17">
                  <c:v>32.567486533073016</c:v>
                </c:pt>
                <c:pt idx="18">
                  <c:v>34.905748218213517</c:v>
                </c:pt>
                <c:pt idx="19">
                  <c:v>37.241737558198544</c:v>
                </c:pt>
                <c:pt idx="20">
                  <c:v>39.573605202723556</c:v>
                </c:pt>
                <c:pt idx="21">
                  <c:v>41.899780610377206</c:v>
                </c:pt>
                <c:pt idx="22">
                  <c:v>44.218924257826458</c:v>
                </c:pt>
                <c:pt idx="23">
                  <c:v>46.529889479365671</c:v>
                </c:pt>
                <c:pt idx="24">
                  <c:v>48.8316917128843</c:v>
                </c:pt>
                <c:pt idx="25">
                  <c:v>51.123483503213791</c:v>
                </c:pt>
                <c:pt idx="26">
                  <c:v>53.404534025367745</c:v>
                </c:pt>
                <c:pt idx="27">
                  <c:v>55.674212188691278</c:v>
                </c:pt>
                <c:pt idx="28">
                  <c:v>57.93197260208489</c:v>
                </c:pt>
                <c:pt idx="29">
                  <c:v>60.177343843186371</c:v>
                </c:pt>
                <c:pt idx="30">
                  <c:v>62.409918596486591</c:v>
                </c:pt>
                <c:pt idx="31">
                  <c:v>64.629345317867148</c:v>
                </c:pt>
                <c:pt idx="32">
                  <c:v>66.835321153790943</c:v>
                </c:pt>
                <c:pt idx="33">
                  <c:v>69.02758589794017</c:v>
                </c:pt>
                <c:pt idx="34">
                  <c:v>71.205916810517792</c:v>
                </c:pt>
                <c:pt idx="35">
                  <c:v>73.370124158664623</c:v>
                </c:pt>
                <c:pt idx="36">
                  <c:v>75.520047362666205</c:v>
                </c:pt>
                <c:pt idx="37">
                  <c:v>77.655551653452008</c:v>
                </c:pt>
                <c:pt idx="38">
                  <c:v>79.776525163541919</c:v>
                </c:pt>
                <c:pt idx="39">
                  <c:v>81.882876386983099</c:v>
                </c:pt>
                <c:pt idx="40">
                  <c:v>83.974531954651724</c:v>
                </c:pt>
                <c:pt idx="41">
                  <c:v>86.051434680098851</c:v>
                </c:pt>
                <c:pt idx="42">
                  <c:v>88.113541838318341</c:v>
                </c:pt>
                <c:pt idx="43">
                  <c:v>90.160823645724321</c:v>
                </c:pt>
                <c:pt idx="44">
                  <c:v>92.193261914505158</c:v>
                </c:pt>
                <c:pt idx="45">
                  <c:v>94.210848858561008</c:v>
                </c:pt>
                <c:pt idx="46">
                  <c:v>96.213586031598453</c:v>
                </c:pt>
                <c:pt idx="47">
                  <c:v>98.201483380764785</c:v>
                </c:pt>
                <c:pt idx="48">
                  <c:v>100.17455840156417</c:v>
                </c:pt>
                <c:pt idx="49">
                  <c:v>102.13283538178266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40-4C63-BB64-70DF2F2E85EF}"/>
            </c:ext>
          </c:extLst>
        </c:ser>
        <c:ser>
          <c:idx val="3"/>
          <c:order val="3"/>
          <c:tx>
            <c:strRef>
              <c:f>Rho!$B$48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Rho!$C$48:$AZ$48</c:f>
              <c:numCache>
                <c:formatCode>General</c:formatCode>
                <c:ptCount val="50"/>
                <c:pt idx="0">
                  <c:v>9.901989601050129E-2</c:v>
                </c:pt>
                <c:pt idx="1">
                  <c:v>0.91525144160066807</c:v>
                </c:pt>
                <c:pt idx="2">
                  <c:v>2.3756805265942287</c:v>
                </c:pt>
                <c:pt idx="3">
                  <c:v>4.2248382812955017</c:v>
                </c:pt>
                <c:pt idx="4">
                  <c:v>6.3166111299292416</c:v>
                </c:pt>
                <c:pt idx="5">
                  <c:v>8.5676980505201517</c:v>
                </c:pt>
                <c:pt idx="6">
                  <c:v>10.927278670975221</c:v>
                </c:pt>
                <c:pt idx="7">
                  <c:v>13.362390898872304</c:v>
                </c:pt>
                <c:pt idx="8">
                  <c:v>15.850576939970898</c:v>
                </c:pt>
                <c:pt idx="9">
                  <c:v>18.375924915779336</c:v>
                </c:pt>
                <c:pt idx="10">
                  <c:v>20.926801193055905</c:v>
                </c:pt>
                <c:pt idx="11">
                  <c:v>23.494480436916326</c:v>
                </c:pt>
                <c:pt idx="12">
                  <c:v>26.072280152564122</c:v>
                </c:pt>
                <c:pt idx="13">
                  <c:v>28.654992880141137</c:v>
                </c:pt>
                <c:pt idx="14">
                  <c:v>31.238501485645209</c:v>
                </c:pt>
                <c:pt idx="15">
                  <c:v>33.819511193897171</c:v>
                </c:pt>
                <c:pt idx="16">
                  <c:v>36.395358405967748</c:v>
                </c:pt>
                <c:pt idx="17">
                  <c:v>38.963871408681534</c:v>
                </c:pt>
                <c:pt idx="18">
                  <c:v>41.523267000086086</c:v>
                </c:pt>
                <c:pt idx="19">
                  <c:v>44.072072503817417</c:v>
                </c:pt>
                <c:pt idx="20">
                  <c:v>46.609066071558175</c:v>
                </c:pt>
                <c:pt idx="21">
                  <c:v>49.133230382604204</c:v>
                </c:pt>
                <c:pt idx="22">
                  <c:v>51.643716307679199</c:v>
                </c:pt>
                <c:pt idx="23">
                  <c:v>54.139814086248769</c:v>
                </c:pt>
                <c:pt idx="24">
                  <c:v>56.620930240519627</c:v>
                </c:pt>
                <c:pt idx="25">
                  <c:v>59.086568919675386</c:v>
                </c:pt>
                <c:pt idx="26">
                  <c:v>61.536316701308479</c:v>
                </c:pt>
                <c:pt idx="27">
                  <c:v>63.969830116717461</c:v>
                </c:pt>
                <c:pt idx="28">
                  <c:v>66.386825341347844</c:v>
                </c:pt>
                <c:pt idx="29">
                  <c:v>68.787069620385338</c:v>
                </c:pt>
                <c:pt idx="30">
                  <c:v>71.170374095483112</c:v>
                </c:pt>
                <c:pt idx="31">
                  <c:v>73.536587770900297</c:v>
                </c:pt>
                <c:pt idx="32">
                  <c:v>75.885592412315631</c:v>
                </c:pt>
                <c:pt idx="33">
                  <c:v>78.217298213781447</c:v>
                </c:pt>
                <c:pt idx="34">
                  <c:v>80.531640100942951</c:v>
                </c:pt>
                <c:pt idx="35">
                  <c:v>82.828574564126157</c:v>
                </c:pt>
                <c:pt idx="36">
                  <c:v>85.108076934918756</c:v>
                </c:pt>
                <c:pt idx="37">
                  <c:v>87.370139035711617</c:v>
                </c:pt>
                <c:pt idx="38">
                  <c:v>89.614767144289956</c:v>
                </c:pt>
                <c:pt idx="39">
                  <c:v>91.841980225675897</c:v>
                </c:pt>
                <c:pt idx="40">
                  <c:v>94.051808391581019</c:v>
                </c:pt>
                <c:pt idx="41">
                  <c:v>96.244291554434426</c:v>
                </c:pt>
                <c:pt idx="42">
                  <c:v>98.419478248342301</c:v>
                </c:pt>
                <c:pt idx="43">
                  <c:v>100.57742459374219</c:v>
                </c:pt>
                <c:pt idx="44">
                  <c:v>102.71819338614901</c:v>
                </c:pt>
                <c:pt idx="45">
                  <c:v>104.84185329238757</c:v>
                </c:pt>
                <c:pt idx="46">
                  <c:v>106.94847814019855</c:v>
                </c:pt>
                <c:pt idx="47">
                  <c:v>109.03814628917856</c:v>
                </c:pt>
                <c:pt idx="48">
                  <c:v>111.11094007275604</c:v>
                </c:pt>
                <c:pt idx="49">
                  <c:v>113.16694530235804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40-4C63-BB64-70DF2F2E85EF}"/>
            </c:ext>
          </c:extLst>
        </c:ser>
        <c:ser>
          <c:idx val="4"/>
          <c:order val="4"/>
          <c:tx>
            <c:strRef>
              <c:f>Rho!$B$49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Rho!$C$49:$AZ$49</c:f>
              <c:numCache>
                <c:formatCode>General</c:formatCode>
                <c:ptCount val="50"/>
                <c:pt idx="0">
                  <c:v>0.34387414719888948</c:v>
                </c:pt>
                <c:pt idx="1">
                  <c:v>1.8457858977243349</c:v>
                </c:pt>
                <c:pt idx="2">
                  <c:v>3.9649733189571927</c:v>
                </c:pt>
                <c:pt idx="3">
                  <c:v>6.391195032890467</c:v>
                </c:pt>
                <c:pt idx="4">
                  <c:v>8.9902698271112875</c:v>
                </c:pt>
                <c:pt idx="5">
                  <c:v>11.69375646513182</c:v>
                </c:pt>
                <c:pt idx="6">
                  <c:v>14.462340517177152</c:v>
                </c:pt>
                <c:pt idx="7">
                  <c:v>17.271495440169353</c:v>
                </c:pt>
                <c:pt idx="8">
                  <c:v>20.10498173283386</c:v>
                </c:pt>
                <c:pt idx="9">
                  <c:v>22.951558308244618</c:v>
                </c:pt>
                <c:pt idx="10">
                  <c:v>25.803174365459714</c:v>
                </c:pt>
                <c:pt idx="11">
                  <c:v>28.653908438471795</c:v>
                </c:pt>
                <c:pt idx="12">
                  <c:v>31.499312576528673</c:v>
                </c:pt>
                <c:pt idx="13">
                  <c:v>34.335989311891517</c:v>
                </c:pt>
                <c:pt idx="14">
                  <c:v>37.16130893883404</c:v>
                </c:pt>
                <c:pt idx="15">
                  <c:v>39.973214823197011</c:v>
                </c:pt>
                <c:pt idx="16">
                  <c:v>42.77008585592322</c:v>
                </c:pt>
                <c:pt idx="17">
                  <c:v>45.550637104043645</c:v>
                </c:pt>
                <c:pt idx="18">
                  <c:v>48.313846653038986</c:v>
                </c:pt>
                <c:pt idx="19">
                  <c:v>51.05890081373343</c:v>
                </c:pt>
                <c:pt idx="20">
                  <c:v>53.785152462408462</c:v>
                </c:pt>
                <c:pt idx="21">
                  <c:v>56.492088939380849</c:v>
                </c:pt>
                <c:pt idx="22">
                  <c:v>59.179307014529826</c:v>
                </c:pt>
                <c:pt idx="23">
                  <c:v>61.846493152159695</c:v>
                </c:pt>
                <c:pt idx="24">
                  <c:v>64.493407800902446</c:v>
                </c:pt>
                <c:pt idx="25">
                  <c:v>67.119872776552242</c:v>
                </c:pt>
                <c:pt idx="26">
                  <c:v>69.72576104693178</c:v>
                </c:pt>
                <c:pt idx="27">
                  <c:v>72.310988400435107</c:v>
                </c:pt>
                <c:pt idx="28">
                  <c:v>74.875506604993973</c:v>
                </c:pt>
                <c:pt idx="29">
                  <c:v>77.41929775604963</c:v>
                </c:pt>
                <c:pt idx="30">
                  <c:v>79.942369580304728</c:v>
                </c:pt>
                <c:pt idx="31">
                  <c:v>82.444751513200885</c:v>
                </c:pt>
                <c:pt idx="32">
                  <c:v>84.926491406851227</c:v>
                </c:pt>
                <c:pt idx="33">
                  <c:v>87.387652754816912</c:v>
                </c:pt>
                <c:pt idx="34">
                  <c:v>89.828312342996853</c:v>
                </c:pt>
                <c:pt idx="35">
                  <c:v>92.248558253690263</c:v>
                </c:pt>
                <c:pt idx="36">
                  <c:v>94.648488163828858</c:v>
                </c:pt>
                <c:pt idx="37">
                  <c:v>97.028207889369781</c:v>
                </c:pt>
                <c:pt idx="38">
                  <c:v>99.387830136571637</c:v>
                </c:pt>
                <c:pt idx="39">
                  <c:v>101.72747342785478</c:v>
                </c:pt>
                <c:pt idx="40">
                  <c:v>104.04726117555312</c:v>
                </c:pt>
                <c:pt idx="41">
                  <c:v>106.34732088139926</c:v>
                </c:pt>
                <c:pt idx="42">
                  <c:v>108.62778344326669</c:v>
                </c:pt>
                <c:pt idx="43">
                  <c:v>110.88878255370106</c:v>
                </c:pt>
                <c:pt idx="44">
                  <c:v>113.1304541772387</c:v>
                </c:pt>
                <c:pt idx="45">
                  <c:v>115.35293609554562</c:v>
                </c:pt>
                <c:pt idx="46">
                  <c:v>117.55636751109094</c:v>
                </c:pt>
                <c:pt idx="47">
                  <c:v>119.74088870146844</c:v>
                </c:pt>
                <c:pt idx="48">
                  <c:v>121.90664071764625</c:v>
                </c:pt>
                <c:pt idx="49">
                  <c:v>124.0537651204008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40-4C63-BB64-70DF2F2E85EF}"/>
            </c:ext>
          </c:extLst>
        </c:ser>
        <c:ser>
          <c:idx val="5"/>
          <c:order val="5"/>
          <c:tx>
            <c:strRef>
              <c:f>Rho!$B$50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Rho!$C$50:$AZ$50</c:f>
              <c:numCache>
                <c:formatCode>General</c:formatCode>
                <c:ptCount val="50"/>
                <c:pt idx="0">
                  <c:v>0.90005833983234396</c:v>
                </c:pt>
                <c:pt idx="1">
                  <c:v>3.2310814267145074</c:v>
                </c:pt>
                <c:pt idx="2">
                  <c:v>6.0153744215510176</c:v>
                </c:pt>
                <c:pt idx="3">
                  <c:v>8.9918508720063972</c:v>
                </c:pt>
                <c:pt idx="4">
                  <c:v>12.063725215373925</c:v>
                </c:pt>
                <c:pt idx="5">
                  <c:v>15.184654348546422</c:v>
                </c:pt>
                <c:pt idx="6">
                  <c:v>18.329016979679462</c:v>
                </c:pt>
                <c:pt idx="7">
                  <c:v>21.4812969336664</c:v>
                </c:pt>
                <c:pt idx="8">
                  <c:v>24.631496184008938</c:v>
                </c:pt>
                <c:pt idx="9">
                  <c:v>27.77288209502176</c:v>
                </c:pt>
                <c:pt idx="10">
                  <c:v>30.900773725543289</c:v>
                </c:pt>
                <c:pt idx="11">
                  <c:v>34.011840413867731</c:v>
                </c:pt>
                <c:pt idx="12">
                  <c:v>37.103673479645508</c:v>
                </c:pt>
                <c:pt idx="13">
                  <c:v>40.174512838750495</c:v>
                </c:pt>
                <c:pt idx="14">
                  <c:v>43.223066018656354</c:v>
                </c:pt>
                <c:pt idx="15">
                  <c:v>46.248384633920288</c:v>
                </c:pt>
                <c:pt idx="16">
                  <c:v>49.249777870866843</c:v>
                </c:pt>
                <c:pt idx="17">
                  <c:v>52.226750534875691</c:v>
                </c:pt>
                <c:pt idx="18">
                  <c:v>55.178957827199071</c:v>
                </c:pt>
                <c:pt idx="19">
                  <c:v>58.106171776385622</c:v>
                </c:pt>
                <c:pt idx="20">
                  <c:v>61.008255951637999</c:v>
                </c:pt>
                <c:pt idx="21">
                  <c:v>63.885146165799156</c:v>
                </c:pt>
                <c:pt idx="22">
                  <c:v>66.736835578526367</c:v>
                </c:pt>
                <c:pt idx="23">
                  <c:v>69.563363077690823</c:v>
                </c:pt>
                <c:pt idx="24">
                  <c:v>72.36480413418704</c:v>
                </c:pt>
                <c:pt idx="25">
                  <c:v>75.141263544374993</c:v>
                </c:pt>
                <c:pt idx="26">
                  <c:v>77.892869628132388</c:v>
                </c:pt>
                <c:pt idx="27">
                  <c:v>80.619769560027962</c:v>
                </c:pt>
                <c:pt idx="28">
                  <c:v>83.322125590219144</c:v>
                </c:pt>
                <c:pt idx="29">
                  <c:v>86.000111969500693</c:v>
                </c:pt>
                <c:pt idx="30">
                  <c:v>88.653912435691268</c:v>
                </c:pt>
                <c:pt idx="31">
                  <c:v>91.283718150500491</c:v>
                </c:pt>
                <c:pt idx="32">
                  <c:v>93.889726000134246</c:v>
                </c:pt>
                <c:pt idx="33">
                  <c:v>96.472137191262803</c:v>
                </c:pt>
                <c:pt idx="34">
                  <c:v>99.031156088079115</c:v>
                </c:pt>
                <c:pt idx="35">
                  <c:v>101.56698924709426</c:v>
                </c:pt>
                <c:pt idx="36">
                  <c:v>104.07984461483063</c:v>
                </c:pt>
                <c:pt idx="37">
                  <c:v>106.56993086025818</c:v>
                </c:pt>
                <c:pt idx="38">
                  <c:v>109.03745681910293</c:v>
                </c:pt>
                <c:pt idx="39">
                  <c:v>111.48263103135724</c:v>
                </c:pt>
                <c:pt idx="40">
                  <c:v>113.90566135668128</c:v>
                </c:pt>
                <c:pt idx="41">
                  <c:v>116.30675465508543</c:v>
                </c:pt>
                <c:pt idx="42">
                  <c:v>118.68611652246592</c:v>
                </c:pt>
                <c:pt idx="43">
                  <c:v>121.04395107233863</c:v>
                </c:pt>
                <c:pt idx="44">
                  <c:v>123.38046075656101</c:v>
                </c:pt>
                <c:pt idx="45">
                  <c:v>125.69584621901635</c:v>
                </c:pt>
                <c:pt idx="46">
                  <c:v>127.99030617720909</c:v>
                </c:pt>
                <c:pt idx="47">
                  <c:v>130.2640373275224</c:v>
                </c:pt>
                <c:pt idx="48">
                  <c:v>132.51723427055845</c:v>
                </c:pt>
                <c:pt idx="49">
                  <c:v>134.75008945353269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40-4C63-BB64-70DF2F2E85EF}"/>
            </c:ext>
          </c:extLst>
        </c:ser>
        <c:ser>
          <c:idx val="6"/>
          <c:order val="6"/>
          <c:tx>
            <c:strRef>
              <c:f>Rho!$B$51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Rho!$C$51:$AZ$51</c:f>
              <c:numCache>
                <c:formatCode>General</c:formatCode>
                <c:ptCount val="50"/>
                <c:pt idx="0">
                  <c:v>1.8700586165914483</c:v>
                </c:pt>
                <c:pt idx="1">
                  <c:v>5.036070672768056</c:v>
                </c:pt>
                <c:pt idx="2">
                  <c:v>8.4362359164914515</c:v>
                </c:pt>
                <c:pt idx="3">
                  <c:v>11.913985443079588</c:v>
                </c:pt>
                <c:pt idx="4">
                  <c:v>15.41569073297264</c:v>
                </c:pt>
                <c:pt idx="5">
                  <c:v>18.916853040550677</c:v>
                </c:pt>
                <c:pt idx="6">
                  <c:v>22.404536424546112</c:v>
                </c:pt>
                <c:pt idx="7">
                  <c:v>25.871309962195181</c:v>
                </c:pt>
                <c:pt idx="8">
                  <c:v>29.312683899582499</c:v>
                </c:pt>
                <c:pt idx="9">
                  <c:v>32.725870142600328</c:v>
                </c:pt>
                <c:pt idx="10">
                  <c:v>36.109123869755926</c:v>
                </c:pt>
                <c:pt idx="11">
                  <c:v>39.461368361473887</c:v>
                </c:pt>
                <c:pt idx="12">
                  <c:v>42.781969253903348</c:v>
                </c:pt>
                <c:pt idx="13">
                  <c:v>46.070592688330763</c:v>
                </c:pt>
                <c:pt idx="14">
                  <c:v>49.327112985377944</c:v>
                </c:pt>
                <c:pt idx="15">
                  <c:v>52.551550785101114</c:v>
                </c:pt>
                <c:pt idx="16">
                  <c:v>55.744030586322872</c:v>
                </c:pt>
                <c:pt idx="17">
                  <c:v>58.904751004915035</c:v>
                </c:pt>
                <c:pt idx="18">
                  <c:v>62.033963582654835</c:v>
                </c:pt>
                <c:pt idx="19">
                  <c:v>65.131957470149146</c:v>
                </c:pt>
                <c:pt idx="20">
                  <c:v>68.199048221845828</c:v>
                </c:pt>
                <c:pt idx="21">
                  <c:v>71.23556951749832</c:v>
                </c:pt>
                <c:pt idx="22">
                  <c:v>74.24186699666096</c:v>
                </c:pt>
                <c:pt idx="23">
                  <c:v>77.218293638451243</c:v>
                </c:pt>
                <c:pt idx="24">
                  <c:v>80.16520628413042</c:v>
                </c:pt>
                <c:pt idx="25">
                  <c:v>83.082963013263054</c:v>
                </c:pt>
                <c:pt idx="26">
                  <c:v>85.971921162975775</c:v>
                </c:pt>
                <c:pt idx="27">
                  <c:v>88.832435835418792</c:v>
                </c:pt>
                <c:pt idx="28">
                  <c:v>91.66485877827327</c:v>
                </c:pt>
                <c:pt idx="29">
                  <c:v>94.469537551902377</c:v>
                </c:pt>
                <c:pt idx="30">
                  <c:v>97.246814917774685</c:v>
                </c:pt>
                <c:pt idx="31">
                  <c:v>99.997028398327572</c:v>
                </c:pt>
                <c:pt idx="32">
                  <c:v>102.72050997002238</c:v>
                </c:pt>
                <c:pt idx="33">
                  <c:v>105.4175858600552</c:v>
                </c:pt>
                <c:pt idx="34">
                  <c:v>108.08857642378834</c:v>
                </c:pt>
                <c:pt idx="35">
                  <c:v>110.73379608500538</c:v>
                </c:pt>
                <c:pt idx="36">
                  <c:v>113.35355332496516</c:v>
                </c:pt>
                <c:pt idx="37">
                  <c:v>115.94815070922164</c:v>
                </c:pt>
                <c:pt idx="38">
                  <c:v>118.51788494350306</c:v>
                </c:pt>
                <c:pt idx="39">
                  <c:v>121.0630469517625</c:v>
                </c:pt>
                <c:pt idx="40">
                  <c:v>123.58392197093748</c:v>
                </c:pt>
                <c:pt idx="41">
                  <c:v>126.08078965808402</c:v>
                </c:pt>
                <c:pt idx="42">
                  <c:v>128.55392420643867</c:v>
                </c:pt>
                <c:pt idx="43">
                  <c:v>131.00359446767192</c:v>
                </c:pt>
                <c:pt idx="44">
                  <c:v>133.43006407816011</c:v>
                </c:pt>
                <c:pt idx="45">
                  <c:v>135.83359158755189</c:v>
                </c:pt>
                <c:pt idx="46">
                  <c:v>138.21443058827006</c:v>
                </c:pt>
                <c:pt idx="47">
                  <c:v>140.57282984487514</c:v>
                </c:pt>
                <c:pt idx="48">
                  <c:v>142.90903342245466</c:v>
                </c:pt>
                <c:pt idx="49">
                  <c:v>145.22328081338557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40-4C63-BB64-70DF2F2E85EF}"/>
            </c:ext>
          </c:extLst>
        </c:ser>
        <c:ser>
          <c:idx val="7"/>
          <c:order val="7"/>
          <c:tx>
            <c:strRef>
              <c:f>Rho!$B$52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Rho!$C$52:$AZ$52</c:f>
              <c:numCache>
                <c:formatCode>General</c:formatCode>
                <c:ptCount val="50"/>
                <c:pt idx="0">
                  <c:v>3.2213119523005909</c:v>
                </c:pt>
                <c:pt idx="1">
                  <c:v>7.1368215691718566</c:v>
                </c:pt>
                <c:pt idx="2">
                  <c:v>11.088000185964113</c:v>
                </c:pt>
                <c:pt idx="3">
                  <c:v>15.01881948472977</c:v>
                </c:pt>
                <c:pt idx="4">
                  <c:v>18.912585839265248</c:v>
                </c:pt>
                <c:pt idx="5">
                  <c:v>22.763093764832078</c:v>
                </c:pt>
                <c:pt idx="6">
                  <c:v>26.568020924082695</c:v>
                </c:pt>
                <c:pt idx="7">
                  <c:v>30.326737320128505</c:v>
                </c:pt>
                <c:pt idx="8">
                  <c:v>34.039419978794363</c:v>
                </c:pt>
                <c:pt idx="9">
                  <c:v>37.706647988059238</c:v>
                </c:pt>
                <c:pt idx="10">
                  <c:v>41.329201159024329</c:v>
                </c:pt>
                <c:pt idx="11">
                  <c:v>44.907954032882429</c:v>
                </c:pt>
                <c:pt idx="12">
                  <c:v>48.44381792836522</c:v>
                </c:pt>
                <c:pt idx="13">
                  <c:v>51.937708571906448</c:v>
                </c:pt>
                <c:pt idx="14">
                  <c:v>55.390527937387645</c:v>
                </c:pt>
                <c:pt idx="15">
                  <c:v>58.803154232395833</c:v>
                </c:pt>
                <c:pt idx="16">
                  <c:v>62.176436662347378</c:v>
                </c:pt>
                <c:pt idx="17">
                  <c:v>65.511193037224146</c:v>
                </c:pt>
                <c:pt idx="18">
                  <c:v>68.808209078800132</c:v>
                </c:pt>
                <c:pt idx="19">
                  <c:v>72.068238739811349</c:v>
                </c:pt>
                <c:pt idx="20">
                  <c:v>75.292005113209328</c:v>
                </c:pt>
                <c:pt idx="21">
                  <c:v>78.480201670141852</c:v>
                </c:pt>
                <c:pt idx="22">
                  <c:v>81.63349366379947</c:v>
                </c:pt>
                <c:pt idx="23">
                  <c:v>84.75251959767715</c:v>
                </c:pt>
                <c:pt idx="24">
                  <c:v>87.837892695576798</c:v>
                </c:pt>
                <c:pt idx="25">
                  <c:v>90.890202335389503</c:v>
                </c:pt>
                <c:pt idx="26">
                  <c:v>93.910015424536837</c:v>
                </c:pt>
                <c:pt idx="27">
                  <c:v>96.897877705125737</c:v>
                </c:pt>
                <c:pt idx="28">
                  <c:v>99.854314983386075</c:v>
                </c:pt>
                <c:pt idx="29">
                  <c:v>102.77983428209504</c:v>
                </c:pt>
                <c:pt idx="30">
                  <c:v>105.67492491726991</c:v>
                </c:pt>
                <c:pt idx="31">
                  <c:v>108.54005950196212</c:v>
                </c:pt>
                <c:pt idx="32">
                  <c:v>111.37569488086926</c:v>
                </c:pt>
                <c:pt idx="33">
                  <c:v>114.18227299992442</c:v>
                </c:pt>
                <c:pt idx="34">
                  <c:v>116.96022171517967</c:v>
                </c:pt>
                <c:pt idx="35">
                  <c:v>119.70995554527973</c:v>
                </c:pt>
                <c:pt idx="36">
                  <c:v>122.43187637168542</c:v>
                </c:pt>
                <c:pt idx="37">
                  <c:v>125.12637409060711</c:v>
                </c:pt>
                <c:pt idx="38">
                  <c:v>127.79382722036968</c:v>
                </c:pt>
                <c:pt idx="39">
                  <c:v>130.43460346767992</c:v>
                </c:pt>
                <c:pt idx="40">
                  <c:v>133.0490602560123</c:v>
                </c:pt>
                <c:pt idx="41">
                  <c:v>135.6375452190791</c:v>
                </c:pt>
                <c:pt idx="42">
                  <c:v>138.20039666211468</c:v>
                </c:pt>
                <c:pt idx="43">
                  <c:v>140.73794399347742</c:v>
                </c:pt>
                <c:pt idx="44">
                  <c:v>143.25050812886585</c:v>
                </c:pt>
                <c:pt idx="45">
                  <c:v>145.73840187024976</c:v>
                </c:pt>
                <c:pt idx="46">
                  <c:v>148.20193026144045</c:v>
                </c:pt>
                <c:pt idx="47">
                  <c:v>150.64139092205983</c:v>
                </c:pt>
                <c:pt idx="48">
                  <c:v>153.05707436151957</c:v>
                </c:pt>
                <c:pt idx="49">
                  <c:v>155.44926427448368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40-4C63-BB64-70DF2F2E85EF}"/>
            </c:ext>
          </c:extLst>
        </c:ser>
        <c:ser>
          <c:idx val="8"/>
          <c:order val="8"/>
          <c:tx>
            <c:strRef>
              <c:f>Rho!$B$53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Rho!$C$53:$AZ$53</c:f>
              <c:numCache>
                <c:formatCode>General</c:formatCode>
                <c:ptCount val="50"/>
                <c:pt idx="0">
                  <c:v>4.7745615896881741</c:v>
                </c:pt>
                <c:pt idx="1">
                  <c:v>9.357459779830597</c:v>
                </c:pt>
                <c:pt idx="2">
                  <c:v>13.813076890990503</c:v>
                </c:pt>
                <c:pt idx="3">
                  <c:v>18.164602673684989</c:v>
                </c:pt>
                <c:pt idx="4">
                  <c:v>22.42554698974585</c:v>
                </c:pt>
                <c:pt idx="5">
                  <c:v>26.605095852007466</c:v>
                </c:pt>
                <c:pt idx="6">
                  <c:v>30.710044125946041</c:v>
                </c:pt>
                <c:pt idx="7">
                  <c:v>34.745695814504138</c:v>
                </c:pt>
                <c:pt idx="8">
                  <c:v>38.71634959003061</c:v>
                </c:pt>
                <c:pt idx="9">
                  <c:v>42.625587403764001</c:v>
                </c:pt>
                <c:pt idx="10">
                  <c:v>46.47645847548366</c:v>
                </c:pt>
                <c:pt idx="11">
                  <c:v>50.271602971250381</c:v>
                </c:pt>
                <c:pt idx="12">
                  <c:v>54.01333867408966</c:v>
                </c:pt>
                <c:pt idx="13">
                  <c:v>57.703723798316034</c:v>
                </c:pt>
                <c:pt idx="14">
                  <c:v>61.344603795554939</c:v>
                </c:pt>
                <c:pt idx="15">
                  <c:v>64.93764705515585</c:v>
                </c:pt>
                <c:pt idx="16">
                  <c:v>68.484372680710493</c:v>
                </c:pt>
                <c:pt idx="17">
                  <c:v>71.986172475292335</c:v>
                </c:pt>
                <c:pt idx="18">
                  <c:v>75.444328605049279</c:v>
                </c:pt>
                <c:pt idx="19">
                  <c:v>78.860027978597216</c:v>
                </c:pt>
                <c:pt idx="20">
                  <c:v>82.234374090208902</c:v>
                </c:pt>
                <c:pt idx="21">
                  <c:v>85.568396876271564</c:v>
                </c:pt>
                <c:pt idx="22">
                  <c:v>88.863060995430189</c:v>
                </c:pt>
                <c:pt idx="23">
                  <c:v>92.119272843579978</c:v>
                </c:pt>
                <c:pt idx="24">
                  <c:v>95.337886542820087</c:v>
                </c:pt>
                <c:pt idx="25">
                  <c:v>98.519709090371364</c:v>
                </c:pt>
                <c:pt idx="26">
                  <c:v>101.66550481376608</c:v>
                </c:pt>
                <c:pt idx="27">
                  <c:v>104.77599924857132</c:v>
                </c:pt>
                <c:pt idx="28">
                  <c:v>107.85188253190066</c:v>
                </c:pt>
                <c:pt idx="29">
                  <c:v>110.89381238715949</c:v>
                </c:pt>
                <c:pt idx="30">
                  <c:v>113.90241676155311</c:v>
                </c:pt>
                <c:pt idx="31">
                  <c:v>116.87829616690543</c:v>
                </c:pt>
                <c:pt idx="32">
                  <c:v>119.82202576560431</c:v>
                </c:pt>
                <c:pt idx="33">
                  <c:v>122.73415723648687</c:v>
                </c:pt>
                <c:pt idx="34">
                  <c:v>125.61522044982264</c:v>
                </c:pt>
                <c:pt idx="35">
                  <c:v>128.46572497595309</c:v>
                </c:pt>
                <c:pt idx="36">
                  <c:v>131.28616144838156</c:v>
                </c:pt>
                <c:pt idx="37">
                  <c:v>134.0770027990074</c:v>
                </c:pt>
                <c:pt idx="38">
                  <c:v>136.83870538063073</c:v>
                </c:pt>
                <c:pt idx="39">
                  <c:v>139.57170998971654</c:v>
                </c:pt>
                <c:pt idx="40">
                  <c:v>142.27644280061719</c:v>
                </c:pt>
                <c:pt idx="41">
                  <c:v>144.95331622094884</c:v>
                </c:pt>
                <c:pt idx="42">
                  <c:v>147.60272967654561</c:v>
                </c:pt>
                <c:pt idx="43">
                  <c:v>150.22507033333707</c:v>
                </c:pt>
                <c:pt idx="44">
                  <c:v>152.82071376257662</c:v>
                </c:pt>
                <c:pt idx="45">
                  <c:v>155.39002455506221</c:v>
                </c:pt>
                <c:pt idx="46">
                  <c:v>157.9333568893166</c:v>
                </c:pt>
                <c:pt idx="47">
                  <c:v>160.45105505811364</c:v>
                </c:pt>
                <c:pt idx="48">
                  <c:v>162.94345395723417</c:v>
                </c:pt>
                <c:pt idx="49">
                  <c:v>165.41087953990137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40-4C63-BB64-70DF2F2E85EF}"/>
            </c:ext>
          </c:extLst>
        </c:ser>
        <c:ser>
          <c:idx val="9"/>
          <c:order val="9"/>
          <c:tx>
            <c:strRef>
              <c:f>Rho!$B$54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Rho!$C$54:$AZ$54</c:f>
              <c:numCache>
                <c:formatCode>General</c:formatCode>
                <c:ptCount val="50"/>
                <c:pt idx="0">
                  <c:v>6.2881454200234401</c:v>
                </c:pt>
                <c:pt idx="1">
                  <c:v>11.518961420101293</c:v>
                </c:pt>
                <c:pt idx="2">
                  <c:v>16.464576015219418</c:v>
                </c:pt>
                <c:pt idx="3">
                  <c:v>21.22486437180919</c:v>
                </c:pt>
                <c:pt idx="4">
                  <c:v>25.842611577444298</c:v>
                </c:pt>
                <c:pt idx="5">
                  <c:v>30.341932220380727</c:v>
                </c:pt>
                <c:pt idx="6">
                  <c:v>34.738467942211678</c:v>
                </c:pt>
                <c:pt idx="7">
                  <c:v>39.04328244755694</c:v>
                </c:pt>
                <c:pt idx="8">
                  <c:v>43.264675867308831</c:v>
                </c:pt>
                <c:pt idx="9">
                  <c:v>47.409145943000325</c:v>
                </c:pt>
                <c:pt idx="10">
                  <c:v>51.481945792506544</c:v>
                </c:pt>
                <c:pt idx="11">
                  <c:v>55.487430425350226</c:v>
                </c:pt>
                <c:pt idx="12">
                  <c:v>59.429283760650655</c:v>
                </c:pt>
                <c:pt idx="13">
                  <c:v>63.310673826033074</c:v>
                </c:pt>
                <c:pt idx="14">
                  <c:v>67.134362627563775</c:v>
                </c:pt>
                <c:pt idx="15">
                  <c:v>70.902786230778119</c:v>
                </c:pt>
                <c:pt idx="16">
                  <c:v>74.618114589750263</c:v>
                </c:pt>
                <c:pt idx="17">
                  <c:v>78.282297204071753</c:v>
                </c:pt>
                <c:pt idx="18">
                  <c:v>81.897098607993883</c:v>
                </c:pt>
                <c:pt idx="19">
                  <c:v>85.464126404385539</c:v>
                </c:pt>
                <c:pt idx="20">
                  <c:v>88.984853727039166</c:v>
                </c:pt>
                <c:pt idx="21">
                  <c:v>92.460637467911226</c:v>
                </c:pt>
                <c:pt idx="22">
                  <c:v>95.89273323626746</c:v>
                </c:pt>
                <c:pt idx="23">
                  <c:v>99.282307761500434</c:v>
                </c:pt>
                <c:pt idx="24">
                  <c:v>102.63044927175265</c:v>
                </c:pt>
                <c:pt idx="25">
                  <c:v>105.93817625181966</c:v>
                </c:pt>
                <c:pt idx="26">
                  <c:v>109.20644489019509</c:v>
                </c:pt>
                <c:pt idx="27">
                  <c:v>112.43615545602458</c:v>
                </c:pt>
                <c:pt idx="28">
                  <c:v>115.62815779505945</c:v>
                </c:pt>
                <c:pt idx="29">
                  <c:v>118.78325609458879</c:v>
                </c:pt>
                <c:pt idx="30">
                  <c:v>121.90221303739206</c:v>
                </c:pt>
                <c:pt idx="31">
                  <c:v>124.98575344160442</c:v>
                </c:pt>
                <c:pt idx="32">
                  <c:v>128.03456746531666</c:v>
                </c:pt>
                <c:pt idx="33">
                  <c:v>131.04931344049905</c:v>
                </c:pt>
                <c:pt idx="34">
                  <c:v>134.03062038953516</c:v>
                </c:pt>
                <c:pt idx="35">
                  <c:v>136.97909026860836</c:v>
                </c:pt>
                <c:pt idx="36">
                  <c:v>139.89529997489291</c:v>
                </c:pt>
                <c:pt idx="37">
                  <c:v>142.77980314858587</c:v>
                </c:pt>
                <c:pt idx="38">
                  <c:v>145.63313179598441</c:v>
                </c:pt>
                <c:pt idx="39">
                  <c:v>148.45579775584392</c:v>
                </c:pt>
                <c:pt idx="40">
                  <c:v>151.24829402797315</c:v>
                </c:pt>
                <c:pt idx="41">
                  <c:v>154.01109598029731</c:v>
                </c:pt>
                <c:pt idx="42">
                  <c:v>156.74466244834676</c:v>
                </c:pt>
                <c:pt idx="43">
                  <c:v>159.44943673922035</c:v>
                </c:pt>
                <c:pt idx="44">
                  <c:v>162.12584755046529</c:v>
                </c:pt>
                <c:pt idx="45">
                  <c:v>164.7743098129541</c:v>
                </c:pt>
                <c:pt idx="46">
                  <c:v>167.39522546568355</c:v>
                </c:pt>
                <c:pt idx="47">
                  <c:v>169.98898416943314</c:v>
                </c:pt>
                <c:pt idx="48">
                  <c:v>172.55596396537646</c:v>
                </c:pt>
                <c:pt idx="49">
                  <c:v>175.09653188401299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40-4C63-BB64-70DF2F2E85EF}"/>
            </c:ext>
          </c:extLst>
        </c:ser>
        <c:ser>
          <c:idx val="10"/>
          <c:order val="10"/>
          <c:tx>
            <c:strRef>
              <c:f>Rho!$B$55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Rho!$C$55:$AZ$55</c:f>
              <c:numCache>
                <c:formatCode>General</c:formatCode>
                <c:ptCount val="50"/>
                <c:pt idx="0">
                  <c:v>7.567022463888371</c:v>
                </c:pt>
                <c:pt idx="1">
                  <c:v>13.478597360508497</c:v>
                </c:pt>
                <c:pt idx="2">
                  <c:v>18.92600228196601</c:v>
                </c:pt>
                <c:pt idx="3">
                  <c:v>24.099653791382018</c:v>
                </c:pt>
                <c:pt idx="4">
                  <c:v>29.075543360705744</c:v>
                </c:pt>
                <c:pt idx="5">
                  <c:v>33.89426199393823</c:v>
                </c:pt>
                <c:pt idx="6">
                  <c:v>38.581030015877381</c:v>
                </c:pt>
                <c:pt idx="7">
                  <c:v>43.153059839065669</c:v>
                </c:pt>
                <c:pt idx="8">
                  <c:v>47.622877227336751</c:v>
                </c:pt>
                <c:pt idx="9">
                  <c:v>52.000032731099822</c:v>
                </c:pt>
                <c:pt idx="10">
                  <c:v>56.292070901528845</c:v>
                </c:pt>
                <c:pt idx="11">
                  <c:v>60.505119439979104</c:v>
                </c:pt>
                <c:pt idx="12">
                  <c:v>64.644267641350822</c:v>
                </c:pt>
                <c:pt idx="13">
                  <c:v>68.713820499050058</c:v>
                </c:pt>
                <c:pt idx="14">
                  <c:v>72.717475641202867</c:v>
                </c:pt>
                <c:pt idx="15">
                  <c:v>76.658450335705979</c:v>
                </c:pt>
                <c:pt idx="16">
                  <c:v>80.539575036532838</c:v>
                </c:pt>
                <c:pt idx="17">
                  <c:v>84.363363829890886</c:v>
                </c:pt>
                <c:pt idx="18">
                  <c:v>88.132068515565905</c:v>
                </c:pt>
                <c:pt idx="19">
                  <c:v>91.847720831513612</c:v>
                </c:pt>
                <c:pt idx="20">
                  <c:v>95.512165916400491</c:v>
                </c:pt>
                <c:pt idx="21">
                  <c:v>99.12708918256341</c:v>
                </c:pt>
                <c:pt idx="22">
                  <c:v>102.69403815505804</c:v>
                </c:pt>
                <c:pt idx="23">
                  <c:v>106.21444041077471</c:v>
                </c:pt>
                <c:pt idx="24">
                  <c:v>109.68961845755629</c:v>
                </c:pt>
                <c:pt idx="25">
                  <c:v>113.12080218453727</c:v>
                </c:pt>
                <c:pt idx="26">
                  <c:v>116.50913936436379</c:v>
                </c:pt>
                <c:pt idx="27">
                  <c:v>119.85570457774004</c:v>
                </c:pt>
                <c:pt idx="28">
                  <c:v>123.16150684897124</c:v>
                </c:pt>
                <c:pt idx="29">
                  <c:v>126.42749621974821</c:v>
                </c:pt>
                <c:pt idx="30">
                  <c:v>129.65456944174818</c:v>
                </c:pt>
                <c:pt idx="31">
                  <c:v>132.84357493279319</c:v>
                </c:pt>
                <c:pt idx="32">
                  <c:v>135.99531711352421</c:v>
                </c:pt>
                <c:pt idx="33">
                  <c:v>139.11056021981241</c:v>
                </c:pt>
                <c:pt idx="34">
                  <c:v>142.19003166897571</c:v>
                </c:pt>
                <c:pt idx="35">
                  <c:v>145.23442504422889</c:v>
                </c:pt>
                <c:pt idx="36">
                  <c:v>148.24440275086482</c:v>
                </c:pt>
                <c:pt idx="37">
                  <c:v>151.22059838884684</c:v>
                </c:pt>
                <c:pt idx="38">
                  <c:v>154.16361887933016</c:v>
                </c:pt>
                <c:pt idx="39">
                  <c:v>157.07404637677999</c:v>
                </c:pt>
                <c:pt idx="40">
                  <c:v>159.95243999354361</c:v>
                </c:pt>
                <c:pt idx="41">
                  <c:v>162.79933735975965</c:v>
                </c:pt>
                <c:pt idx="42">
                  <c:v>165.6152560381872</c:v>
                </c:pt>
                <c:pt idx="43">
                  <c:v>168.40069481077924</c:v>
                </c:pt>
                <c:pt idx="44">
                  <c:v>171.15613485151627</c:v>
                </c:pt>
                <c:pt idx="45">
                  <c:v>173.88204079806533</c:v>
                </c:pt>
                <c:pt idx="46">
                  <c:v>176.57886173318511</c:v>
                </c:pt>
                <c:pt idx="47">
                  <c:v>179.24703208539549</c:v>
                </c:pt>
                <c:pt idx="48">
                  <c:v>181.88697245723966</c:v>
                </c:pt>
                <c:pt idx="49">
                  <c:v>184.49909038844223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40-4C63-BB64-70DF2F2E85EF}"/>
            </c:ext>
          </c:extLst>
        </c:ser>
        <c:ser>
          <c:idx val="11"/>
          <c:order val="11"/>
          <c:tx>
            <c:strRef>
              <c:f>Rho!$B$56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Rho!$C$56:$AZ$56</c:f>
              <c:numCache>
                <c:formatCode>General</c:formatCode>
                <c:ptCount val="50"/>
                <c:pt idx="0">
                  <c:v>8.5219067657974712</c:v>
                </c:pt>
                <c:pt idx="1">
                  <c:v>15.14930446214589</c:v>
                </c:pt>
                <c:pt idx="2">
                  <c:v>21.12000735043156</c:v>
                </c:pt>
                <c:pt idx="3">
                  <c:v>26.719907203265898</c:v>
                </c:pt>
                <c:pt idx="4">
                  <c:v>32.061979379986759</c:v>
                </c:pt>
                <c:pt idx="5">
                  <c:v>37.205212625747272</c:v>
                </c:pt>
                <c:pt idx="6">
                  <c:v>42.185448918602226</c:v>
                </c:pt>
                <c:pt idx="7">
                  <c:v>47.026659296002926</c:v>
                </c:pt>
                <c:pt idx="8">
                  <c:v>51.745974425113666</c:v>
                </c:pt>
                <c:pt idx="9">
                  <c:v>56.356245401488813</c:v>
                </c:pt>
                <c:pt idx="10">
                  <c:v>60.86747657498843</c:v>
                </c:pt>
                <c:pt idx="11">
                  <c:v>65.287686531160162</c:v>
                </c:pt>
                <c:pt idx="12">
                  <c:v>69.623455169001588</c:v>
                </c:pt>
                <c:pt idx="13">
                  <c:v>73.880287304733116</c:v>
                </c:pt>
                <c:pt idx="14">
                  <c:v>78.062863439056656</c:v>
                </c:pt>
                <c:pt idx="15">
                  <c:v>82.175218144784481</c:v>
                </c:pt>
                <c:pt idx="16">
                  <c:v>86.220870350210987</c:v>
                </c:pt>
                <c:pt idx="17">
                  <c:v>90.202920669075695</c:v>
                </c:pt>
                <c:pt idx="18">
                  <c:v>94.124125557722095</c:v>
                </c:pt>
                <c:pt idx="19">
                  <c:v>97.986954800818481</c:v>
                </c:pt>
                <c:pt idx="20">
                  <c:v>101.7936367594146</c:v>
                </c:pt>
                <c:pt idx="21">
                  <c:v>105.54619447427272</c:v>
                </c:pt>
                <c:pt idx="22">
                  <c:v>109.24647482594999</c:v>
                </c:pt>
                <c:pt idx="23">
                  <c:v>112.89617234709874</c:v>
                </c:pt>
                <c:pt idx="24">
                  <c:v>116.49684886219701</c:v>
                </c:pt>
                <c:pt idx="25">
                  <c:v>120.04994983318896</c:v>
                </c:pt>
                <c:pt idx="26">
                  <c:v>123.55681807655284</c:v>
                </c:pt>
                <c:pt idx="27">
                  <c:v>127.01870536217996</c:v>
                </c:pt>
                <c:pt idx="28">
                  <c:v>130.43678228989032</c:v>
                </c:pt>
                <c:pt idx="29">
                  <c:v>133.81214675375247</c:v>
                </c:pt>
                <c:pt idx="30">
                  <c:v>137.14583123958082</c:v>
                </c:pt>
                <c:pt idx="31">
                  <c:v>140.43880915144803</c:v>
                </c:pt>
                <c:pt idx="32">
                  <c:v>143.69200032480254</c:v>
                </c:pt>
                <c:pt idx="33">
                  <c:v>146.90627585397482</c:v>
                </c:pt>
                <c:pt idx="34">
                  <c:v>150.08246233843164</c:v>
                </c:pt>
                <c:pt idx="35">
                  <c:v>153.22134563357494</c:v>
                </c:pt>
                <c:pt idx="36">
                  <c:v>156.32367417706766</c:v>
                </c:pt>
                <c:pt idx="37">
                  <c:v>159.39016194975522</c:v>
                </c:pt>
                <c:pt idx="38">
                  <c:v>162.42149112061341</c:v>
                </c:pt>
                <c:pt idx="39">
                  <c:v>165.41831441730233</c:v>
                </c:pt>
                <c:pt idx="40">
                  <c:v>168.38125725747688</c:v>
                </c:pt>
                <c:pt idx="41">
                  <c:v>171.31091967070526</c:v>
                </c:pt>
                <c:pt idx="42">
                  <c:v>174.20787803646328</c:v>
                </c:pt>
                <c:pt idx="43">
                  <c:v>177.07268666001863</c:v>
                </c:pt>
                <c:pt idx="44">
                  <c:v>179.90587920496912</c:v>
                </c:pt>
                <c:pt idx="45">
                  <c:v>182.70796999863268</c:v>
                </c:pt>
                <c:pt idx="46">
                  <c:v>185.47945522432539</c:v>
                </c:pt>
                <c:pt idx="47">
                  <c:v>188.22081401272936</c:v>
                </c:pt>
                <c:pt idx="48">
                  <c:v>190.93250944299538</c:v>
                </c:pt>
                <c:pt idx="49">
                  <c:v>193.61498946289515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40-4C63-BB64-70DF2F2E85EF}"/>
            </c:ext>
          </c:extLst>
        </c:ser>
        <c:ser>
          <c:idx val="12"/>
          <c:order val="12"/>
          <c:tx>
            <c:strRef>
              <c:f>Rho!$B$57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Rho!$C$57:$AZ$57</c:f>
              <c:numCache>
                <c:formatCode>General</c:formatCode>
                <c:ptCount val="50"/>
                <c:pt idx="0">
                  <c:v>9.1621576828050184</c:v>
                </c:pt>
                <c:pt idx="1">
                  <c:v>16.49964291723095</c:v>
                </c:pt>
                <c:pt idx="2">
                  <c:v>23.007913244948508</c:v>
                </c:pt>
                <c:pt idx="3">
                  <c:v>29.046471333625377</c:v>
                </c:pt>
                <c:pt idx="4">
                  <c:v>34.764142712887654</c:v>
                </c:pt>
                <c:pt idx="5">
                  <c:v>40.238913140243085</c:v>
                </c:pt>
                <c:pt idx="6">
                  <c:v>45.517857948704858</c:v>
                </c:pt>
                <c:pt idx="7">
                  <c:v>50.632164038407694</c:v>
                </c:pt>
                <c:pt idx="8">
                  <c:v>55.603893594464068</c:v>
                </c:pt>
                <c:pt idx="9">
                  <c:v>60.449432190585469</c:v>
                </c:pt>
                <c:pt idx="10">
                  <c:v>65.181414053966321</c:v>
                </c:pt>
                <c:pt idx="11">
                  <c:v>69.809874520345261</c:v>
                </c:pt>
                <c:pt idx="12">
                  <c:v>74.342978880590152</c:v>
                </c:pt>
                <c:pt idx="13">
                  <c:v>78.787504324567962</c:v>
                </c:pt>
                <c:pt idx="14">
                  <c:v>83.149170580294566</c:v>
                </c:pt>
                <c:pt idx="15">
                  <c:v>87.43287388387283</c:v>
                </c:pt>
                <c:pt idx="16">
                  <c:v>91.642856971362619</c:v>
                </c:pt>
                <c:pt idx="17">
                  <c:v>95.782835430595767</c:v>
                </c:pt>
                <c:pt idx="18">
                  <c:v>99.856093496983121</c:v>
                </c:pt>
                <c:pt idx="19">
                  <c:v>103.86555795954639</c:v>
                </c:pt>
                <c:pt idx="20">
                  <c:v>107.81385606593483</c:v>
                </c:pt>
                <c:pt idx="21">
                  <c:v>111.70336151943341</c:v>
                </c:pt>
                <c:pt idx="22">
                  <c:v>115.53623147075565</c:v>
                </c:pt>
                <c:pt idx="23">
                  <c:v>119.31443660085529</c:v>
                </c:pt>
                <c:pt idx="24">
                  <c:v>123.03978583342263</c:v>
                </c:pt>
                <c:pt idx="25">
                  <c:v>126.71394682327606</c:v>
                </c:pt>
                <c:pt idx="26">
                  <c:v>130.33846308607502</c:v>
                </c:pt>
                <c:pt idx="27">
                  <c:v>133.91476843086437</c:v>
                </c:pt>
                <c:pt idx="28">
                  <c:v>137.44419920683646</c:v>
                </c:pt>
                <c:pt idx="29">
                  <c:v>140.92800476377539</c:v>
                </c:pt>
                <c:pt idx="30">
                  <c:v>144.36735644123632</c:v>
                </c:pt>
                <c:pt idx="31">
                  <c:v>147.76335533715962</c:v>
                </c:pt>
                <c:pt idx="32">
                  <c:v>151.11703905707219</c:v>
                </c:pt>
                <c:pt idx="33">
                  <c:v>154.42938760652231</c:v>
                </c:pt>
                <c:pt idx="34">
                  <c:v>157.70132855920963</c:v>
                </c:pt>
                <c:pt idx="35">
                  <c:v>160.93374160942091</c:v>
                </c:pt>
                <c:pt idx="36">
                  <c:v>164.12746259838912</c:v>
                </c:pt>
                <c:pt idx="37">
                  <c:v>167.28328708896365</c:v>
                </c:pt>
                <c:pt idx="38">
                  <c:v>170.40197355068531</c:v>
                </c:pt>
                <c:pt idx="39">
                  <c:v>173.48424620736904</c:v>
                </c:pt>
                <c:pt idx="40">
                  <c:v>176.53079759113726</c:v>
                </c:pt>
                <c:pt idx="41">
                  <c:v>179.54229084013497</c:v>
                </c:pt>
                <c:pt idx="42">
                  <c:v>182.51936177161693</c:v>
                </c:pt>
                <c:pt idx="43">
                  <c:v>185.46262075749226</c:v>
                </c:pt>
                <c:pt idx="44">
                  <c:v>188.3726544255729</c:v>
                </c:pt>
                <c:pt idx="45">
                  <c:v>191.2500272065503</c:v>
                </c:pt>
                <c:pt idx="46">
                  <c:v>194.09528274401703</c:v>
                </c:pt>
                <c:pt idx="47">
                  <c:v>196.90894518255541</c:v>
                </c:pt>
                <c:pt idx="48">
                  <c:v>199.6915203469741</c:v>
                </c:pt>
                <c:pt idx="49">
                  <c:v>202.44349682411348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40-4C63-BB64-70DF2F2E85EF}"/>
            </c:ext>
          </c:extLst>
        </c:ser>
        <c:ser>
          <c:idx val="13"/>
          <c:order val="13"/>
          <c:tx>
            <c:strRef>
              <c:f>Rho!$B$58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Rho!$C$58:$AZ$58</c:f>
              <c:numCache>
                <c:formatCode>General</c:formatCode>
                <c:ptCount val="50"/>
                <c:pt idx="0">
                  <c:v>9.5529696337487309</c:v>
                </c:pt>
                <c:pt idx="1">
                  <c:v>17.541441911416481</c:v>
                </c:pt>
                <c:pt idx="2">
                  <c:v>24.583332796931099</c:v>
                </c:pt>
                <c:pt idx="3">
                  <c:v>31.065766045525407</c:v>
                </c:pt>
                <c:pt idx="4">
                  <c:v>37.16544951841945</c:v>
                </c:pt>
                <c:pt idx="5">
                  <c:v>42.977630555261058</c:v>
                </c:pt>
                <c:pt idx="6">
                  <c:v>48.560280291930063</c:v>
                </c:pt>
                <c:pt idx="7">
                  <c:v>53.951822548211993</c:v>
                </c:pt>
                <c:pt idx="8">
                  <c:v>59.179358958870388</c:v>
                </c:pt>
                <c:pt idx="9">
                  <c:v>64.262926708077231</c:v>
                </c:pt>
                <c:pt idx="10">
                  <c:v>69.217894660375123</c:v>
                </c:pt>
                <c:pt idx="11">
                  <c:v>74.056403038436144</c:v>
                </c:pt>
                <c:pt idx="12">
                  <c:v>78.788275068244673</c:v>
                </c:pt>
                <c:pt idx="13">
                  <c:v>83.421619633911376</c:v>
                </c:pt>
                <c:pt idx="14">
                  <c:v>87.963244215565823</c:v>
                </c:pt>
                <c:pt idx="15">
                  <c:v>92.418946548154238</c:v>
                </c:pt>
                <c:pt idx="16">
                  <c:v>96.793726043781888</c:v>
                </c:pt>
                <c:pt idx="17">
                  <c:v>101.09194053868768</c:v>
                </c:pt>
                <c:pt idx="18">
                  <c:v>105.31742481270703</c:v>
                </c:pt>
                <c:pt idx="19">
                  <c:v>109.47358177120364</c:v>
                </c:pt>
                <c:pt idx="20">
                  <c:v>113.56345368306198</c:v>
                </c:pt>
                <c:pt idx="21">
                  <c:v>117.58977860767848</c:v>
                </c:pt>
                <c:pt idx="22">
                  <c:v>121.55503564613599</c:v>
                </c:pt>
                <c:pt idx="23">
                  <c:v>125.46148163752059</c:v>
                </c:pt>
                <c:pt idx="24">
                  <c:v>129.31118122089728</c:v>
                </c:pt>
                <c:pt idx="25">
                  <c:v>133.10603169102748</c:v>
                </c:pt>
                <c:pt idx="26">
                  <c:v>136.84778372405302</c:v>
                </c:pt>
                <c:pt idx="27">
                  <c:v>140.5380587942154</c:v>
                </c:pt>
                <c:pt idx="28">
                  <c:v>144.17836391511017</c:v>
                </c:pt>
                <c:pt idx="29">
                  <c:v>147.7701041993632</c:v>
                </c:pt>
                <c:pt idx="30">
                  <c:v>151.31459362548887</c:v>
                </c:pt>
                <c:pt idx="31">
                  <c:v>154.81306432067859</c:v>
                </c:pt>
                <c:pt idx="32">
                  <c:v>158.26667460676677</c:v>
                </c:pt>
                <c:pt idx="33">
                  <c:v>161.67651600890633</c:v>
                </c:pt>
                <c:pt idx="34">
                  <c:v>165.04361938914727</c:v>
                </c:pt>
                <c:pt idx="35">
                  <c:v>168.36896033765521</c:v>
                </c:pt>
                <c:pt idx="36">
                  <c:v>171.65346393089243</c:v>
                </c:pt>
                <c:pt idx="37">
                  <c:v>174.89800894733796</c:v>
                </c:pt>
                <c:pt idx="38">
                  <c:v>178.10343161621702</c:v>
                </c:pt>
                <c:pt idx="39">
                  <c:v>181.27052896245576</c:v>
                </c:pt>
                <c:pt idx="40">
                  <c:v>184.40006180108074</c:v>
                </c:pt>
                <c:pt idx="41">
                  <c:v>187.49275742607892</c:v>
                </c:pt>
                <c:pt idx="42">
                  <c:v>190.54931203196776</c:v>
                </c:pt>
                <c:pt idx="43">
                  <c:v>193.57039290071327</c:v>
                </c:pt>
                <c:pt idx="44">
                  <c:v>196.55664038196124</c:v>
                </c:pt>
                <c:pt idx="45">
                  <c:v>199.50866969063327</c:v>
                </c:pt>
                <c:pt idx="46">
                  <c:v>202.42707254265218</c:v>
                </c:pt>
                <c:pt idx="47">
                  <c:v>205.31241864678384</c:v>
                </c:pt>
                <c:pt idx="48">
                  <c:v>208.16525706823205</c:v>
                </c:pt>
                <c:pt idx="49">
                  <c:v>210.98611747762055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A40-4C63-BB64-70DF2F2E85EF}"/>
            </c:ext>
          </c:extLst>
        </c:ser>
        <c:ser>
          <c:idx val="14"/>
          <c:order val="14"/>
          <c:tx>
            <c:strRef>
              <c:f>Rho!$B$59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Rho!$C$59:$AZ$59</c:f>
              <c:numCache>
                <c:formatCode>General</c:formatCode>
                <c:ptCount val="50"/>
                <c:pt idx="0">
                  <c:v>9.7726988752408737</c:v>
                </c:pt>
                <c:pt idx="1">
                  <c:v>18.313179497960096</c:v>
                </c:pt>
                <c:pt idx="2">
                  <c:v>25.863230062349118</c:v>
                </c:pt>
                <c:pt idx="3">
                  <c:v>32.783902237962401</c:v>
                </c:pt>
                <c:pt idx="4">
                  <c:v>39.266146102889898</c:v>
                </c:pt>
                <c:pt idx="5">
                  <c:v>45.418282062177518</c:v>
                </c:pt>
                <c:pt idx="6">
                  <c:v>51.307700479279859</c:v>
                </c:pt>
                <c:pt idx="7">
                  <c:v>56.979505759871245</c:v>
                </c:pt>
                <c:pt idx="8">
                  <c:v>62.465631882083152</c:v>
                </c:pt>
                <c:pt idx="9">
                  <c:v>67.789702399757374</c:v>
                </c:pt>
                <c:pt idx="10">
                  <c:v>72.969814846367996</c:v>
                </c:pt>
                <c:pt idx="11">
                  <c:v>78.02023258440326</c:v>
                </c:pt>
                <c:pt idx="12">
                  <c:v>82.952463789925531</c:v>
                </c:pt>
                <c:pt idx="13">
                  <c:v>87.775977913953739</c:v>
                </c:pt>
                <c:pt idx="14">
                  <c:v>92.498697905119954</c:v>
                </c:pt>
                <c:pt idx="15">
                  <c:v>97.12734835575661</c:v>
                </c:pt>
                <c:pt idx="16">
                  <c:v>101.66770800208192</c:v>
                </c:pt>
                <c:pt idx="17">
                  <c:v>106.12479690312566</c:v>
                </c:pt>
                <c:pt idx="18">
                  <c:v>110.50301788730789</c:v>
                </c:pt>
                <c:pt idx="19">
                  <c:v>114.80626527221051</c:v>
                </c:pt>
                <c:pt idx="20">
                  <c:v>119.0380097043747</c:v>
                </c:pt>
                <c:pt idx="21">
                  <c:v>123.2013652686915</c:v>
                </c:pt>
                <c:pt idx="22">
                  <c:v>127.29914322579741</c:v>
                </c:pt>
                <c:pt idx="23">
                  <c:v>131.33389552095295</c:v>
                </c:pt>
                <c:pt idx="24">
                  <c:v>135.30795036784463</c:v>
                </c:pt>
                <c:pt idx="25">
                  <c:v>139.22344161972947</c:v>
                </c:pt>
                <c:pt idx="26">
                  <c:v>143.08233321786048</c:v>
                </c:pt>
                <c:pt idx="27">
                  <c:v>146.88643970071161</c:v>
                </c:pt>
                <c:pt idx="28">
                  <c:v>150.63744353228108</c:v>
                </c:pt>
                <c:pt idx="29">
                  <c:v>154.33690984014336</c:v>
                </c:pt>
                <c:pt idx="30">
                  <c:v>157.98629902775781</c:v>
                </c:pt>
                <c:pt idx="31">
                  <c:v>161.58697762957468</c:v>
                </c:pt>
                <c:pt idx="32">
                  <c:v>165.14022770375652</c:v>
                </c:pt>
                <c:pt idx="33">
                  <c:v>168.64725500017664</c:v>
                </c:pt>
                <c:pt idx="34">
                  <c:v>172.10919609666658</c:v>
                </c:pt>
                <c:pt idx="35">
                  <c:v>175.5271246612528</c:v>
                </c:pt>
                <c:pt idx="36">
                  <c:v>178.90205697014932</c:v>
                </c:pt>
                <c:pt idx="37">
                  <c:v>182.23495678889213</c:v>
                </c:pt>
                <c:pt idx="38">
                  <c:v>185.52673970598386</c:v>
                </c:pt>
                <c:pt idx="39">
                  <c:v>188.77827699381879</c:v>
                </c:pt>
                <c:pt idx="40">
                  <c:v>191.99039905975752</c:v>
                </c:pt>
                <c:pt idx="41">
                  <c:v>195.16389854046565</c:v>
                </c:pt>
                <c:pt idx="42">
                  <c:v>198.29953308459403</c:v>
                </c:pt>
                <c:pt idx="43">
                  <c:v>201.39802786221884</c:v>
                </c:pt>
                <c:pt idx="44">
                  <c:v>204.46007783391974</c:v>
                </c:pt>
                <c:pt idx="45">
                  <c:v>207.48634980774071</c:v>
                </c:pt>
                <c:pt idx="46">
                  <c:v>210.47748430838982</c:v>
                </c:pt>
                <c:pt idx="47">
                  <c:v>213.43409727975049</c:v>
                </c:pt>
                <c:pt idx="48">
                  <c:v>216.35678163900391</c:v>
                </c:pt>
                <c:pt idx="49">
                  <c:v>219.24610869829903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40-4C63-BB64-70DF2F2E85EF}"/>
            </c:ext>
          </c:extLst>
        </c:ser>
        <c:ser>
          <c:idx val="15"/>
          <c:order val="15"/>
          <c:tx>
            <c:strRef>
              <c:f>Rho!$B$60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Rho!$C$60:$AZ$60</c:f>
              <c:numCache>
                <c:formatCode>General</c:formatCode>
                <c:ptCount val="50"/>
                <c:pt idx="0">
                  <c:v>9.8876419250341243</c:v>
                </c:pt>
                <c:pt idx="1">
                  <c:v>18.864855706335121</c:v>
                </c:pt>
                <c:pt idx="2">
                  <c:v>26.87893120881029</c:v>
                </c:pt>
                <c:pt idx="3">
                  <c:v>34.220610885205488</c:v>
                </c:pt>
                <c:pt idx="4">
                  <c:v>41.078808592676815</c:v>
                </c:pt>
                <c:pt idx="5">
                  <c:v>47.568877392186032</c:v>
                </c:pt>
                <c:pt idx="6">
                  <c:v>53.765121835776469</c:v>
                </c:pt>
                <c:pt idx="7">
                  <c:v>59.718192405301181</c:v>
                </c:pt>
                <c:pt idx="8">
                  <c:v>65.464309190246212</c:v>
                </c:pt>
                <c:pt idx="9">
                  <c:v>71.030409119699939</c:v>
                </c:pt>
                <c:pt idx="10">
                  <c:v>76.437180097317977</c:v>
                </c:pt>
                <c:pt idx="11">
                  <c:v>81.700939694373929</c:v>
                </c:pt>
                <c:pt idx="12">
                  <c:v>86.83484891910048</c:v>
                </c:pt>
                <c:pt idx="13">
                  <c:v>91.849725539211946</c:v>
                </c:pt>
                <c:pt idx="14">
                  <c:v>96.754606465204262</c:v>
                </c:pt>
                <c:pt idx="15">
                  <c:v>101.55714734535033</c:v>
                </c:pt>
                <c:pt idx="16">
                  <c:v>106.2639133137548</c:v>
                </c:pt>
                <c:pt idx="17">
                  <c:v>110.88059499838963</c:v>
                </c:pt>
                <c:pt idx="18">
                  <c:v>115.41217198886103</c:v>
                </c:pt>
                <c:pt idx="19">
                  <c:v>119.86303859037977</c:v>
                </c:pt>
                <c:pt idx="20">
                  <c:v>124.23710199641842</c:v>
                </c:pt>
                <c:pt idx="21">
                  <c:v>128.53785994906795</c:v>
                </c:pt>
                <c:pt idx="22">
                  <c:v>132.76846291151347</c:v>
                </c:pt>
                <c:pt idx="23">
                  <c:v>136.9317643845495</c:v>
                </c:pt>
                <c:pt idx="24">
                  <c:v>141.03036203306306</c:v>
                </c:pt>
                <c:pt idx="25">
                  <c:v>145.06663160695652</c:v>
                </c:pt>
                <c:pt idx="26">
                  <c:v>149.04275515280682</c:v>
                </c:pt>
                <c:pt idx="27">
                  <c:v>152.96074465787649</c:v>
                </c:pt>
                <c:pt idx="28">
                  <c:v>156.82246200702704</c:v>
                </c:pt>
                <c:pt idx="29">
                  <c:v>160.62963593860266</c:v>
                </c:pt>
                <c:pt idx="30">
                  <c:v>164.38387653885076</c:v>
                </c:pt>
                <c:pt idx="31">
                  <c:v>168.08668770293687</c:v>
                </c:pt>
                <c:pt idx="32">
                  <c:v>171.73947790491314</c:v>
                </c:pt>
                <c:pt idx="33">
                  <c:v>175.34356955254918</c:v>
                </c:pt>
                <c:pt idx="34">
                  <c:v>178.90020715095966</c:v>
                </c:pt>
                <c:pt idx="35">
                  <c:v>182.41056445800183</c:v>
                </c:pt>
                <c:pt idx="36">
                  <c:v>185.8757507818849</c:v>
                </c:pt>
                <c:pt idx="37">
                  <c:v>189.29681654541753</c:v>
                </c:pt>
                <c:pt idx="38">
                  <c:v>192.67475822038125</c:v>
                </c:pt>
                <c:pt idx="39">
                  <c:v>196.01052271855349</c:v>
                </c:pt>
                <c:pt idx="40">
                  <c:v>199.30501131208524</c:v>
                </c:pt>
                <c:pt idx="41">
                  <c:v>202.55908314461303</c:v>
                </c:pt>
                <c:pt idx="42">
                  <c:v>205.7735583851599</c:v>
                </c:pt>
                <c:pt idx="43">
                  <c:v>208.94922106915502</c:v>
                </c:pt>
                <c:pt idx="44">
                  <c:v>212.08682166448406</c:v>
                </c:pt>
                <c:pt idx="45">
                  <c:v>215.18707939511003</c:v>
                </c:pt>
                <c:pt idx="46">
                  <c:v>218.25068435030542</c:v>
                </c:pt>
                <c:pt idx="47">
                  <c:v>221.27829940373579</c:v>
                </c:pt>
                <c:pt idx="48">
                  <c:v>224.27056196342875</c:v>
                </c:pt>
                <c:pt idx="49">
                  <c:v>227.22808557093137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40-4C63-BB64-70DF2F2E85EF}"/>
            </c:ext>
          </c:extLst>
        </c:ser>
        <c:ser>
          <c:idx val="16"/>
          <c:order val="16"/>
          <c:tx>
            <c:strRef>
              <c:f>Rho!$B$61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Rho!$C$44:$AZ$44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Rho!$C$61:$AZ$61</c:f>
              <c:numCache>
                <c:formatCode>General</c:formatCode>
                <c:ptCount val="50"/>
                <c:pt idx="0">
                  <c:v>9.9440744875448654</c:v>
                </c:pt>
                <c:pt idx="1">
                  <c:v>19.247074004842013</c:v>
                </c:pt>
                <c:pt idx="2">
                  <c:v>27.668549635095594</c:v>
                </c:pt>
                <c:pt idx="3">
                  <c:v>35.403824791734948</c:v>
                </c:pt>
                <c:pt idx="4">
                  <c:v>42.624231884996099</c:v>
                </c:pt>
                <c:pt idx="5">
                  <c:v>49.445242484886492</c:v>
                </c:pt>
                <c:pt idx="6">
                  <c:v>55.944854737480313</c:v>
                </c:pt>
                <c:pt idx="7">
                  <c:v>62.177658666529453</c:v>
                </c:pt>
                <c:pt idx="8">
                  <c:v>68.183310269126082</c:v>
                </c:pt>
                <c:pt idx="9">
                  <c:v>73.991588331677207</c:v>
                </c:pt>
                <c:pt idx="10">
                  <c:v>79.62550012858911</c:v>
                </c:pt>
                <c:pt idx="11">
                  <c:v>85.103257618257544</c:v>
                </c:pt>
                <c:pt idx="12">
                  <c:v>90.439578817525785</c:v>
                </c:pt>
                <c:pt idx="13">
                  <c:v>95.646571959944382</c:v>
                </c:pt>
                <c:pt idx="14">
                  <c:v>100.73435314667654</c:v>
                </c:pt>
                <c:pt idx="15">
                  <c:v>105.71148860018934</c:v>
                </c:pt>
                <c:pt idx="16">
                  <c:v>110.58531833525235</c:v>
                </c:pt>
                <c:pt idx="17">
                  <c:v>115.36219769937601</c:v>
                </c:pt>
                <c:pt idx="18">
                  <c:v>120.04768078370155</c:v>
                </c:pt>
                <c:pt idx="19">
                  <c:v>124.64666188211991</c:v>
                </c:pt>
                <c:pt idx="20">
                  <c:v>129.16348613722147</c:v>
                </c:pt>
                <c:pt idx="21">
                  <c:v>133.60203719132892</c:v>
                </c:pt>
                <c:pt idx="22">
                  <c:v>137.96580742730049</c:v>
                </c:pt>
                <c:pt idx="23">
                  <c:v>142.25795485260085</c:v>
                </c:pt>
                <c:pt idx="24">
                  <c:v>146.48134961210729</c:v>
                </c:pt>
                <c:pt idx="25">
                  <c:v>150.63861235820511</c:v>
                </c:pt>
                <c:pt idx="26">
                  <c:v>154.73214616239338</c:v>
                </c:pt>
                <c:pt idx="27">
                  <c:v>158.76416325584017</c:v>
                </c:pt>
                <c:pt idx="28">
                  <c:v>162.73670759346038</c:v>
                </c:pt>
                <c:pt idx="29">
                  <c:v>166.65167401740655</c:v>
                </c:pt>
                <c:pt idx="30">
                  <c:v>170.51082463080229</c:v>
                </c:pt>
                <c:pt idx="31">
                  <c:v>174.3158028667003</c:v>
                </c:pt>
                <c:pt idx="32">
                  <c:v>178.06814564039774</c:v>
                </c:pt>
                <c:pt idx="33">
                  <c:v>181.76929389804869</c:v>
                </c:pt>
                <c:pt idx="34">
                  <c:v>185.42060181565034</c:v>
                </c:pt>
                <c:pt idx="35">
                  <c:v>189.02334485604834</c:v>
                </c:pt>
                <c:pt idx="36">
                  <c:v>192.57872685470556</c:v>
                </c:pt>
                <c:pt idx="37">
                  <c:v>196.08788627545908</c:v>
                </c:pt>
                <c:pt idx="38">
                  <c:v>199.55190175371351</c:v>
                </c:pt>
                <c:pt idx="39">
                  <c:v>202.97179702525756</c:v>
                </c:pt>
                <c:pt idx="40">
                  <c:v>206.34854532319221</c:v>
                </c:pt>
                <c:pt idx="41">
                  <c:v>209.68307331259288</c:v>
                </c:pt>
                <c:pt idx="42">
                  <c:v>212.97626462193546</c:v>
                </c:pt>
                <c:pt idx="43">
                  <c:v>216.2289630215376</c:v>
                </c:pt>
                <c:pt idx="44">
                  <c:v>219.44197529197882</c:v>
                </c:pt>
                <c:pt idx="45">
                  <c:v>222.61607381935735</c:v>
                </c:pt>
                <c:pt idx="46">
                  <c:v>225.7519989491355</c:v>
                </c:pt>
                <c:pt idx="47">
                  <c:v>228.85046112600793</c:v>
                </c:pt>
                <c:pt idx="48">
                  <c:v>231.91214284358742</c:v>
                </c:pt>
                <c:pt idx="49">
                  <c:v>234.93770042460429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40-4C63-BB64-70DF2F2E85EF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860145184"/>
        <c:axId val="860145664"/>
        <c:axId val="1053204304"/>
      </c:surface3DChart>
      <c:catAx>
        <c:axId val="86014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145664"/>
        <c:crosses val="autoZero"/>
        <c:auto val="1"/>
        <c:lblAlgn val="ctr"/>
        <c:lblOffset val="100"/>
        <c:noMultiLvlLbl val="0"/>
      </c:catAx>
      <c:valAx>
        <c:axId val="8601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145184"/>
        <c:crosses val="autoZero"/>
        <c:crossBetween val="midCat"/>
      </c:valAx>
      <c:serAx>
        <c:axId val="10532043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14566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Theta,</a:t>
            </a:r>
            <a:r>
              <a:rPr lang="en-US" baseline="0"/>
              <a:t> vol=10%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2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Theta!$B$3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Theta!$C$3:$AZ$3</c:f>
              <c:numCache>
                <c:formatCode>General</c:formatCode>
                <c:ptCount val="50"/>
                <c:pt idx="0">
                  <c:v>-1.7679600007399667E-55</c:v>
                </c:pt>
                <c:pt idx="1">
                  <c:v>-2.6800559022937503E-27</c:v>
                </c:pt>
                <c:pt idx="2">
                  <c:v>-6.075928913710345E-18</c:v>
                </c:pt>
                <c:pt idx="3">
                  <c:v>-2.7716544816216898E-13</c:v>
                </c:pt>
                <c:pt idx="4">
                  <c:v>-1.6869874250426192E-10</c:v>
                </c:pt>
                <c:pt idx="5">
                  <c:v>-1.1911447711131831E-8</c:v>
                </c:pt>
                <c:pt idx="6">
                  <c:v>-2.461987681727331E-7</c:v>
                </c:pt>
                <c:pt idx="7">
                  <c:v>-2.3648518907066315E-6</c:v>
                </c:pt>
                <c:pt idx="8">
                  <c:v>-1.3642302857830947E-5</c:v>
                </c:pt>
                <c:pt idx="9">
                  <c:v>-5.5115136698072929E-5</c:v>
                </c:pt>
                <c:pt idx="10">
                  <c:v>-1.7193527388923791E-4</c:v>
                </c:pt>
                <c:pt idx="11">
                  <c:v>-4.4198480185979143E-4</c:v>
                </c:pt>
                <c:pt idx="12">
                  <c:v>-9.7931265734415998E-4</c:v>
                </c:pt>
                <c:pt idx="13">
                  <c:v>-1.9312308174246568E-3</c:v>
                </c:pt>
                <c:pt idx="14">
                  <c:v>-3.4701293061948704E-3</c:v>
                </c:pt>
                <c:pt idx="15">
                  <c:v>-5.7822346145533204E-3</c:v>
                </c:pt>
                <c:pt idx="16">
                  <c:v>-9.0556367067857035E-3</c:v>
                </c:pt>
                <c:pt idx="17">
                  <c:v>-1.3469380902112041E-2</c:v>
                </c:pt>
                <c:pt idx="18">
                  <c:v>-1.9184697448230658E-2</c:v>
                </c:pt>
                <c:pt idx="19">
                  <c:v>-2.6338792395197271E-2</c:v>
                </c:pt>
                <c:pt idx="20">
                  <c:v>-3.5041156754391657E-2</c:v>
                </c:pt>
                <c:pt idx="21">
                  <c:v>-4.5372074449114778E-2</c:v>
                </c:pt>
                <c:pt idx="22">
                  <c:v>-5.738288525848919E-2</c:v>
                </c:pt>
                <c:pt idx="23">
                  <c:v>-7.1097538033991436E-2</c:v>
                </c:pt>
                <c:pt idx="24">
                  <c:v>-8.6515008990767778E-2</c:v>
                </c:pt>
                <c:pt idx="25">
                  <c:v>-0.1036122281575305</c:v>
                </c:pt>
                <c:pt idx="26">
                  <c:v>-0.12234723345939152</c:v>
                </c:pt>
                <c:pt idx="27">
                  <c:v>-0.14266234447384915</c:v>
                </c:pt>
                <c:pt idx="28">
                  <c:v>-0.16448721078225825</c:v>
                </c:pt>
                <c:pt idx="29">
                  <c:v>-0.18774164101932242</c:v>
                </c:pt>
                <c:pt idx="30">
                  <c:v>-0.21233815838360773</c:v>
                </c:pt>
                <c:pt idx="31">
                  <c:v>-0.23818425779752439</c:v>
                </c:pt>
                <c:pt idx="32">
                  <c:v>-0.26518436080411339</c:v>
                </c:pt>
                <c:pt idx="33">
                  <c:v>-0.29324147840582704</c:v>
                </c:pt>
                <c:pt idx="34">
                  <c:v>-0.32225860097326786</c:v>
                </c:pt>
                <c:pt idx="35">
                  <c:v>-0.35213983942492177</c:v>
                </c:pt>
                <c:pt idx="36">
                  <c:v>-0.38279134419152422</c:v>
                </c:pt>
                <c:pt idx="37">
                  <c:v>-0.4141220288823611</c:v>
                </c:pt>
                <c:pt idx="38">
                  <c:v>-0.44604412471206745</c:v>
                </c:pt>
                <c:pt idx="39">
                  <c:v>-0.47847359010372875</c:v>
                </c:pt>
                <c:pt idx="40">
                  <c:v>-0.51133039780232914</c:v>
                </c:pt>
                <c:pt idx="41">
                  <c:v>-0.5445387195538236</c:v>
                </c:pt>
                <c:pt idx="42">
                  <c:v>-0.57802702609383638</c:v>
                </c:pt>
                <c:pt idx="43">
                  <c:v>-0.61172811795327686</c:v>
                </c:pt>
                <c:pt idx="44">
                  <c:v>-0.64557910049149403</c:v>
                </c:pt>
                <c:pt idx="45">
                  <c:v>-0.67952131464730825</c:v>
                </c:pt>
                <c:pt idx="46">
                  <c:v>-0.71350023316993616</c:v>
                </c:pt>
                <c:pt idx="47">
                  <c:v>-0.74746533055785414</c:v>
                </c:pt>
                <c:pt idx="48">
                  <c:v>-0.78136993358728779</c:v>
                </c:pt>
                <c:pt idx="49">
                  <c:v>-0.81517105814142266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5D-4F7D-9014-59437CA7342D}"/>
            </c:ext>
          </c:extLst>
        </c:ser>
        <c:ser>
          <c:idx val="1"/>
          <c:order val="1"/>
          <c:tx>
            <c:strRef>
              <c:f>Theta!$B$4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Theta!$C$4:$AZ$4</c:f>
              <c:numCache>
                <c:formatCode>General</c:formatCode>
                <c:ptCount val="50"/>
                <c:pt idx="0">
                  <c:v>-3.9470321326028994E-39</c:v>
                </c:pt>
                <c:pt idx="1">
                  <c:v>-3.925532325198077E-19</c:v>
                </c:pt>
                <c:pt idx="2">
                  <c:v>-1.6661184828399499E-12</c:v>
                </c:pt>
                <c:pt idx="3">
                  <c:v>-3.2886360945747663E-9</c:v>
                </c:pt>
                <c:pt idx="4">
                  <c:v>-3.0416537650971246E-7</c:v>
                </c:pt>
                <c:pt idx="5">
                  <c:v>-6.1157855400856871E-6</c:v>
                </c:pt>
                <c:pt idx="6">
                  <c:v>-5.153839391664152E-5</c:v>
                </c:pt>
                <c:pt idx="7">
                  <c:v>-2.5259415203088731E-4</c:v>
                </c:pt>
                <c:pt idx="8">
                  <c:v>-8.6342757606333999E-4</c:v>
                </c:pt>
                <c:pt idx="9">
                  <c:v>-2.295033637211479E-3</c:v>
                </c:pt>
                <c:pt idx="10">
                  <c:v>-5.0830638733911542E-3</c:v>
                </c:pt>
                <c:pt idx="11">
                  <c:v>-9.8221621559539691E-3</c:v>
                </c:pt>
                <c:pt idx="12">
                  <c:v>-1.7093644462763059E-2</c:v>
                </c:pt>
                <c:pt idx="13">
                  <c:v>-2.7406144140226751E-2</c:v>
                </c:pt>
                <c:pt idx="14">
                  <c:v>-4.1157533526106287E-2</c:v>
                </c:pt>
                <c:pt idx="15">
                  <c:v>-5.8617961234128255E-2</c:v>
                </c:pt>
                <c:pt idx="16">
                  <c:v>-7.992958876738189E-2</c:v>
                </c:pt>
                <c:pt idx="17">
                  <c:v>-0.10511749132413965</c:v>
                </c:pt>
                <c:pt idx="18">
                  <c:v>-0.13410675557292553</c:v>
                </c:pt>
                <c:pt idx="19">
                  <c:v>-0.1667420034809575</c:v>
                </c:pt>
                <c:pt idx="20">
                  <c:v>-0.20280680870746937</c:v>
                </c:pt>
                <c:pt idx="21">
                  <c:v>-0.24204149887622217</c:v>
                </c:pt>
                <c:pt idx="22">
                  <c:v>-0.28415859044223574</c:v>
                </c:pt>
                <c:pt idx="23">
                  <c:v>-0.32885560728835539</c:v>
                </c:pt>
                <c:pt idx="24">
                  <c:v>-0.37582534357584174</c:v>
                </c:pt>
                <c:pt idx="25">
                  <c:v>-0.42476380139726139</c:v>
                </c:pt>
                <c:pt idx="26">
                  <c:v>-0.47537611097186039</c:v>
                </c:pt>
                <c:pt idx="27">
                  <c:v>-0.52738076043075999</c:v>
                </c:pt>
                <c:pt idx="28">
                  <c:v>-0.58051244813560166</c:v>
                </c:pt>
                <c:pt idx="29">
                  <c:v>-0.63452383918317068</c:v>
                </c:pt>
                <c:pt idx="30">
                  <c:v>-0.68918646948639173</c:v>
                </c:pt>
                <c:pt idx="31">
                  <c:v>-0.74429100166264972</c:v>
                </c:pt>
                <c:pt idx="32">
                  <c:v>-0.79964700024229374</c:v>
                </c:pt>
                <c:pt idx="33">
                  <c:v>-0.85508236103880064</c:v>
                </c:pt>
                <c:pt idx="34">
                  <c:v>-0.91044250145169903</c:v>
                </c:pt>
                <c:pt idx="35">
                  <c:v>-0.96558939495691498</c:v>
                </c:pt>
                <c:pt idx="36">
                  <c:v>-1.0204005137135725</c:v>
                </c:pt>
                <c:pt idx="37">
                  <c:v>-1.0747677275788301</c:v>
                </c:pt>
                <c:pt idx="38">
                  <c:v>-1.1285961953336159</c:v>
                </c:pt>
                <c:pt idx="39">
                  <c:v>-1.1818032740635449</c:v>
                </c:pt>
                <c:pt idx="40">
                  <c:v>-1.2343174649416166</c:v>
                </c:pt>
                <c:pt idx="41">
                  <c:v>-1.2860774077135573</c:v>
                </c:pt>
                <c:pt idx="42">
                  <c:v>-1.3370309316461211</c:v>
                </c:pt>
                <c:pt idx="43">
                  <c:v>-1.3871341672746478</c:v>
                </c:pt>
                <c:pt idx="44">
                  <c:v>-1.4363507207417059</c:v>
                </c:pt>
                <c:pt idx="45">
                  <c:v>-1.4846509106618415</c:v>
                </c:pt>
                <c:pt idx="46">
                  <c:v>-1.5320110661236996</c:v>
                </c:pt>
                <c:pt idx="47">
                  <c:v>-1.5784128835272657</c:v>
                </c:pt>
                <c:pt idx="48">
                  <c:v>-1.623842839352923</c:v>
                </c:pt>
                <c:pt idx="49">
                  <c:v>-1.6682916555940459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5D-4F7D-9014-59437CA7342D}"/>
            </c:ext>
          </c:extLst>
        </c:ser>
        <c:ser>
          <c:idx val="2"/>
          <c:order val="2"/>
          <c:tx>
            <c:strRef>
              <c:f>Theta!$B$5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Theta!$C$5:$AZ$5</c:f>
              <c:numCache>
                <c:formatCode>General</c:formatCode>
                <c:ptCount val="50"/>
                <c:pt idx="0">
                  <c:v>-1.7875592337370058E-26</c:v>
                </c:pt>
                <c:pt idx="1">
                  <c:v>-8.2017718769931129E-13</c:v>
                </c:pt>
                <c:pt idx="2">
                  <c:v>-2.6899658423205685E-8</c:v>
                </c:pt>
                <c:pt idx="3">
                  <c:v>-4.6675687579254725E-6</c:v>
                </c:pt>
                <c:pt idx="4">
                  <c:v>-1.0037348570311813E-4</c:v>
                </c:pt>
                <c:pt idx="5">
                  <c:v>-7.6312467459528567E-4</c:v>
                </c:pt>
                <c:pt idx="6">
                  <c:v>-3.21065267969463E-3</c:v>
                </c:pt>
                <c:pt idx="7">
                  <c:v>-9.3461529767725985E-3</c:v>
                </c:pt>
                <c:pt idx="8">
                  <c:v>-2.1304321984955053E-2</c:v>
                </c:pt>
                <c:pt idx="9">
                  <c:v>-4.0950801992583968E-2</c:v>
                </c:pt>
                <c:pt idx="10">
                  <c:v>-6.9571254433050067E-2</c:v>
                </c:pt>
                <c:pt idx="11">
                  <c:v>-0.10778086181925479</c:v>
                </c:pt>
                <c:pt idx="12">
                  <c:v>-0.15558514533021123</c:v>
                </c:pt>
                <c:pt idx="13">
                  <c:v>-0.21251232584427515</c:v>
                </c:pt>
                <c:pt idx="14">
                  <c:v>-0.2777609615807819</c:v>
                </c:pt>
                <c:pt idx="15">
                  <c:v>-0.35033261692918249</c:v>
                </c:pt>
                <c:pt idx="16">
                  <c:v>-0.42913771708550108</c:v>
                </c:pt>
                <c:pt idx="17">
                  <c:v>-0.51307317898564575</c:v>
                </c:pt>
                <c:pt idx="18">
                  <c:v>-0.6010752580839267</c:v>
                </c:pt>
                <c:pt idx="19">
                  <c:v>-0.69215264819992117</c:v>
                </c:pt>
                <c:pt idx="20">
                  <c:v>-0.78540483565470387</c:v>
                </c:pt>
                <c:pt idx="21">
                  <c:v>-0.88002999270268245</c:v>
                </c:pt>
                <c:pt idx="22">
                  <c:v>-0.97532579882823867</c:v>
                </c:pt>
                <c:pt idx="23">
                  <c:v>-1.0706857330061428</c:v>
                </c:pt>
                <c:pt idx="24">
                  <c:v>-1.1655926721080339</c:v>
                </c:pt>
                <c:pt idx="25">
                  <c:v>-1.2596110760050774</c:v>
                </c:pt>
                <c:pt idx="26">
                  <c:v>-1.35237862375716</c:v>
                </c:pt>
                <c:pt idx="27">
                  <c:v>-1.4435978627089483</c:v>
                </c:pt>
                <c:pt idx="28">
                  <c:v>-1.5330282178940959</c:v>
                </c:pt>
                <c:pt idx="29">
                  <c:v>-1.6204785607053303</c:v>
                </c:pt>
                <c:pt idx="30">
                  <c:v>-1.7058004354527672</c:v>
                </c:pt>
                <c:pt idx="31">
                  <c:v>-1.7888819764655639</c:v>
                </c:pt>
                <c:pt idx="32">
                  <c:v>-1.8696425065460553</c:v>
                </c:pt>
                <c:pt idx="33">
                  <c:v>-1.9480277823848233</c:v>
                </c:pt>
                <c:pt idx="34">
                  <c:v>-2.0240058386267483</c:v>
                </c:pt>
                <c:pt idx="35">
                  <c:v>-2.0975633758483143</c:v>
                </c:pt>
                <c:pt idx="36">
                  <c:v>-2.1687026361158499</c:v>
                </c:pt>
                <c:pt idx="37">
                  <c:v>-2.2374387112159462</c:v>
                </c:pt>
                <c:pt idx="38">
                  <c:v>-2.303797231840365</c:v>
                </c:pt>
                <c:pt idx="39">
                  <c:v>-2.3678123901366508</c:v>
                </c:pt>
                <c:pt idx="40">
                  <c:v>-2.4295252525574291</c:v>
                </c:pt>
                <c:pt idx="41">
                  <c:v>-2.4889823245084872</c:v>
                </c:pt>
                <c:pt idx="42">
                  <c:v>-2.5462343326958323</c:v>
                </c:pt>
                <c:pt idx="43">
                  <c:v>-2.6013351951835384</c:v>
                </c:pt>
                <c:pt idx="44">
                  <c:v>-2.6543411529360976</c:v>
                </c:pt>
                <c:pt idx="45">
                  <c:v>-2.7053100400092904</c:v>
                </c:pt>
                <c:pt idx="46">
                  <c:v>-2.7543006725747139</c:v>
                </c:pt>
                <c:pt idx="47">
                  <c:v>-2.8013723396325929</c:v>
                </c:pt>
                <c:pt idx="48">
                  <c:v>-2.8465843806106941</c:v>
                </c:pt>
                <c:pt idx="49">
                  <c:v>-2.8899958370936676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5D-4F7D-9014-59437CA7342D}"/>
            </c:ext>
          </c:extLst>
        </c:ser>
        <c:ser>
          <c:idx val="3"/>
          <c:order val="3"/>
          <c:tx>
            <c:strRef>
              <c:f>Theta!$B$6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Theta!$C$6:$AZ$6</c:f>
              <c:numCache>
                <c:formatCode>General</c:formatCode>
                <c:ptCount val="50"/>
                <c:pt idx="0">
                  <c:v>-7.7775413165978579E-17</c:v>
                </c:pt>
                <c:pt idx="1">
                  <c:v>-5.3185149357530166E-8</c:v>
                </c:pt>
                <c:pt idx="2">
                  <c:v>-4.2930244650064154E-5</c:v>
                </c:pt>
                <c:pt idx="3">
                  <c:v>-1.1686862125943633E-3</c:v>
                </c:pt>
                <c:pt idx="4">
                  <c:v>-8.271768726880421E-3</c:v>
                </c:pt>
                <c:pt idx="5">
                  <c:v>-2.9980373611627319E-2</c:v>
                </c:pt>
                <c:pt idx="6">
                  <c:v>-7.4307655940315645E-2</c:v>
                </c:pt>
                <c:pt idx="7">
                  <c:v>-0.14545600487234484</c:v>
                </c:pt>
                <c:pt idx="8">
                  <c:v>-0.24351807416175186</c:v>
                </c:pt>
                <c:pt idx="9">
                  <c:v>-0.36568287107559205</c:v>
                </c:pt>
                <c:pt idx="10">
                  <c:v>-0.50763504990064656</c:v>
                </c:pt>
                <c:pt idx="11">
                  <c:v>-0.66461231754191852</c:v>
                </c:pt>
                <c:pt idx="12">
                  <c:v>-0.83205102280243493</c:v>
                </c:pt>
                <c:pt idx="13">
                  <c:v>-1.0059126593775169</c:v>
                </c:pt>
                <c:pt idx="14">
                  <c:v>-1.1828043650430415</c:v>
                </c:pt>
                <c:pt idx="15">
                  <c:v>-1.3599818437665376</c:v>
                </c:pt>
                <c:pt idx="16">
                  <c:v>-1.5352932365018073</c:v>
                </c:pt>
                <c:pt idx="17">
                  <c:v>-1.7070990531211745</c:v>
                </c:pt>
                <c:pt idx="18">
                  <c:v>-1.8741875961569956</c:v>
                </c:pt>
                <c:pt idx="19">
                  <c:v>-2.0356956609583294</c:v>
                </c:pt>
                <c:pt idx="20">
                  <c:v>-2.1910387151889426</c:v>
                </c:pt>
                <c:pt idx="21">
                  <c:v>-2.3398517130048511</c:v>
                </c:pt>
                <c:pt idx="22">
                  <c:v>-2.4819401535136265</c:v>
                </c:pt>
                <c:pt idx="23">
                  <c:v>-2.6172403008387519</c:v>
                </c:pt>
                <c:pt idx="24">
                  <c:v>-2.7457872546798092</c:v>
                </c:pt>
                <c:pt idx="25">
                  <c:v>-2.8676895692524913</c:v>
                </c:pt>
                <c:pt idx="26">
                  <c:v>-2.9831092373519175</c:v>
                </c:pt>
                <c:pt idx="27">
                  <c:v>-3.0922460156770408</c:v>
                </c:pt>
                <c:pt idx="28">
                  <c:v>-3.1953252316446847</c:v>
                </c:pt>
                <c:pt idx="29">
                  <c:v>-3.2925883636748998</c:v>
                </c:pt>
                <c:pt idx="30">
                  <c:v>-3.384285819557991</c:v>
                </c:pt>
                <c:pt idx="31">
                  <c:v>-3.4706714495799535</c:v>
                </c:pt>
                <c:pt idx="32">
                  <c:v>-3.5519984237500766</c:v>
                </c:pt>
                <c:pt idx="33">
                  <c:v>-3.6285161780018429</c:v>
                </c:pt>
                <c:pt idx="34">
                  <c:v>-3.7004681951901381</c:v>
                </c:pt>
                <c:pt idx="35">
                  <c:v>-3.7680904355599143</c:v>
                </c:pt>
                <c:pt idx="36">
                  <c:v>-3.8316102703277628</c:v>
                </c:pt>
                <c:pt idx="37">
                  <c:v>-3.8912458029943404</c:v>
                </c:pt>
                <c:pt idx="38">
                  <c:v>-3.94720548757273</c:v>
                </c:pt>
                <c:pt idx="39">
                  <c:v>-3.9996879723697849</c:v>
                </c:pt>
                <c:pt idx="40">
                  <c:v>-4.048882113341941</c:v>
                </c:pt>
                <c:pt idx="41">
                  <c:v>-4.0949671132044116</c:v>
                </c:pt>
                <c:pt idx="42">
                  <c:v>-4.1381127520740142</c:v>
                </c:pt>
                <c:pt idx="43">
                  <c:v>-4.1784796830046913</c:v>
                </c:pt>
                <c:pt idx="44">
                  <c:v>-4.2162197717536136</c:v>
                </c:pt>
                <c:pt idx="45">
                  <c:v>-4.2514764648297838</c:v>
                </c:pt>
                <c:pt idx="46">
                  <c:v>-4.2843851735906178</c:v>
                </c:pt>
                <c:pt idx="47">
                  <c:v>-4.3150736650746317</c:v>
                </c:pt>
                <c:pt idx="48">
                  <c:v>-4.3436624525553489</c:v>
                </c:pt>
                <c:pt idx="49">
                  <c:v>-4.3702651806035639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5D-4F7D-9014-59437CA7342D}"/>
            </c:ext>
          </c:extLst>
        </c:ser>
        <c:ser>
          <c:idx val="4"/>
          <c:order val="4"/>
          <c:tx>
            <c:strRef>
              <c:f>Theta!$B$7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Theta!$C$7:$AZ$7</c:f>
              <c:numCache>
                <c:formatCode>General</c:formatCode>
                <c:ptCount val="50"/>
                <c:pt idx="0">
                  <c:v>-1.0859423889672623E-9</c:v>
                </c:pt>
                <c:pt idx="1">
                  <c:v>-1.9560713794414961E-4</c:v>
                </c:pt>
                <c:pt idx="2">
                  <c:v>-1.0122334176383608E-2</c:v>
                </c:pt>
                <c:pt idx="3">
                  <c:v>-6.9776368374696862E-2</c:v>
                </c:pt>
                <c:pt idx="4">
                  <c:v>-0.21663466215637461</c:v>
                </c:pt>
                <c:pt idx="5">
                  <c:v>-0.45331205432784033</c:v>
                </c:pt>
                <c:pt idx="6">
                  <c:v>-0.75892946558644458</c:v>
                </c:pt>
                <c:pt idx="7">
                  <c:v>-1.1069217717270452</c:v>
                </c:pt>
                <c:pt idx="8">
                  <c:v>-1.4741436282882312</c:v>
                </c:pt>
                <c:pt idx="9">
                  <c:v>-1.8434025119674142</c:v>
                </c:pt>
                <c:pt idx="10">
                  <c:v>-2.2031016482531589</c:v>
                </c:pt>
                <c:pt idx="11">
                  <c:v>-2.5460309677400117</c:v>
                </c:pt>
                <c:pt idx="12">
                  <c:v>-2.868135290568711</c:v>
                </c:pt>
                <c:pt idx="13">
                  <c:v>-3.1675139509270402</c:v>
                </c:pt>
                <c:pt idx="14">
                  <c:v>-3.4436811909367626</c:v>
                </c:pt>
                <c:pt idx="15">
                  <c:v>-3.6970454742485961</c:v>
                </c:pt>
                <c:pt idx="16">
                  <c:v>-3.9285536689687244</c:v>
                </c:pt>
                <c:pt idx="17">
                  <c:v>-4.1394530402433807</c:v>
                </c:pt>
                <c:pt idx="18">
                  <c:v>-4.3311350278732572</c:v>
                </c:pt>
                <c:pt idx="19">
                  <c:v>-4.5050348123649773</c:v>
                </c:pt>
                <c:pt idx="20">
                  <c:v>-4.6625684801708571</c:v>
                </c:pt>
                <c:pt idx="21">
                  <c:v>-4.8050952801397688</c:v>
                </c:pt>
                <c:pt idx="22">
                  <c:v>-4.9338964577550923</c:v>
                </c:pt>
                <c:pt idx="23">
                  <c:v>-5.0501649105829847</c:v>
                </c:pt>
                <c:pt idx="24">
                  <c:v>-5.1550017915442394</c:v>
                </c:pt>
                <c:pt idx="25">
                  <c:v>-5.2494174657506223</c:v>
                </c:pt>
                <c:pt idx="26">
                  <c:v>-5.3343350927464837</c:v>
                </c:pt>
                <c:pt idx="27">
                  <c:v>-5.4105956913161135</c:v>
                </c:pt>
                <c:pt idx="28">
                  <c:v>-5.4789639389672011</c:v>
                </c:pt>
                <c:pt idx="29">
                  <c:v>-5.540134224195743</c:v>
                </c:pt>
                <c:pt idx="30">
                  <c:v>-5.5947366482780323</c:v>
                </c:pt>
                <c:pt idx="31">
                  <c:v>-5.6433427927821596</c:v>
                </c:pt>
                <c:pt idx="32">
                  <c:v>-5.6864711483201225</c:v>
                </c:pt>
                <c:pt idx="33">
                  <c:v>-5.7245921522094214</c:v>
                </c:pt>
                <c:pt idx="34">
                  <c:v>-5.7581328164683878</c:v>
                </c:pt>
                <c:pt idx="35">
                  <c:v>-5.7874809489106038</c:v>
                </c:pt>
                <c:pt idx="36">
                  <c:v>-5.8129889831025698</c:v>
                </c:pt>
                <c:pt idx="37">
                  <c:v>-5.8349774403797463</c:v>
                </c:pt>
                <c:pt idx="38">
                  <c:v>-5.8537380508697474</c:v>
                </c:pt>
                <c:pt idx="39">
                  <c:v>-5.869536561833999</c:v>
                </c:pt>
                <c:pt idx="40">
                  <c:v>-5.8826152614833074</c:v>
                </c:pt>
                <c:pt idx="41">
                  <c:v>-5.8931952453381218</c:v>
                </c:pt>
                <c:pt idx="42">
                  <c:v>-5.9014784505858646</c:v>
                </c:pt>
                <c:pt idx="43">
                  <c:v>-5.9076494819980283</c:v>
                </c:pt>
                <c:pt idx="44">
                  <c:v>-5.9118772509798179</c:v>
                </c:pt>
                <c:pt idx="45">
                  <c:v>-5.9143164473441345</c:v>
                </c:pt>
                <c:pt idx="46">
                  <c:v>-5.9151088614968135</c:v>
                </c:pt>
                <c:pt idx="47">
                  <c:v>-5.914384572929662</c:v>
                </c:pt>
                <c:pt idx="48">
                  <c:v>-5.912263019262034</c:v>
                </c:pt>
                <c:pt idx="49">
                  <c:v>-5.9088539585576392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5D-4F7D-9014-59437CA7342D}"/>
            </c:ext>
          </c:extLst>
        </c:ser>
        <c:ser>
          <c:idx val="5"/>
          <c:order val="5"/>
          <c:tx>
            <c:strRef>
              <c:f>Theta!$B$8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Theta!$C$8:$AZ$8</c:f>
              <c:numCache>
                <c:formatCode>General</c:formatCode>
                <c:ptCount val="50"/>
                <c:pt idx="0">
                  <c:v>-1.2584010132960953E-4</c:v>
                </c:pt>
                <c:pt idx="1">
                  <c:v>-6.5613662064275033E-2</c:v>
                </c:pt>
                <c:pt idx="2">
                  <c:v>-0.48397449782227436</c:v>
                </c:pt>
                <c:pt idx="3">
                  <c:v>-1.2596778182500061</c:v>
                </c:pt>
                <c:pt idx="4">
                  <c:v>-2.1802946085507839</c:v>
                </c:pt>
                <c:pt idx="5">
                  <c:v>-3.0905186611763074</c:v>
                </c:pt>
                <c:pt idx="6">
                  <c:v>-3.9176852952152079</c:v>
                </c:pt>
                <c:pt idx="7">
                  <c:v>-4.6382561896522034</c:v>
                </c:pt>
                <c:pt idx="8">
                  <c:v>-5.2520643266136915</c:v>
                </c:pt>
                <c:pt idx="9">
                  <c:v>-5.7684882279142808</c:v>
                </c:pt>
                <c:pt idx="10">
                  <c:v>-6.1998517333227667</c:v>
                </c:pt>
                <c:pt idx="11">
                  <c:v>-6.5585056801483317</c:v>
                </c:pt>
                <c:pt idx="12">
                  <c:v>-6.8556702222349379</c:v>
                </c:pt>
                <c:pt idx="13">
                  <c:v>-7.1010858956267517</c:v>
                </c:pt>
                <c:pt idx="14">
                  <c:v>-7.3030175229481591</c:v>
                </c:pt>
                <c:pt idx="15">
                  <c:v>-7.4683969461650914</c:v>
                </c:pt>
                <c:pt idx="16">
                  <c:v>-7.603006630395595</c:v>
                </c:pt>
                <c:pt idx="17">
                  <c:v>-7.711661407842862</c:v>
                </c:pt>
                <c:pt idx="18">
                  <c:v>-7.7983716240838659</c:v>
                </c:pt>
                <c:pt idx="19">
                  <c:v>-7.8664829016364894</c:v>
                </c:pt>
                <c:pt idx="20">
                  <c:v>-7.9187929622777231</c:v>
                </c:pt>
                <c:pt idx="21">
                  <c:v>-7.9576479862323426</c:v>
                </c:pt>
                <c:pt idx="22">
                  <c:v>-7.985021547368695</c:v>
                </c:pt>
                <c:pt idx="23">
                  <c:v>-8.0025790780185062</c:v>
                </c:pt>
                <c:pt idx="24">
                  <c:v>-8.0117304813759862</c:v>
                </c:pt>
                <c:pt idx="25">
                  <c:v>-8.0136731079857046</c:v>
                </c:pt>
                <c:pt idx="26">
                  <c:v>-8.0094269264339051</c:v>
                </c:pt>
                <c:pt idx="27">
                  <c:v>-7.9998633779936617</c:v>
                </c:pt>
                <c:pt idx="28">
                  <c:v>-7.9857291183343593</c:v>
                </c:pt>
                <c:pt idx="29">
                  <c:v>-7.9676656139810893</c:v>
                </c:pt>
                <c:pt idx="30">
                  <c:v>-7.9462253706265953</c:v>
                </c:pt>
                <c:pt idx="31">
                  <c:v>-7.9218854173904925</c:v>
                </c:pt>
                <c:pt idx="32">
                  <c:v>-7.8950585488247889</c:v>
                </c:pt>
                <c:pt idx="33">
                  <c:v>-7.8661027289077072</c:v>
                </c:pt>
                <c:pt idx="34">
                  <c:v>-7.8353289834678224</c:v>
                </c:pt>
                <c:pt idx="35">
                  <c:v>-7.8030080453835726</c:v>
                </c:pt>
                <c:pt idx="36">
                  <c:v>-7.7693759672589513</c:v>
                </c:pt>
                <c:pt idx="37">
                  <c:v>-7.734638876500922</c:v>
                </c:pt>
                <c:pt idx="38">
                  <c:v>-7.6989770157745232</c:v>
                </c:pt>
                <c:pt idx="39">
                  <c:v>-7.6625481860761155</c:v>
                </c:pt>
                <c:pt idx="40">
                  <c:v>-7.62549068887337</c:v>
                </c:pt>
                <c:pt idx="41">
                  <c:v>-7.5879258469112205</c:v>
                </c:pt>
                <c:pt idx="42">
                  <c:v>-7.5499601695856446</c:v>
                </c:pt>
                <c:pt idx="43">
                  <c:v>-7.5116872176170775</c:v>
                </c:pt>
                <c:pt idx="44">
                  <c:v>-7.4731892126175463</c:v>
                </c:pt>
                <c:pt idx="45">
                  <c:v>-7.4345384296469632</c:v>
                </c:pt>
                <c:pt idx="46">
                  <c:v>-7.3957984046816216</c:v>
                </c:pt>
                <c:pt idx="47">
                  <c:v>-7.3570249838215656</c:v>
                </c:pt>
                <c:pt idx="48">
                  <c:v>-7.3182672368432486</c:v>
                </c:pt>
                <c:pt idx="49">
                  <c:v>-7.2795682541987237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5D-4F7D-9014-59437CA7342D}"/>
            </c:ext>
          </c:extLst>
        </c:ser>
        <c:ser>
          <c:idx val="6"/>
          <c:order val="6"/>
          <c:tx>
            <c:strRef>
              <c:f>Theta!$B$9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Theta!$C$9:$AZ$9</c:f>
              <c:numCache>
                <c:formatCode>General</c:formatCode>
                <c:ptCount val="50"/>
                <c:pt idx="0">
                  <c:v>-0.25853584758188691</c:v>
                </c:pt>
                <c:pt idx="1">
                  <c:v>-2.9339987774989447</c:v>
                </c:pt>
                <c:pt idx="2">
                  <c:v>-6.0437585294850038</c:v>
                </c:pt>
                <c:pt idx="3">
                  <c:v>-8.3140421448886812</c:v>
                </c:pt>
                <c:pt idx="4">
                  <c:v>-9.8163007159602653</c:v>
                </c:pt>
                <c:pt idx="5">
                  <c:v>-10.783138641037302</c:v>
                </c:pt>
                <c:pt idx="6">
                  <c:v>-11.394081066810374</c:v>
                </c:pt>
                <c:pt idx="7">
                  <c:v>-11.768540252535685</c:v>
                </c:pt>
                <c:pt idx="8">
                  <c:v>-11.984022951725793</c:v>
                </c:pt>
                <c:pt idx="9">
                  <c:v>-12.091185348338001</c:v>
                </c:pt>
                <c:pt idx="10">
                  <c:v>-12.123667186218327</c:v>
                </c:pt>
                <c:pt idx="11">
                  <c:v>-12.104210311587385</c:v>
                </c:pt>
                <c:pt idx="12">
                  <c:v>-12.048455773597711</c:v>
                </c:pt>
                <c:pt idx="13">
                  <c:v>-11.96733005819585</c:v>
                </c:pt>
                <c:pt idx="14">
                  <c:v>-11.868571371842389</c:v>
                </c:pt>
                <c:pt idx="15">
                  <c:v>-11.757724482826351</c:v>
                </c:pt>
                <c:pt idx="16">
                  <c:v>-11.638801285650006</c:v>
                </c:pt>
                <c:pt idx="17">
                  <c:v>-11.51472715733839</c:v>
                </c:pt>
                <c:pt idx="18">
                  <c:v>-11.387647513905588</c:v>
                </c:pt>
                <c:pt idx="19">
                  <c:v>-11.259141525485473</c:v>
                </c:pt>
                <c:pt idx="20">
                  <c:v>-11.130373160404417</c:v>
                </c:pt>
                <c:pt idx="21">
                  <c:v>-11.002199277100317</c:v>
                </c:pt>
                <c:pt idx="22">
                  <c:v>-10.875247861921617</c:v>
                </c:pt>
                <c:pt idx="23">
                  <c:v>-10.74997524572143</c:v>
                </c:pt>
                <c:pt idx="24">
                  <c:v>-10.626708340605214</c:v>
                </c:pt>
                <c:pt idx="25">
                  <c:v>-10.505676083548062</c:v>
                </c:pt>
                <c:pt idx="26">
                  <c:v>-10.38703302399748</c:v>
                </c:pt>
                <c:pt idx="27">
                  <c:v>-10.270877139494118</c:v>
                </c:pt>
                <c:pt idx="28">
                  <c:v>-10.157263373747995</c:v>
                </c:pt>
                <c:pt idx="29">
                  <c:v>-10.04621397940344</c:v>
                </c:pt>
                <c:pt idx="30">
                  <c:v>-9.9377264564217</c:v>
                </c:pt>
                <c:pt idx="31">
                  <c:v>-9.8317796690610741</c:v>
                </c:pt>
                <c:pt idx="32">
                  <c:v>-9.7283385745811284</c:v>
                </c:pt>
                <c:pt idx="33">
                  <c:v>-9.6273578878499677</c:v>
                </c:pt>
                <c:pt idx="34">
                  <c:v>-9.5287849261658426</c:v>
                </c:pt>
                <c:pt idx="35">
                  <c:v>-9.4325618195968506</c:v>
                </c:pt>
                <c:pt idx="36">
                  <c:v>-9.3386272282271747</c:v>
                </c:pt>
                <c:pt idx="37">
                  <c:v>-9.2469176747897421</c:v>
                </c:pt>
                <c:pt idx="38">
                  <c:v>-9.1573685763450321</c:v>
                </c:pt>
                <c:pt idx="39">
                  <c:v>-9.0699150398324235</c:v>
                </c:pt>
                <c:pt idx="40">
                  <c:v>-8.9844924719478811</c:v>
                </c:pt>
                <c:pt idx="41">
                  <c:v>-8.9010370427747212</c:v>
                </c:pt>
                <c:pt idx="42">
                  <c:v>-8.8194860340913745</c:v>
                </c:pt>
                <c:pt idx="43">
                  <c:v>-8.7397780966923371</c:v>
                </c:pt>
                <c:pt idx="44">
                  <c:v>-8.6618534359323007</c:v>
                </c:pt>
                <c:pt idx="45">
                  <c:v>-8.5856539406976378</c:v>
                </c:pt>
                <c:pt idx="46">
                  <c:v>-8.5111232678673598</c:v>
                </c:pt>
                <c:pt idx="47">
                  <c:v>-8.4382068918518165</c:v>
                </c:pt>
                <c:pt idx="48">
                  <c:v>-8.3668521268435949</c:v>
                </c:pt>
                <c:pt idx="49">
                  <c:v>-8.2970081278667696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5D-4F7D-9014-59437CA7342D}"/>
            </c:ext>
          </c:extLst>
        </c:ser>
        <c:ser>
          <c:idx val="7"/>
          <c:order val="7"/>
          <c:tx>
            <c:strRef>
              <c:f>Theta!$B$10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Theta!$C$10:$AZ$10</c:f>
              <c:numCache>
                <c:formatCode>General</c:formatCode>
                <c:ptCount val="50"/>
                <c:pt idx="0">
                  <c:v>-17.400677576709494</c:v>
                </c:pt>
                <c:pt idx="1">
                  <c:v>-23.782165021624941</c:v>
                </c:pt>
                <c:pt idx="2">
                  <c:v>-24.200033179391259</c:v>
                </c:pt>
                <c:pt idx="3">
                  <c:v>-23.40190422634943</c:v>
                </c:pt>
                <c:pt idx="4">
                  <c:v>-22.366014721616416</c:v>
                </c:pt>
                <c:pt idx="5">
                  <c:v>-21.341081398426915</c:v>
                </c:pt>
                <c:pt idx="6">
                  <c:v>-20.392896950160061</c:v>
                </c:pt>
                <c:pt idx="7">
                  <c:v>-19.533681781116439</c:v>
                </c:pt>
                <c:pt idx="8">
                  <c:v>-18.759153100920699</c:v>
                </c:pt>
                <c:pt idx="9">
                  <c:v>-18.060439662558316</c:v>
                </c:pt>
                <c:pt idx="10">
                  <c:v>-17.428109370152374</c:v>
                </c:pt>
                <c:pt idx="11">
                  <c:v>-16.853490324547426</c:v>
                </c:pt>
                <c:pt idx="12">
                  <c:v>-16.329017678267913</c:v>
                </c:pt>
                <c:pt idx="13">
                  <c:v>-15.848230333707182</c:v>
                </c:pt>
                <c:pt idx="14">
                  <c:v>-15.405652515028409</c:v>
                </c:pt>
                <c:pt idx="15">
                  <c:v>-14.996649778781048</c:v>
                </c:pt>
                <c:pt idx="16">
                  <c:v>-14.61729232931226</c:v>
                </c:pt>
                <c:pt idx="17">
                  <c:v>-14.26423600079346</c:v>
                </c:pt>
                <c:pt idx="18">
                  <c:v>-13.934622454724144</c:v>
                </c:pt>
                <c:pt idx="19">
                  <c:v>-13.625996928524939</c:v>
                </c:pt>
                <c:pt idx="20">
                  <c:v>-13.336240946640036</c:v>
                </c:pt>
                <c:pt idx="21">
                  <c:v>-13.063517384808204</c:v>
                </c:pt>
                <c:pt idx="22">
                  <c:v>-12.806225576950984</c:v>
                </c:pt>
                <c:pt idx="23">
                  <c:v>-12.56296453033745</c:v>
                </c:pt>
                <c:pt idx="24">
                  <c:v>-12.332502673484358</c:v>
                </c:pt>
                <c:pt idx="25">
                  <c:v>-12.113752870973164</c:v>
                </c:pt>
                <c:pt idx="26">
                  <c:v>-11.905751694616933</c:v>
                </c:pt>
                <c:pt idx="27">
                  <c:v>-11.707642145857228</c:v>
                </c:pt>
                <c:pt idx="28">
                  <c:v>-11.518659187631679</c:v>
                </c:pt>
                <c:pt idx="29">
                  <c:v>-11.338117573101096</c:v>
                </c:pt>
                <c:pt idx="30">
                  <c:v>-11.165401560525197</c:v>
                </c:pt>
                <c:pt idx="31">
                  <c:v>-10.999956184007594</c:v>
                </c:pt>
                <c:pt idx="32">
                  <c:v>-10.841279813436149</c:v>
                </c:pt>
                <c:pt idx="33">
                  <c:v>-10.688917787386179</c:v>
                </c:pt>
                <c:pt idx="34">
                  <c:v>-10.542456942893477</c:v>
                </c:pt>
                <c:pt idx="35">
                  <c:v>-10.401520898067806</c:v>
                </c:pt>
                <c:pt idx="36">
                  <c:v>-10.265765969233529</c:v>
                </c:pt>
                <c:pt idx="37">
                  <c:v>-10.134877624994976</c:v>
                </c:pt>
                <c:pt idx="38">
                  <c:v>-10.008567396374131</c:v>
                </c:pt>
                <c:pt idx="39">
                  <c:v>-9.8865701757717641</c:v>
                </c:pt>
                <c:pt idx="40">
                  <c:v>-9.7686418485969124</c:v>
                </c:pt>
                <c:pt idx="41">
                  <c:v>-9.6545572104938753</c:v>
                </c:pt>
                <c:pt idx="42">
                  <c:v>-9.5441081305642044</c:v>
                </c:pt>
                <c:pt idx="43">
                  <c:v>-9.4371019271449441</c:v>
                </c:pt>
                <c:pt idx="44">
                  <c:v>-9.3333599278110881</c:v>
                </c:pt>
                <c:pt idx="45">
                  <c:v>-9.2327161895162924</c:v>
                </c:pt>
                <c:pt idx="46">
                  <c:v>-9.1350163583296329</c:v>
                </c:pt>
                <c:pt idx="47">
                  <c:v>-9.0401166511934967</c:v>
                </c:pt>
                <c:pt idx="48">
                  <c:v>-8.9478829446211403</c:v>
                </c:pt>
                <c:pt idx="49">
                  <c:v>-8.8581899573543303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5D-4F7D-9014-59437CA7342D}"/>
            </c:ext>
          </c:extLst>
        </c:ser>
        <c:ser>
          <c:idx val="8"/>
          <c:order val="8"/>
          <c:tx>
            <c:strRef>
              <c:f>Theta!$B$11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Theta!$C$11:$AZ$11</c:f>
              <c:numCache>
                <c:formatCode>General</c:formatCode>
                <c:ptCount val="50"/>
                <c:pt idx="0">
                  <c:v>-63.51319136409213</c:v>
                </c:pt>
                <c:pt idx="1">
                  <c:v>-45.010761793919819</c:v>
                </c:pt>
                <c:pt idx="2">
                  <c:v>-36.804970144920844</c:v>
                </c:pt>
                <c:pt idx="3">
                  <c:v>-31.908116377905465</c:v>
                </c:pt>
                <c:pt idx="4">
                  <c:v>-28.562784012405597</c:v>
                </c:pt>
                <c:pt idx="5">
                  <c:v>-26.090739096589839</c:v>
                </c:pt>
                <c:pt idx="6">
                  <c:v>-24.167427888787216</c:v>
                </c:pt>
                <c:pt idx="7">
                  <c:v>-22.615447138250499</c:v>
                </c:pt>
                <c:pt idx="8">
                  <c:v>-21.328556273118906</c:v>
                </c:pt>
                <c:pt idx="9">
                  <c:v>-20.238731873674471</c:v>
                </c:pt>
                <c:pt idx="10">
                  <c:v>-19.300131789062185</c:v>
                </c:pt>
                <c:pt idx="11">
                  <c:v>-18.480584369269959</c:v>
                </c:pt>
                <c:pt idx="12">
                  <c:v>-17.756756480575103</c:v>
                </c:pt>
                <c:pt idx="13">
                  <c:v>-17.111257525013254</c:v>
                </c:pt>
                <c:pt idx="14">
                  <c:v>-16.530824793041887</c:v>
                </c:pt>
                <c:pt idx="15">
                  <c:v>-16.005143218810442</c:v>
                </c:pt>
                <c:pt idx="16">
                  <c:v>-15.526053041162957</c:v>
                </c:pt>
                <c:pt idx="17">
                  <c:v>-15.087003167974695</c:v>
                </c:pt>
                <c:pt idx="18">
                  <c:v>-14.682664988776283</c:v>
                </c:pt>
                <c:pt idx="19">
                  <c:v>-14.308653788712833</c:v>
                </c:pt>
                <c:pt idx="20">
                  <c:v>-13.961324035001446</c:v>
                </c:pt>
                <c:pt idx="21">
                  <c:v>-13.637616446598853</c:v>
                </c:pt>
                <c:pt idx="22">
                  <c:v>-13.334942044838717</c:v>
                </c:pt>
                <c:pt idx="23">
                  <c:v>-13.051093059908913</c:v>
                </c:pt>
                <c:pt idx="24">
                  <c:v>-12.784173637810701</c:v>
                </c:pt>
                <c:pt idx="25">
                  <c:v>-12.532545348298969</c:v>
                </c:pt>
                <c:pt idx="26">
                  <c:v>-12.294783896559268</c:v>
                </c:pt>
                <c:pt idx="27">
                  <c:v>-12.069644413917434</c:v>
                </c:pt>
                <c:pt idx="28">
                  <c:v>-11.856033387768449</c:v>
                </c:pt>
                <c:pt idx="29">
                  <c:v>-11.652985780049564</c:v>
                </c:pt>
                <c:pt idx="30">
                  <c:v>-11.459646237470377</c:v>
                </c:pt>
                <c:pt idx="31">
                  <c:v>-11.275253555833283</c:v>
                </c:pt>
                <c:pt idx="32">
                  <c:v>-11.099127752630197</c:v>
                </c:pt>
                <c:pt idx="33">
                  <c:v>-10.930659245626181</c:v>
                </c:pt>
                <c:pt idx="34">
                  <c:v>-10.769299743552773</c:v>
                </c:pt>
                <c:pt idx="35">
                  <c:v>-10.614554537666312</c:v>
                </c:pt>
                <c:pt idx="36">
                  <c:v>-10.465975946444811</c:v>
                </c:pt>
                <c:pt idx="37">
                  <c:v>-10.32315771491187</c:v>
                </c:pt>
                <c:pt idx="38">
                  <c:v>-10.185730208495027</c:v>
                </c:pt>
                <c:pt idx="39">
                  <c:v>-10.053356271529312</c:v>
                </c:pt>
                <c:pt idx="40">
                  <c:v>-9.9257276444198794</c:v>
                </c:pt>
                <c:pt idx="41">
                  <c:v>-9.8025618525143674</c:v>
                </c:pt>
                <c:pt idx="42">
                  <c:v>-9.6835994949875062</c:v>
                </c:pt>
                <c:pt idx="43">
                  <c:v>-9.5686018743291292</c:v>
                </c:pt>
                <c:pt idx="44">
                  <c:v>-9.4573489169816778</c:v>
                </c:pt>
                <c:pt idx="45">
                  <c:v>-9.3496373437785145</c:v>
                </c:pt>
                <c:pt idx="46">
                  <c:v>-9.2452790554664208</c:v>
                </c:pt>
                <c:pt idx="47">
                  <c:v>-9.1440997040469405</c:v>
                </c:pt>
                <c:pt idx="48">
                  <c:v>-9.0459374251724967</c:v>
                </c:pt>
                <c:pt idx="49">
                  <c:v>-8.9506417105652982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5D-4F7D-9014-59437CA7342D}"/>
            </c:ext>
          </c:extLst>
        </c:ser>
        <c:ser>
          <c:idx val="9"/>
          <c:order val="9"/>
          <c:tx>
            <c:strRef>
              <c:f>Theta!$B$12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Theta!$C$12:$AZ$12</c:f>
              <c:numCache>
                <c:formatCode>General</c:formatCode>
                <c:ptCount val="50"/>
                <c:pt idx="0">
                  <c:v>-19.6412711203002</c:v>
                </c:pt>
                <c:pt idx="1">
                  <c:v>-24.817162870663232</c:v>
                </c:pt>
                <c:pt idx="2">
                  <c:v>-24.63895605177273</c:v>
                </c:pt>
                <c:pt idx="3">
                  <c:v>-23.540649823996102</c:v>
                </c:pt>
                <c:pt idx="4">
                  <c:v>-22.338243095490935</c:v>
                </c:pt>
                <c:pt idx="5">
                  <c:v>-21.214029797964383</c:v>
                </c:pt>
                <c:pt idx="6">
                  <c:v>-20.203616961666036</c:v>
                </c:pt>
                <c:pt idx="7">
                  <c:v>-19.304067428522458</c:v>
                </c:pt>
                <c:pt idx="8">
                  <c:v>-18.502854564584236</c:v>
                </c:pt>
                <c:pt idx="9">
                  <c:v>-17.786330965441131</c:v>
                </c:pt>
                <c:pt idx="10">
                  <c:v>-17.142153601151332</c:v>
                </c:pt>
                <c:pt idx="11">
                  <c:v>-16.559801714825994</c:v>
                </c:pt>
                <c:pt idx="12">
                  <c:v>-16.030495463458493</c:v>
                </c:pt>
                <c:pt idx="13">
                  <c:v>-15.546952223409878</c:v>
                </c:pt>
                <c:pt idx="14">
                  <c:v>-15.103127208786471</c:v>
                </c:pt>
                <c:pt idx="15">
                  <c:v>-14.693983708325431</c:v>
                </c:pt>
                <c:pt idx="16">
                  <c:v>-14.315302507543423</c:v>
                </c:pt>
                <c:pt idx="17">
                  <c:v>-13.963528052199383</c:v>
                </c:pt>
                <c:pt idx="18">
                  <c:v>-13.63564559438861</c:v>
                </c:pt>
                <c:pt idx="19">
                  <c:v>-13.329083347148842</c:v>
                </c:pt>
                <c:pt idx="20">
                  <c:v>-13.04163444209285</c:v>
                </c:pt>
                <c:pt idx="21">
                  <c:v>-12.771394449936844</c:v>
                </c:pt>
                <c:pt idx="22">
                  <c:v>-12.516711113201044</c:v>
                </c:pt>
                <c:pt idx="23">
                  <c:v>-12.276143679245296</c:v>
                </c:pt>
                <c:pt idx="24">
                  <c:v>-12.048429808380945</c:v>
                </c:pt>
                <c:pt idx="25">
                  <c:v>-11.832458487532847</c:v>
                </c:pt>
                <c:pt idx="26">
                  <c:v>-11.627247730531039</c:v>
                </c:pt>
                <c:pt idx="27">
                  <c:v>-11.431926114900559</c:v>
                </c:pt>
                <c:pt idx="28">
                  <c:v>-11.245717411118827</c:v>
                </c:pt>
                <c:pt idx="29">
                  <c:v>-11.067927718715532</c:v>
                </c:pt>
                <c:pt idx="30">
                  <c:v>-10.89793464578637</c:v>
                </c:pt>
                <c:pt idx="31">
                  <c:v>-10.735178163177988</c:v>
                </c:pt>
                <c:pt idx="32">
                  <c:v>-10.579152838333236</c:v>
                </c:pt>
                <c:pt idx="33">
                  <c:v>-10.42940121149806</c:v>
                </c:pt>
                <c:pt idx="34">
                  <c:v>-10.285508122403831</c:v>
                </c:pt>
                <c:pt idx="35">
                  <c:v>-10.147095831461886</c:v>
                </c:pt>
                <c:pt idx="36">
                  <c:v>-10.013819808073011</c:v>
                </c:pt>
                <c:pt idx="37">
                  <c:v>-9.8853650814868477</c:v>
                </c:pt>
                <c:pt idx="38">
                  <c:v>-9.7614430679876563</c:v>
                </c:pt>
                <c:pt idx="39">
                  <c:v>-9.6417888029888186</c:v>
                </c:pt>
                <c:pt idx="40">
                  <c:v>-9.5261585186271329</c:v>
                </c:pt>
                <c:pt idx="41">
                  <c:v>-9.4143275172324774</c:v>
                </c:pt>
                <c:pt idx="42">
                  <c:v>-9.3060882990564089</c:v>
                </c:pt>
                <c:pt idx="43">
                  <c:v>-9.2012489092249634</c:v>
                </c:pt>
                <c:pt idx="44">
                  <c:v>-9.0996314743132114</c:v>
                </c:pt>
                <c:pt idx="45">
                  <c:v>-9.0010709034402012</c:v>
                </c:pt>
                <c:pt idx="46">
                  <c:v>-8.9054137325271636</c:v>
                </c:pt>
                <c:pt idx="47">
                  <c:v>-8.8125170934876973</c:v>
                </c:pt>
                <c:pt idx="48">
                  <c:v>-8.722247792737992</c:v>
                </c:pt>
                <c:pt idx="49">
                  <c:v>-8.6344814856172913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5D-4F7D-9014-59437CA7342D}"/>
            </c:ext>
          </c:extLst>
        </c:ser>
        <c:ser>
          <c:idx val="10"/>
          <c:order val="10"/>
          <c:tx>
            <c:strRef>
              <c:f>Theta!$B$13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Theta!$C$13:$AZ$13</c:f>
              <c:numCache>
                <c:formatCode>General</c:formatCode>
                <c:ptCount val="50"/>
                <c:pt idx="0">
                  <c:v>-1.6376941448797746</c:v>
                </c:pt>
                <c:pt idx="1">
                  <c:v>-5.3617040425254707</c:v>
                </c:pt>
                <c:pt idx="2">
                  <c:v>-8.5729064607768102</c:v>
                </c:pt>
                <c:pt idx="3">
                  <c:v>-10.551676494815647</c:v>
                </c:pt>
                <c:pt idx="4">
                  <c:v>-11.695177384978861</c:v>
                </c:pt>
                <c:pt idx="5">
                  <c:v>-12.332139508548684</c:v>
                </c:pt>
                <c:pt idx="6">
                  <c:v>-12.662469510654653</c:v>
                </c:pt>
                <c:pt idx="7">
                  <c:v>-12.80390611987885</c:v>
                </c:pt>
                <c:pt idx="8">
                  <c:v>-12.826903933054137</c:v>
                </c:pt>
                <c:pt idx="9">
                  <c:v>-12.774715234040505</c:v>
                </c:pt>
                <c:pt idx="10">
                  <c:v>-12.674579119135862</c:v>
                </c:pt>
                <c:pt idx="11">
                  <c:v>-12.544042856424042</c:v>
                </c:pt>
                <c:pt idx="12">
                  <c:v>-12.394626922888872</c:v>
                </c:pt>
                <c:pt idx="13">
                  <c:v>-12.234010474361428</c:v>
                </c:pt>
                <c:pt idx="14">
                  <c:v>-12.06737021883073</c:v>
                </c:pt>
                <c:pt idx="15">
                  <c:v>-11.898221287007974</c:v>
                </c:pt>
                <c:pt idx="16">
                  <c:v>-11.728957325140158</c:v>
                </c:pt>
                <c:pt idx="17">
                  <c:v>-11.561204437137437</c:v>
                </c:pt>
                <c:pt idx="18">
                  <c:v>-11.396057321030407</c:v>
                </c:pt>
                <c:pt idx="19">
                  <c:v>-11.234239328539291</c:v>
                </c:pt>
                <c:pt idx="20">
                  <c:v>-11.076212488163476</c:v>
                </c:pt>
                <c:pt idx="21">
                  <c:v>-10.922254070206449</c:v>
                </c:pt>
                <c:pt idx="22">
                  <c:v>-10.772510442877861</c:v>
                </c:pt>
                <c:pt idx="23">
                  <c:v>-10.627035306323666</c:v>
                </c:pt>
                <c:pt idx="24">
                  <c:v>-10.485817048700348</c:v>
                </c:pt>
                <c:pt idx="25">
                  <c:v>-10.348798444695246</c:v>
                </c:pt>
                <c:pt idx="26">
                  <c:v>-10.215890910602321</c:v>
                </c:pt>
                <c:pt idx="27">
                  <c:v>-10.086984856052883</c:v>
                </c:pt>
                <c:pt idx="28">
                  <c:v>-9.9619572151439346</c:v>
                </c:pt>
                <c:pt idx="29">
                  <c:v>-9.8406769256134243</c:v>
                </c:pt>
                <c:pt idx="30">
                  <c:v>-9.7230089065995582</c:v>
                </c:pt>
                <c:pt idx="31">
                  <c:v>-9.6088169324985433</c:v>
                </c:pt>
                <c:pt idx="32">
                  <c:v>-9.4979656920551498</c:v>
                </c:pt>
                <c:pt idx="33">
                  <c:v>-9.39032224438286</c:v>
                </c:pt>
                <c:pt idx="34">
                  <c:v>-9.28575702783154</c:v>
                </c:pt>
                <c:pt idx="35">
                  <c:v>-9.1841445371408259</c:v>
                </c:pt>
                <c:pt idx="36">
                  <c:v>-9.0853637547378572</c:v>
                </c:pt>
                <c:pt idx="37">
                  <c:v>-8.989298400286021</c:v>
                </c:pt>
                <c:pt idx="38">
                  <c:v>-8.8958370465028587</c:v>
                </c:pt>
                <c:pt idx="39">
                  <c:v>-8.8048731373026143</c:v>
                </c:pt>
                <c:pt idx="40">
                  <c:v>-8.7163049353816415</c:v>
                </c:pt>
                <c:pt idx="41">
                  <c:v>-8.6300354196591513</c:v>
                </c:pt>
                <c:pt idx="42">
                  <c:v>-8.545972147935661</c:v>
                </c:pt>
                <c:pt idx="43">
                  <c:v>-8.4640270963154052</c:v>
                </c:pt>
                <c:pt idx="44">
                  <c:v>-8.3841164840479578</c:v>
                </c:pt>
                <c:pt idx="45">
                  <c:v>-8.3061605902487372</c:v>
                </c:pt>
                <c:pt idx="46">
                  <c:v>-8.2300835672885793</c:v>
                </c:pt>
                <c:pt idx="47">
                  <c:v>-8.1558132543712301</c:v>
                </c:pt>
                <c:pt idx="48">
                  <c:v>-8.083280993849792</c:v>
                </c:pt>
                <c:pt idx="49">
                  <c:v>-8.0124214520964081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5D-4F7D-9014-59437CA7342D}"/>
            </c:ext>
          </c:extLst>
        </c:ser>
        <c:ser>
          <c:idx val="11"/>
          <c:order val="11"/>
          <c:tx>
            <c:strRef>
              <c:f>Theta!$B$14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Theta!$C$14:$AZ$14</c:f>
              <c:numCache>
                <c:formatCode>General</c:formatCode>
                <c:ptCount val="50"/>
                <c:pt idx="0">
                  <c:v>-1.0023642711543899</c:v>
                </c:pt>
                <c:pt idx="1">
                  <c:v>-1.3113954132707411</c:v>
                </c:pt>
                <c:pt idx="2">
                  <c:v>-2.2971249831279716</c:v>
                </c:pt>
                <c:pt idx="3">
                  <c:v>-3.5312157150927885</c:v>
                </c:pt>
                <c:pt idx="4">
                  <c:v>-4.6821913807581561</c:v>
                </c:pt>
                <c:pt idx="5">
                  <c:v>-5.6452268190100821</c:v>
                </c:pt>
                <c:pt idx="6">
                  <c:v>-6.4152295378752946</c:v>
                </c:pt>
                <c:pt idx="7">
                  <c:v>-7.0180616017419837</c:v>
                </c:pt>
                <c:pt idx="8">
                  <c:v>-7.4846824291533025</c:v>
                </c:pt>
                <c:pt idx="9">
                  <c:v>-7.8429301341319979</c:v>
                </c:pt>
                <c:pt idx="10">
                  <c:v>-8.1156662766014627</c:v>
                </c:pt>
                <c:pt idx="11">
                  <c:v>-8.321010616376638</c:v>
                </c:pt>
                <c:pt idx="12">
                  <c:v>-8.4731304183025049</c:v>
                </c:pt>
                <c:pt idx="13">
                  <c:v>-8.5830634127982552</c:v>
                </c:pt>
                <c:pt idx="14">
                  <c:v>-8.6594213523179295</c:v>
                </c:pt>
                <c:pt idx="15">
                  <c:v>-8.7089496218556288</c:v>
                </c:pt>
                <c:pt idx="16">
                  <c:v>-8.7369589279469846</c:v>
                </c:pt>
                <c:pt idx="17">
                  <c:v>-8.7476541141241473</c:v>
                </c:pt>
                <c:pt idx="18">
                  <c:v>-8.7443836700980402</c:v>
                </c:pt>
                <c:pt idx="19">
                  <c:v>-8.7298292381043563</c:v>
                </c:pt>
                <c:pt idx="20">
                  <c:v>-8.7061500538935785</c:v>
                </c:pt>
                <c:pt idx="21">
                  <c:v>-8.6750935852414912</c:v>
                </c:pt>
                <c:pt idx="22">
                  <c:v>-8.6380807631780456</c:v>
                </c:pt>
                <c:pt idx="23">
                  <c:v>-8.5962720392990004</c:v>
                </c:pt>
                <c:pt idx="24">
                  <c:v>-8.5506188991221084</c:v>
                </c:pt>
                <c:pt idx="25">
                  <c:v>-8.5019042803398399</c:v>
                </c:pt>
                <c:pt idx="26">
                  <c:v>-8.4507744761463464</c:v>
                </c:pt>
                <c:pt idx="27">
                  <c:v>-8.3977644639530311</c:v>
                </c:pt>
                <c:pt idx="28">
                  <c:v>-8.343318126884693</c:v>
                </c:pt>
                <c:pt idx="29">
                  <c:v>-8.2878044843300405</c:v>
                </c:pt>
                <c:pt idx="30">
                  <c:v>-8.2315307857805884</c:v>
                </c:pt>
                <c:pt idx="31">
                  <c:v>-8.1747531255422601</c:v>
                </c:pt>
                <c:pt idx="32">
                  <c:v>-8.1176850874776534</c:v>
                </c:pt>
                <c:pt idx="33">
                  <c:v>-8.060504816257998</c:v>
                </c:pt>
                <c:pt idx="34">
                  <c:v>-8.0033608255682562</c:v>
                </c:pt>
                <c:pt idx="35">
                  <c:v>-7.9463767876430875</c:v>
                </c:pt>
                <c:pt idx="36">
                  <c:v>-7.8896554974974764</c:v>
                </c:pt>
                <c:pt idx="37">
                  <c:v>-7.8332821656111573</c:v>
                </c:pt>
                <c:pt idx="38">
                  <c:v>-7.7773271619168778</c:v>
                </c:pt>
                <c:pt idx="39">
                  <c:v>-7.7218483096971697</c:v>
                </c:pt>
                <c:pt idx="40">
                  <c:v>-7.6668928088823805</c:v>
                </c:pt>
                <c:pt idx="41">
                  <c:v>-7.6124988531058584</c:v>
                </c:pt>
                <c:pt idx="42">
                  <c:v>-7.558696992828823</c:v>
                </c:pt>
                <c:pt idx="43">
                  <c:v>-7.5055112872230145</c:v>
                </c:pt>
                <c:pt idx="44">
                  <c:v>-7.4529602797753887</c:v>
                </c:pt>
                <c:pt idx="45">
                  <c:v>-7.4010578263550792</c:v>
                </c:pt>
                <c:pt idx="46">
                  <c:v>-7.3498137994477766</c:v>
                </c:pt>
                <c:pt idx="47">
                  <c:v>-7.2992346881739483</c:v>
                </c:pt>
                <c:pt idx="48">
                  <c:v>-7.2493241103749746</c:v>
                </c:pt>
                <c:pt idx="49">
                  <c:v>-7.2000832503259753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D5D-4F7D-9014-59437CA7342D}"/>
            </c:ext>
          </c:extLst>
        </c:ser>
        <c:ser>
          <c:idx val="12"/>
          <c:order val="12"/>
          <c:tx>
            <c:strRef>
              <c:f>Theta!$B$15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Theta!$C$15:$AZ$15</c:f>
              <c:numCache>
                <c:formatCode>General</c:formatCode>
                <c:ptCount val="50"/>
                <c:pt idx="0">
                  <c:v>-0.99900397611210756</c:v>
                </c:pt>
                <c:pt idx="1">
                  <c:v>-1.0079740663763797</c:v>
                </c:pt>
                <c:pt idx="2">
                  <c:v>-1.1266838123665093</c:v>
                </c:pt>
                <c:pt idx="3">
                  <c:v>-1.4437532270982985</c:v>
                </c:pt>
                <c:pt idx="4">
                  <c:v>-1.9125272465668401</c:v>
                </c:pt>
                <c:pt idx="5">
                  <c:v>-2.448703057439813</c:v>
                </c:pt>
                <c:pt idx="6">
                  <c:v>-2.989706625622659</c:v>
                </c:pt>
                <c:pt idx="7">
                  <c:v>-3.5002849366235611</c:v>
                </c:pt>
                <c:pt idx="8">
                  <c:v>-3.9642080433124098</c:v>
                </c:pt>
                <c:pt idx="9">
                  <c:v>-4.3763326739248836</c:v>
                </c:pt>
                <c:pt idx="10">
                  <c:v>-4.737369177743326</c:v>
                </c:pt>
                <c:pt idx="11">
                  <c:v>-5.0508250665674161</c:v>
                </c:pt>
                <c:pt idx="12">
                  <c:v>-5.3213243003950819</c:v>
                </c:pt>
                <c:pt idx="13">
                  <c:v>-5.5537251685299021</c:v>
                </c:pt>
                <c:pt idx="14">
                  <c:v>-5.7526836813231785</c:v>
                </c:pt>
                <c:pt idx="15">
                  <c:v>-5.9224592259705116</c:v>
                </c:pt>
                <c:pt idx="16">
                  <c:v>-6.0668486006023725</c:v>
                </c:pt>
                <c:pt idx="17">
                  <c:v>-6.1891855368517303</c:v>
                </c:pt>
                <c:pt idx="18">
                  <c:v>-6.2923713955932872</c:v>
                </c:pt>
                <c:pt idx="19">
                  <c:v>-6.3789186044227284</c:v>
                </c:pt>
                <c:pt idx="20">
                  <c:v>-6.4509971932314345</c:v>
                </c:pt>
                <c:pt idx="21">
                  <c:v>-6.5104796186049567</c:v>
                </c:pt>
                <c:pt idx="22">
                  <c:v>-6.5589817005853766</c:v>
                </c:pt>
                <c:pt idx="23">
                  <c:v>-6.5978989025242747</c:v>
                </c:pt>
                <c:pt idx="24">
                  <c:v>-6.6284379112376124</c:v>
                </c:pt>
                <c:pt idx="25">
                  <c:v>-6.651643825591778</c:v>
                </c:pt>
                <c:pt idx="26">
                  <c:v>-6.6684234081832283</c:v>
                </c:pt>
                <c:pt idx="27">
                  <c:v>-6.6795648929102232</c:v>
                </c:pt>
                <c:pt idx="28">
                  <c:v>-6.6857548245656613</c:v>
                </c:pt>
                <c:pt idx="29">
                  <c:v>-6.68759236472295</c:v>
                </c:pt>
                <c:pt idx="30">
                  <c:v>-6.6856014471930321</c:v>
                </c:pt>
                <c:pt idx="31">
                  <c:v>-6.6802411145961011</c:v>
                </c:pt>
                <c:pt idx="32">
                  <c:v>-6.6719143192237373</c:v>
                </c:pt>
                <c:pt idx="33">
                  <c:v>-6.6609754281087552</c:v>
                </c:pt>
                <c:pt idx="34">
                  <c:v>-6.6477366345434783</c:v>
                </c:pt>
                <c:pt idx="35">
                  <c:v>-6.6324734460150614</c:v>
                </c:pt>
                <c:pt idx="36">
                  <c:v>-6.6154293911795623</c:v>
                </c:pt>
                <c:pt idx="37">
                  <c:v>-6.5968200654839197</c:v>
                </c:pt>
                <c:pt idx="38">
                  <c:v>-6.5768366157647895</c:v>
                </c:pt>
                <c:pt idx="39">
                  <c:v>-6.5556487480426995</c:v>
                </c:pt>
                <c:pt idx="40">
                  <c:v>-6.5334073292864181</c:v>
                </c:pt>
                <c:pt idx="41">
                  <c:v>-6.5102466427095633</c:v>
                </c:pt>
                <c:pt idx="42">
                  <c:v>-6.4862863468071721</c:v>
                </c:pt>
                <c:pt idx="43">
                  <c:v>-6.4616331805305629</c:v>
                </c:pt>
                <c:pt idx="44">
                  <c:v>-6.4363824504722524</c:v>
                </c:pt>
                <c:pt idx="45">
                  <c:v>-6.4106193304706798</c:v>
                </c:pt>
                <c:pt idx="46">
                  <c:v>-6.3844199994664361</c:v>
                </c:pt>
                <c:pt idx="47">
                  <c:v>-6.3578526395977972</c:v>
                </c:pt>
                <c:pt idx="48">
                  <c:v>-6.3309783132900419</c:v>
                </c:pt>
                <c:pt idx="49">
                  <c:v>-6.3038517353682249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D5D-4F7D-9014-59437CA7342D}"/>
            </c:ext>
          </c:extLst>
        </c:ser>
        <c:ser>
          <c:idx val="13"/>
          <c:order val="13"/>
          <c:tx>
            <c:strRef>
              <c:f>Theta!$B$16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Theta!$C$16:$AZ$16</c:f>
              <c:numCache>
                <c:formatCode>General</c:formatCode>
                <c:ptCount val="50"/>
                <c:pt idx="0">
                  <c:v>-0.99900050070060253</c:v>
                </c:pt>
                <c:pt idx="1">
                  <c:v>-0.99815794453255258</c:v>
                </c:pt>
                <c:pt idx="2">
                  <c:v>-1.0050611714104691</c:v>
                </c:pt>
                <c:pt idx="3">
                  <c:v>-1.0514565306320405</c:v>
                </c:pt>
                <c:pt idx="4">
                  <c:v>-1.1668961476038686</c:v>
                </c:pt>
                <c:pt idx="5">
                  <c:v>-1.3531428277893387</c:v>
                </c:pt>
                <c:pt idx="6">
                  <c:v>-1.5933769820568591</c:v>
                </c:pt>
                <c:pt idx="7">
                  <c:v>-1.8663965175540675</c:v>
                </c:pt>
                <c:pt idx="8">
                  <c:v>-2.1538244121847803</c:v>
                </c:pt>
                <c:pt idx="9">
                  <c:v>-2.442078087337606</c:v>
                </c:pt>
                <c:pt idx="10">
                  <c:v>-2.7220511312416993</c:v>
                </c:pt>
                <c:pt idx="11">
                  <c:v>-2.9881305156566333</c:v>
                </c:pt>
                <c:pt idx="12">
                  <c:v>-3.2372054804031092</c:v>
                </c:pt>
                <c:pt idx="13">
                  <c:v>-3.4678666786059122</c:v>
                </c:pt>
                <c:pt idx="14">
                  <c:v>-3.6798162834623072</c:v>
                </c:pt>
                <c:pt idx="15">
                  <c:v>-3.8734541009389818</c:v>
                </c:pt>
                <c:pt idx="16">
                  <c:v>-4.0495957120620814</c:v>
                </c:pt>
                <c:pt idx="17">
                  <c:v>-4.2092846622992823</c:v>
                </c:pt>
                <c:pt idx="18">
                  <c:v>-4.3536697516277414</c:v>
                </c:pt>
                <c:pt idx="19">
                  <c:v>-4.4839266038430958</c:v>
                </c:pt>
                <c:pt idx="20">
                  <c:v>-4.6012089862150063</c:v>
                </c:pt>
                <c:pt idx="21">
                  <c:v>-4.7066199136300533</c:v>
                </c:pt>
                <c:pt idx="22">
                  <c:v>-4.8011957709315762</c:v>
                </c:pt>
                <c:pt idx="23">
                  <c:v>-4.8858988901224985</c:v>
                </c:pt>
                <c:pt idx="24">
                  <c:v>-4.9616155205922086</c:v>
                </c:pt>
                <c:pt idx="25">
                  <c:v>-5.0291571481663233</c:v>
                </c:pt>
                <c:pt idx="26">
                  <c:v>-5.0892638062744417</c:v>
                </c:pt>
                <c:pt idx="27">
                  <c:v>-5.1426084860389487</c:v>
                </c:pt>
                <c:pt idx="28">
                  <c:v>-5.1898020640277061</c:v>
                </c:pt>
                <c:pt idx="29">
                  <c:v>-5.231398375886033</c:v>
                </c:pt>
                <c:pt idx="30">
                  <c:v>-5.2678992042683106</c:v>
                </c:pt>
                <c:pt idx="31">
                  <c:v>-5.2997590428618402</c:v>
                </c:pt>
                <c:pt idx="32">
                  <c:v>-5.3273895600045433</c:v>
                </c:pt>
                <c:pt idx="33">
                  <c:v>-5.3511637257129783</c:v>
                </c:pt>
                <c:pt idx="34">
                  <c:v>-5.3714195918204126</c:v>
                </c:pt>
                <c:pt idx="35">
                  <c:v>-5.3884637311026227</c:v>
                </c:pt>
                <c:pt idx="36">
                  <c:v>-5.4025743509529915</c:v>
                </c:pt>
                <c:pt idx="37">
                  <c:v>-5.4140041025419086</c:v>
                </c:pt>
                <c:pt idx="38">
                  <c:v>-5.4229826089407043</c:v>
                </c:pt>
                <c:pt idx="39">
                  <c:v>-5.42971873641355</c:v>
                </c:pt>
                <c:pt idx="40">
                  <c:v>-5.4344026326614179</c:v>
                </c:pt>
                <c:pt idx="41">
                  <c:v>-5.4372075546973209</c:v>
                </c:pt>
                <c:pt idx="42">
                  <c:v>-5.4382915075460678</c:v>
                </c:pt>
                <c:pt idx="43">
                  <c:v>-5.4377987132956642</c:v>
                </c:pt>
                <c:pt idx="44">
                  <c:v>-5.4358609283103236</c:v>
                </c:pt>
                <c:pt idx="45">
                  <c:v>-5.4325986247290512</c:v>
                </c:pt>
                <c:pt idx="46">
                  <c:v>-5.4281220507671835</c:v>
                </c:pt>
                <c:pt idx="47">
                  <c:v>-5.4225321828390856</c:v>
                </c:pt>
                <c:pt idx="48">
                  <c:v>-5.4159215811406751</c:v>
                </c:pt>
                <c:pt idx="49">
                  <c:v>-5.4083751590745601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D5D-4F7D-9014-59437CA7342D}"/>
            </c:ext>
          </c:extLst>
        </c:ser>
        <c:ser>
          <c:idx val="14"/>
          <c:order val="14"/>
          <c:tx>
            <c:strRef>
              <c:f>Theta!$B$17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Theta!$C$17:$AZ$17</c:f>
              <c:numCache>
                <c:formatCode>General</c:formatCode>
                <c:ptCount val="50"/>
                <c:pt idx="0">
                  <c:v>-0.99900049983343742</c:v>
                </c:pt>
                <c:pt idx="1">
                  <c:v>-0.9980033081741595</c:v>
                </c:pt>
                <c:pt idx="2">
                  <c:v>-0.99733523605550856</c:v>
                </c:pt>
                <c:pt idx="3">
                  <c:v>-1.0010411415495206</c:v>
                </c:pt>
                <c:pt idx="4">
                  <c:v>-1.0201295889446176</c:v>
                </c:pt>
                <c:pt idx="5">
                  <c:v>-1.0661034642018876</c:v>
                </c:pt>
                <c:pt idx="6">
                  <c:v>-1.1442042727953385</c:v>
                </c:pt>
                <c:pt idx="7">
                  <c:v>-1.2530379708006905</c:v>
                </c:pt>
                <c:pt idx="8">
                  <c:v>-1.3872430947387828</c:v>
                </c:pt>
                <c:pt idx="9">
                  <c:v>-1.5400544994402543</c:v>
                </c:pt>
                <c:pt idx="10">
                  <c:v>-1.7048833637344392</c:v>
                </c:pt>
                <c:pt idx="11">
                  <c:v>-1.8760533614468802</c:v>
                </c:pt>
                <c:pt idx="12">
                  <c:v>-2.0490205678922289</c:v>
                </c:pt>
                <c:pt idx="13">
                  <c:v>-2.2203320016553323</c:v>
                </c:pt>
                <c:pt idx="14">
                  <c:v>-2.3874762945307935</c:v>
                </c:pt>
                <c:pt idx="15">
                  <c:v>-2.5487069250763472</c:v>
                </c:pt>
                <c:pt idx="16">
                  <c:v>-2.7028751957340797</c:v>
                </c:pt>
                <c:pt idx="17">
                  <c:v>-2.8492871019662789</c:v>
                </c:pt>
                <c:pt idx="18">
                  <c:v>-2.9875869978913476</c:v>
                </c:pt>
                <c:pt idx="19">
                  <c:v>-3.1176660418276967</c:v>
                </c:pt>
                <c:pt idx="20">
                  <c:v>-3.2395916659891379</c:v>
                </c:pt>
                <c:pt idx="21">
                  <c:v>-3.3535540673622113</c:v>
                </c:pt>
                <c:pt idx="22">
                  <c:v>-3.4598260954847717</c:v>
                </c:pt>
                <c:pt idx="23">
                  <c:v>-3.558733494989625</c:v>
                </c:pt>
                <c:pt idx="24">
                  <c:v>-3.6506330538624763</c:v>
                </c:pt>
                <c:pt idx="25">
                  <c:v>-3.7358967348340166</c:v>
                </c:pt>
                <c:pt idx="26">
                  <c:v>-3.8149003045560113</c:v>
                </c:pt>
                <c:pt idx="27">
                  <c:v>-3.8880153250022662</c:v>
                </c:pt>
                <c:pt idx="28">
                  <c:v>-3.9556036450985794</c:v>
                </c:pt>
                <c:pt idx="29">
                  <c:v>-4.0180137414840615</c:v>
                </c:pt>
                <c:pt idx="30">
                  <c:v>-4.0755784183909078</c:v>
                </c:pt>
                <c:pt idx="31">
                  <c:v>-4.1286134989222125</c:v>
                </c:pt>
                <c:pt idx="32">
                  <c:v>-4.177417232481746</c:v>
                </c:pt>
                <c:pt idx="33">
                  <c:v>-4.2222702128547924</c:v>
                </c:pt>
                <c:pt idx="34">
                  <c:v>-4.2634356539512908</c:v>
                </c:pt>
                <c:pt idx="35">
                  <c:v>-4.3011599097121467</c:v>
                </c:pt>
                <c:pt idx="36">
                  <c:v>-4.3356731543482692</c:v>
                </c:pt>
                <c:pt idx="37">
                  <c:v>-4.3671901613517985</c:v>
                </c:pt>
                <c:pt idx="38">
                  <c:v>-4.3959111364178041</c:v>
                </c:pt>
                <c:pt idx="39">
                  <c:v>-4.4220225719189639</c:v>
                </c:pt>
                <c:pt idx="40">
                  <c:v>-4.4456980999217706</c:v>
                </c:pt>
                <c:pt idx="41">
                  <c:v>-4.4670993277004545</c:v>
                </c:pt>
                <c:pt idx="42">
                  <c:v>-4.4863766448815436</c:v>
                </c:pt>
                <c:pt idx="43">
                  <c:v>-4.503669995180017</c:v>
                </c:pt>
                <c:pt idx="44">
                  <c:v>-4.519109608501215</c:v>
                </c:pt>
                <c:pt idx="45">
                  <c:v>-4.5328166912325587</c:v>
                </c:pt>
                <c:pt idx="46">
                  <c:v>-4.5449040740257711</c:v>
                </c:pt>
                <c:pt idx="47">
                  <c:v>-4.5554768174174907</c:v>
                </c:pt>
                <c:pt idx="48">
                  <c:v>-4.5646327763621404</c:v>
                </c:pt>
                <c:pt idx="49">
                  <c:v>-4.5724631252380039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D5D-4F7D-9014-59437CA7342D}"/>
            </c:ext>
          </c:extLst>
        </c:ser>
        <c:ser>
          <c:idx val="15"/>
          <c:order val="15"/>
          <c:tx>
            <c:strRef>
              <c:f>Theta!$B$18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Theta!$C$18:$AZ$18</c:f>
              <c:numCache>
                <c:formatCode>General</c:formatCode>
                <c:ptCount val="50"/>
                <c:pt idx="0">
                  <c:v>-0.99900049983337502</c:v>
                </c:pt>
                <c:pt idx="1">
                  <c:v>-0.9980020050384425</c:v>
                </c:pt>
                <c:pt idx="2">
                  <c:v>-0.99701393367086233</c:v>
                </c:pt>
                <c:pt idx="3">
                  <c:v>-0.99635584734767224</c:v>
                </c:pt>
                <c:pt idx="4">
                  <c:v>-0.99796395889380229</c:v>
                </c:pt>
                <c:pt idx="5">
                  <c:v>-1.006084949362662</c:v>
                </c:pt>
                <c:pt idx="6">
                  <c:v>-1.0256098766324282</c:v>
                </c:pt>
                <c:pt idx="7">
                  <c:v>-1.0600336350888644</c:v>
                </c:pt>
                <c:pt idx="8">
                  <c:v>-1.1106685203277022</c:v>
                </c:pt>
                <c:pt idx="9">
                  <c:v>-1.1769128991993907</c:v>
                </c:pt>
                <c:pt idx="10">
                  <c:v>-1.2569097252088148</c:v>
                </c:pt>
                <c:pt idx="11">
                  <c:v>-1.3481789971203719</c:v>
                </c:pt>
                <c:pt idx="12">
                  <c:v>-1.4480789126292857</c:v>
                </c:pt>
                <c:pt idx="13">
                  <c:v>-1.5540902062683737</c:v>
                </c:pt>
                <c:pt idx="14">
                  <c:v>-1.663965024484914</c:v>
                </c:pt>
                <c:pt idx="15">
                  <c:v>-1.7757860386513444</c:v>
                </c:pt>
                <c:pt idx="16">
                  <c:v>-1.8879719456354533</c:v>
                </c:pt>
                <c:pt idx="17">
                  <c:v>-1.9992541880180223</c:v>
                </c:pt>
                <c:pt idx="18">
                  <c:v>-2.1086405499974492</c:v>
                </c:pt>
                <c:pt idx="19">
                  <c:v>-2.2153748413503598</c:v>
                </c:pt>
                <c:pt idx="20">
                  <c:v>-2.3188977011153171</c:v>
                </c:pt>
                <c:pt idx="21">
                  <c:v>-2.4188109857426312</c:v>
                </c:pt>
                <c:pt idx="22">
                  <c:v>-2.5148467050037135</c:v>
                </c:pt>
                <c:pt idx="23">
                  <c:v>-2.6068406372995039</c:v>
                </c:pt>
                <c:pt idx="24">
                  <c:v>-2.6947103298299138</c:v>
                </c:pt>
                <c:pt idx="25">
                  <c:v>-2.7784369998021821</c:v>
                </c:pt>
                <c:pt idx="26">
                  <c:v>-2.8580507963788073</c:v>
                </c:pt>
                <c:pt idx="27">
                  <c:v>-2.9336188968397896</c:v>
                </c:pt>
                <c:pt idx="28">
                  <c:v>-3.0052359578602124</c:v>
                </c:pt>
                <c:pt idx="29">
                  <c:v>-3.0730165031461052</c:v>
                </c:pt>
                <c:pt idx="30">
                  <c:v>-3.137088890694105</c:v>
                </c:pt>
                <c:pt idx="31">
                  <c:v>-3.1975905609837612</c:v>
                </c:pt>
                <c:pt idx="32">
                  <c:v>-3.2546643190040472</c:v>
                </c:pt>
                <c:pt idx="33">
                  <c:v>-3.308455447446736</c:v>
                </c:pt>
                <c:pt idx="34">
                  <c:v>-3.3591094858775916</c:v>
                </c:pt>
                <c:pt idx="35">
                  <c:v>-3.4067705418650793</c:v>
                </c:pt>
                <c:pt idx="36">
                  <c:v>-3.4515800257114591</c:v>
                </c:pt>
                <c:pt idx="37">
                  <c:v>-3.4936757214154279</c:v>
                </c:pt>
                <c:pt idx="38">
                  <c:v>-3.5331911235653592</c:v>
                </c:pt>
                <c:pt idx="39">
                  <c:v>-3.5702549836967896</c:v>
                </c:pt>
                <c:pt idx="40">
                  <c:v>-3.6049910208305098</c:v>
                </c:pt>
                <c:pt idx="41">
                  <c:v>-3.6375177599293163</c:v>
                </c:pt>
                <c:pt idx="42">
                  <c:v>-3.6679484692795472</c:v>
                </c:pt>
                <c:pt idx="43">
                  <c:v>-3.6963911736530752</c:v>
                </c:pt>
                <c:pt idx="44">
                  <c:v>-3.7229487248092767</c:v>
                </c:pt>
                <c:pt idx="45">
                  <c:v>-3.7477189146772445</c:v>
                </c:pt>
                <c:pt idx="46">
                  <c:v>-3.7707946195951596</c:v>
                </c:pt>
                <c:pt idx="47">
                  <c:v>-3.7922639664218507</c:v>
                </c:pt>
                <c:pt idx="48">
                  <c:v>-3.8122105132916313</c:v>
                </c:pt>
                <c:pt idx="49">
                  <c:v>-3.8307134393519777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D5D-4F7D-9014-59437CA7342D}"/>
            </c:ext>
          </c:extLst>
        </c:ser>
        <c:ser>
          <c:idx val="16"/>
          <c:order val="16"/>
          <c:tx>
            <c:strRef>
              <c:f>Theta!$B$19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Theta!$C$19:$AZ$19</c:f>
              <c:numCache>
                <c:formatCode>General</c:formatCode>
                <c:ptCount val="50"/>
                <c:pt idx="0">
                  <c:v>-0.99900049983337502</c:v>
                </c:pt>
                <c:pt idx="1">
                  <c:v>-0.9980019986865114</c:v>
                </c:pt>
                <c:pt idx="2">
                  <c:v>-0.99700469110195167</c:v>
                </c:pt>
                <c:pt idx="3">
                  <c:v>-0.99602690552032525</c:v>
                </c:pt>
                <c:pt idx="4">
                  <c:v>-0.99529879952549116</c:v>
                </c:pt>
                <c:pt idx="5">
                  <c:v>-0.99573985468332438</c:v>
                </c:pt>
                <c:pt idx="6">
                  <c:v>-0.99915000880716698</c:v>
                </c:pt>
                <c:pt idx="7">
                  <c:v>-1.0077512512995768</c:v>
                </c:pt>
                <c:pt idx="8">
                  <c:v>-1.0235183941406756</c:v>
                </c:pt>
                <c:pt idx="9">
                  <c:v>-1.0477472511347741</c:v>
                </c:pt>
                <c:pt idx="10">
                  <c:v>-1.0809451240621697</c:v>
                </c:pt>
                <c:pt idx="11">
                  <c:v>-1.1229331337944792</c:v>
                </c:pt>
                <c:pt idx="12">
                  <c:v>-1.1730335271972216</c:v>
                </c:pt>
                <c:pt idx="13">
                  <c:v>-1.2302607548047977</c:v>
                </c:pt>
                <c:pt idx="14">
                  <c:v>-1.2934794471691635</c:v>
                </c:pt>
                <c:pt idx="15">
                  <c:v>-1.3615198227883007</c:v>
                </c:pt>
                <c:pt idx="16">
                  <c:v>-1.4332541518603337</c:v>
                </c:pt>
                <c:pt idx="17">
                  <c:v>-1.5076424310136949</c:v>
                </c:pt>
                <c:pt idx="18">
                  <c:v>-1.5837557656726626</c:v>
                </c:pt>
                <c:pt idx="19">
                  <c:v>-1.6607846490950859</c:v>
                </c:pt>
                <c:pt idx="20">
                  <c:v>-1.7380376290265358</c:v>
                </c:pt>
                <c:pt idx="21">
                  <c:v>-1.8149342958967922</c:v>
                </c:pt>
                <c:pt idx="22">
                  <c:v>-1.8909952794512093</c:v>
                </c:pt>
                <c:pt idx="23">
                  <c:v>-1.9658310126484624</c:v>
                </c:pt>
                <c:pt idx="24">
                  <c:v>-2.0391303630740474</c:v>
                </c:pt>
                <c:pt idx="25">
                  <c:v>-2.1106497810866154</c:v>
                </c:pt>
                <c:pt idx="26">
                  <c:v>-2.180203314339066</c:v>
                </c:pt>
                <c:pt idx="27">
                  <c:v>-2.2476536453543154</c:v>
                </c:pt>
                <c:pt idx="28">
                  <c:v>-2.3129041889187807</c:v>
                </c:pt>
                <c:pt idx="29">
                  <c:v>-2.3758922150555395</c:v>
                </c:pt>
                <c:pt idx="30">
                  <c:v>-2.4365829243823178</c:v>
                </c:pt>
                <c:pt idx="31">
                  <c:v>-2.4949643841945743</c:v>
                </c:pt>
                <c:pt idx="32">
                  <c:v>-2.5510432278672295</c:v>
                </c:pt>
                <c:pt idx="33">
                  <c:v>-2.6048410219936011</c:v>
                </c:pt>
                <c:pt idx="34">
                  <c:v>-2.6563912117279909</c:v>
                </c:pt>
                <c:pt idx="35">
                  <c:v>-2.7057365629326617</c:v>
                </c:pt>
                <c:pt idx="36">
                  <c:v>-2.7529270286230996</c:v>
                </c:pt>
                <c:pt idx="37">
                  <c:v>-2.7980179760619155</c:v>
                </c:pt>
                <c:pt idx="38">
                  <c:v>-2.8410687192213957</c:v>
                </c:pt>
                <c:pt idx="39">
                  <c:v>-2.8821413089875518</c:v>
                </c:pt>
                <c:pt idx="40">
                  <c:v>-2.9212995403224373</c:v>
                </c:pt>
                <c:pt idx="41">
                  <c:v>-2.9586081416262049</c:v>
                </c:pt>
                <c:pt idx="42">
                  <c:v>-2.9941321167842698</c:v>
                </c:pt>
                <c:pt idx="43">
                  <c:v>-3.0279362149103308</c:v>
                </c:pt>
                <c:pt idx="44">
                  <c:v>-3.0600845066763678</c:v>
                </c:pt>
                <c:pt idx="45">
                  <c:v>-3.0906400494320709</c:v>
                </c:pt>
                <c:pt idx="46">
                  <c:v>-3.1196646261308958</c:v>
                </c:pt>
                <c:pt idx="47">
                  <c:v>-3.1472185454660653</c:v>
                </c:pt>
                <c:pt idx="48">
                  <c:v>-3.1733604926376717</c:v>
                </c:pt>
                <c:pt idx="49">
                  <c:v>-3.1981474218758077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D5D-4F7D-9014-59437CA734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41340416"/>
        <c:axId val="941336576"/>
        <c:axId val="1060919104"/>
      </c:surface3DChart>
      <c:catAx>
        <c:axId val="94134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336576"/>
        <c:crosses val="autoZero"/>
        <c:auto val="1"/>
        <c:lblAlgn val="ctr"/>
        <c:lblOffset val="100"/>
        <c:noMultiLvlLbl val="0"/>
      </c:catAx>
      <c:valAx>
        <c:axId val="94133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340416"/>
        <c:crosses val="autoZero"/>
        <c:crossBetween val="midCat"/>
      </c:valAx>
      <c:serAx>
        <c:axId val="10609191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33657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Theta, vol=20%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2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Theta!$B$24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Theta!$C$24:$AZ$24</c:f>
              <c:numCache>
                <c:formatCode>General</c:formatCode>
                <c:ptCount val="50"/>
                <c:pt idx="0">
                  <c:v>-3.7888759054082966E-13</c:v>
                </c:pt>
                <c:pt idx="1">
                  <c:v>-3.241209709504522E-6</c:v>
                </c:pt>
                <c:pt idx="2">
                  <c:v>-6.0735977189806285E-4</c:v>
                </c:pt>
                <c:pt idx="3">
                  <c:v>-7.9666028258068913E-3</c:v>
                </c:pt>
                <c:pt idx="4">
                  <c:v>-3.6384387565863437E-2</c:v>
                </c:pt>
                <c:pt idx="5">
                  <c:v>-9.8473249781869582E-2</c:v>
                </c:pt>
                <c:pt idx="6">
                  <c:v>-0.19811625251386308</c:v>
                </c:pt>
                <c:pt idx="7">
                  <c:v>-0.33164480985666095</c:v>
                </c:pt>
                <c:pt idx="8">
                  <c:v>-0.49161703594634387</c:v>
                </c:pt>
                <c:pt idx="9">
                  <c:v>-0.66976649224152696</c:v>
                </c:pt>
                <c:pt idx="10">
                  <c:v>-0.85857753379079282</c:v>
                </c:pt>
                <c:pt idx="11">
                  <c:v>-1.0518882458863925</c:v>
                </c:pt>
                <c:pt idx="12">
                  <c:v>-1.2449678786656388</c:v>
                </c:pt>
                <c:pt idx="13">
                  <c:v>-1.4343620001040338</c:v>
                </c:pt>
                <c:pt idx="14">
                  <c:v>-1.6176634320936938</c:v>
                </c:pt>
                <c:pt idx="15">
                  <c:v>-1.7932832715199793</c:v>
                </c:pt>
                <c:pt idx="16">
                  <c:v>-1.9602514261982582</c:v>
                </c:pt>
                <c:pt idx="17">
                  <c:v>-2.1180543214155558</c:v>
                </c:pt>
                <c:pt idx="18">
                  <c:v>-2.2665079477266956</c:v>
                </c:pt>
                <c:pt idx="19">
                  <c:v>-2.4056610080402749</c:v>
                </c:pt>
                <c:pt idx="20">
                  <c:v>-2.535722295729868</c:v>
                </c:pt>
                <c:pt idx="21">
                  <c:v>-2.6570069536848839</c:v>
                </c:pt>
                <c:pt idx="22">
                  <c:v>-2.7698971492689051</c:v>
                </c:pt>
                <c:pt idx="23">
                  <c:v>-2.8748136092857175</c:v>
                </c:pt>
                <c:pt idx="24">
                  <c:v>-2.9721952597133106</c:v>
                </c:pt>
                <c:pt idx="25">
                  <c:v>-3.0624848713536239</c:v>
                </c:pt>
                <c:pt idx="26">
                  <c:v>-3.1461191299488411</c:v>
                </c:pt>
                <c:pt idx="27">
                  <c:v>-3.2235219477631598</c:v>
                </c:pt>
                <c:pt idx="28">
                  <c:v>-3.295100136066988</c:v>
                </c:pt>
                <c:pt idx="29">
                  <c:v>-3.361240785433032</c:v>
                </c:pt>
                <c:pt idx="30">
                  <c:v>-3.4223098708498143</c:v>
                </c:pt>
                <c:pt idx="31">
                  <c:v>-3.4786517253815754</c:v>
                </c:pt>
                <c:pt idx="32">
                  <c:v>-3.5305891202940076</c:v>
                </c:pt>
                <c:pt idx="33">
                  <c:v>-3.5784237594700872</c:v>
                </c:pt>
                <c:pt idx="34">
                  <c:v>-3.6224370477674452</c:v>
                </c:pt>
                <c:pt idx="35">
                  <c:v>-3.6628910313599112</c:v>
                </c:pt>
                <c:pt idx="36">
                  <c:v>-3.7000294365181068</c:v>
                </c:pt>
                <c:pt idx="37">
                  <c:v>-3.7340787542859588</c:v>
                </c:pt>
                <c:pt idx="38">
                  <c:v>-3.7652493340086126</c:v>
                </c:pt>
                <c:pt idx="39">
                  <c:v>-3.7937364600777639</c:v>
                </c:pt>
                <c:pt idx="40">
                  <c:v>-3.8197213946336075</c:v>
                </c:pt>
                <c:pt idx="41">
                  <c:v>-3.8433723750790909</c:v>
                </c:pt>
                <c:pt idx="42">
                  <c:v>-3.86484555970253</c:v>
                </c:pt>
                <c:pt idx="43">
                  <c:v>-3.8842859179008227</c:v>
                </c:pt>
                <c:pt idx="44">
                  <c:v>-3.9018280637695444</c:v>
                </c:pt>
                <c:pt idx="45">
                  <c:v>-3.9175970334178842</c:v>
                </c:pt>
                <c:pt idx="46">
                  <c:v>-3.931709007454836</c:v>
                </c:pt>
                <c:pt idx="47">
                  <c:v>-3.9442719808117568</c:v>
                </c:pt>
                <c:pt idx="48">
                  <c:v>-3.9553863825150222</c:v>
                </c:pt>
                <c:pt idx="49">
                  <c:v>-3.96514564827533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34-45B2-AEBB-BF3DDEAAA7CF}"/>
            </c:ext>
          </c:extLst>
        </c:ser>
        <c:ser>
          <c:idx val="1"/>
          <c:order val="1"/>
          <c:tx>
            <c:strRef>
              <c:f>Theta!$B$25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Theta!$C$25:$AZ$25</c:f>
              <c:numCache>
                <c:formatCode>General</c:formatCode>
                <c:ptCount val="50"/>
                <c:pt idx="0">
                  <c:v>-4.7730680272939875E-9</c:v>
                </c:pt>
                <c:pt idx="1">
                  <c:v>-3.6751884921578125E-4</c:v>
                </c:pt>
                <c:pt idx="2">
                  <c:v>-1.4326649102844717E-2</c:v>
                </c:pt>
                <c:pt idx="3">
                  <c:v>-8.571470034170342E-2</c:v>
                </c:pt>
                <c:pt idx="4">
                  <c:v>-0.24443418608516443</c:v>
                </c:pt>
                <c:pt idx="5">
                  <c:v>-0.48330273129454371</c:v>
                </c:pt>
                <c:pt idx="6">
                  <c:v>-0.77703336025622183</c:v>
                </c:pt>
                <c:pt idx="7">
                  <c:v>-1.0994196485371126</c:v>
                </c:pt>
                <c:pt idx="8">
                  <c:v>-1.4299544670592994</c:v>
                </c:pt>
                <c:pt idx="9">
                  <c:v>-1.754637041345489</c:v>
                </c:pt>
                <c:pt idx="10">
                  <c:v>-2.0647910640166929</c:v>
                </c:pt>
                <c:pt idx="11">
                  <c:v>-2.3555739824023316</c:v>
                </c:pt>
                <c:pt idx="12">
                  <c:v>-2.6247213858885883</c:v>
                </c:pt>
                <c:pt idx="13">
                  <c:v>-2.8716226063121502</c:v>
                </c:pt>
                <c:pt idx="14">
                  <c:v>-3.0966821772749644</c:v>
                </c:pt>
                <c:pt idx="15">
                  <c:v>-3.300894507341138</c:v>
                </c:pt>
                <c:pt idx="16">
                  <c:v>-3.4855675918214346</c:v>
                </c:pt>
                <c:pt idx="17">
                  <c:v>-3.6521474335607231</c:v>
                </c:pt>
                <c:pt idx="18">
                  <c:v>-3.8021091759818915</c:v>
                </c:pt>
                <c:pt idx="19">
                  <c:v>-3.9368918358386602</c:v>
                </c:pt>
                <c:pt idx="20">
                  <c:v>-4.0578612099871236</c:v>
                </c:pt>
                <c:pt idx="21">
                  <c:v>-4.1662907699323641</c:v>
                </c:pt>
                <c:pt idx="22">
                  <c:v>-4.2633538637173487</c:v>
                </c:pt>
                <c:pt idx="23">
                  <c:v>-4.3501228676555632</c:v>
                </c:pt>
                <c:pt idx="24">
                  <c:v>-4.4275724616265144</c:v>
                </c:pt>
                <c:pt idx="25">
                  <c:v>-4.4965852081366204</c:v>
                </c:pt>
                <c:pt idx="26">
                  <c:v>-4.5579582756568966</c:v>
                </c:pt>
                <c:pt idx="27">
                  <c:v>-4.6124105790862311</c:v>
                </c:pt>
                <c:pt idx="28">
                  <c:v>-4.6605898924399565</c:v>
                </c:pt>
                <c:pt idx="29">
                  <c:v>-4.703079672273744</c:v>
                </c:pt>
                <c:pt idx="30">
                  <c:v>-4.740405448655034</c:v>
                </c:pt>
                <c:pt idx="31">
                  <c:v>-4.7730407159224448</c:v>
                </c:pt>
                <c:pt idx="32">
                  <c:v>-4.8014123027096645</c:v>
                </c:pt>
                <c:pt idx="33">
                  <c:v>-4.8259052294639861</c:v>
                </c:pt>
                <c:pt idx="34">
                  <c:v>-4.846867078391937</c:v>
                </c:pt>
                <c:pt idx="35">
                  <c:v>-4.8646119096758706</c:v>
                </c:pt>
                <c:pt idx="36">
                  <c:v>-4.8794237617477831</c:v>
                </c:pt>
                <c:pt idx="37">
                  <c:v>-4.8915597742450467</c:v>
                </c:pt>
                <c:pt idx="38">
                  <c:v>-4.9012529712347712</c:v>
                </c:pt>
                <c:pt idx="39">
                  <c:v>-4.908714740182444</c:v>
                </c:pt>
                <c:pt idx="40">
                  <c:v>-4.9141370394759063</c:v>
                </c:pt>
                <c:pt idx="41">
                  <c:v>-4.917694364429118</c:v>
                </c:pt>
                <c:pt idx="42">
                  <c:v>-4.9195454987874943</c:v>
                </c:pt>
                <c:pt idx="43">
                  <c:v>-4.9198350759612675</c:v>
                </c:pt>
                <c:pt idx="44">
                  <c:v>-4.9186949715946149</c:v>
                </c:pt>
                <c:pt idx="45">
                  <c:v>-4.9162455466701278</c:v>
                </c:pt>
                <c:pt idx="46">
                  <c:v>-4.9125967581625662</c:v>
                </c:pt>
                <c:pt idx="47">
                  <c:v>-4.9078491522904946</c:v>
                </c:pt>
                <c:pt idx="48">
                  <c:v>-4.9020947536593757</c:v>
                </c:pt>
                <c:pt idx="49">
                  <c:v>-4.8954178620301949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34-45B2-AEBB-BF3DDEAAA7CF}"/>
            </c:ext>
          </c:extLst>
        </c:ser>
        <c:ser>
          <c:idx val="2"/>
          <c:order val="2"/>
          <c:tx>
            <c:strRef>
              <c:f>Theta!$B$26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Theta!$C$26:$AZ$26</c:f>
              <c:numCache>
                <c:formatCode>General</c:formatCode>
                <c:ptCount val="50"/>
                <c:pt idx="0">
                  <c:v>-7.1603045840606158E-6</c:v>
                </c:pt>
                <c:pt idx="1">
                  <c:v>-1.4370624164656631E-2</c:v>
                </c:pt>
                <c:pt idx="2">
                  <c:v>-0.16611103740621333</c:v>
                </c:pt>
                <c:pt idx="3">
                  <c:v>-0.5412049984933659</c:v>
                </c:pt>
                <c:pt idx="4">
                  <c:v>-1.0718066193428999</c:v>
                </c:pt>
                <c:pt idx="5">
                  <c:v>-1.6619493077293945</c:v>
                </c:pt>
                <c:pt idx="6">
                  <c:v>-2.2462093705423234</c:v>
                </c:pt>
                <c:pt idx="7">
                  <c:v>-2.7902318319527986</c:v>
                </c:pt>
                <c:pt idx="8">
                  <c:v>-3.2796995601874221</c:v>
                </c:pt>
                <c:pt idx="9">
                  <c:v>-3.7113500120129448</c:v>
                </c:pt>
                <c:pt idx="10">
                  <c:v>-4.0874406934952185</c:v>
                </c:pt>
                <c:pt idx="11">
                  <c:v>-4.4126655357498148</c:v>
                </c:pt>
                <c:pt idx="12">
                  <c:v>-4.6925299018223781</c:v>
                </c:pt>
                <c:pt idx="13">
                  <c:v>-4.9325374810745606</c:v>
                </c:pt>
                <c:pt idx="14">
                  <c:v>-5.1378140980582359</c:v>
                </c:pt>
                <c:pt idx="15">
                  <c:v>-5.3129606522368942</c:v>
                </c:pt>
                <c:pt idx="16">
                  <c:v>-5.4620224130330346</c:v>
                </c:pt>
                <c:pt idx="17">
                  <c:v>-5.5885142539323169</c:v>
                </c:pt>
                <c:pt idx="18">
                  <c:v>-5.6954699108965334</c:v>
                </c:pt>
                <c:pt idx="19">
                  <c:v>-5.7854987768122159</c:v>
                </c:pt>
                <c:pt idx="20">
                  <c:v>-5.8608420516117272</c:v>
                </c:pt>
                <c:pt idx="21">
                  <c:v>-5.9234245041701028</c:v>
                </c:pt>
                <c:pt idx="22">
                  <c:v>-5.9749004327657715</c:v>
                </c:pt>
                <c:pt idx="23">
                  <c:v>-6.0166935978232789</c:v>
                </c:pt>
                <c:pt idx="24">
                  <c:v>-6.0500314697325139</c:v>
                </c:pt>
                <c:pt idx="25">
                  <c:v>-6.0759743739995198</c:v>
                </c:pt>
                <c:pt idx="26">
                  <c:v>-6.0954401838564509</c:v>
                </c:pt>
                <c:pt idx="27">
                  <c:v>-6.1092251930677257</c:v>
                </c:pt>
                <c:pt idx="28">
                  <c:v>-6.1180217457120909</c:v>
                </c:pt>
                <c:pt idx="29">
                  <c:v>-6.122433129963416</c:v>
                </c:pt>
                <c:pt idx="30">
                  <c:v>-6.1229861719992096</c:v>
                </c:pt>
                <c:pt idx="31">
                  <c:v>-6.1201419001675221</c:v>
                </c:pt>
                <c:pt idx="32">
                  <c:v>-6.1143045908995717</c:v>
                </c:pt>
                <c:pt idx="33">
                  <c:v>-6.1058294571561023</c:v>
                </c:pt>
                <c:pt idx="34">
                  <c:v>-6.0950291971029094</c:v>
                </c:pt>
                <c:pt idx="35">
                  <c:v>-6.0821795844770667</c:v>
                </c:pt>
                <c:pt idx="36">
                  <c:v>-6.0675242518461658</c:v>
                </c:pt>
                <c:pt idx="37">
                  <c:v>-6.0512787927993221</c:v>
                </c:pt>
                <c:pt idx="38">
                  <c:v>-6.0336342882329284</c:v>
                </c:pt>
                <c:pt idx="39">
                  <c:v>-6.0147603445947926</c:v>
                </c:pt>
                <c:pt idx="40">
                  <c:v>-5.9948077176175056</c:v>
                </c:pt>
                <c:pt idx="41">
                  <c:v>-5.9739105831914108</c:v>
                </c:pt>
                <c:pt idx="42">
                  <c:v>-5.9521885071701943</c:v>
                </c:pt>
                <c:pt idx="43">
                  <c:v>-5.9297481577125515</c:v>
                </c:pt>
                <c:pt idx="44">
                  <c:v>-5.9066847969485918</c:v>
                </c:pt>
                <c:pt idx="45">
                  <c:v>-5.8830835830786254</c:v>
                </c:pt>
                <c:pt idx="46">
                  <c:v>-5.8590207092670052</c:v>
                </c:pt>
                <c:pt idx="47">
                  <c:v>-5.8345644017224272</c:v>
                </c:pt>
                <c:pt idx="48">
                  <c:v>-5.8097757960254661</c:v>
                </c:pt>
                <c:pt idx="49">
                  <c:v>-5.784709707964697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34-45B2-AEBB-BF3DDEAAA7CF}"/>
            </c:ext>
          </c:extLst>
        </c:ser>
        <c:ser>
          <c:idx val="3"/>
          <c:order val="3"/>
          <c:tx>
            <c:strRef>
              <c:f>Theta!$B$27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Theta!$C$27:$AZ$27</c:f>
              <c:numCache>
                <c:formatCode>General</c:formatCode>
                <c:ptCount val="50"/>
                <c:pt idx="0">
                  <c:v>-1.8875713026882618E-3</c:v>
                </c:pt>
                <c:pt idx="1">
                  <c:v>-0.23542096564408657</c:v>
                </c:pt>
                <c:pt idx="2">
                  <c:v>-1.0779827978949765</c:v>
                </c:pt>
                <c:pt idx="3">
                  <c:v>-2.210671890142939</c:v>
                </c:pt>
                <c:pt idx="4">
                  <c:v>-3.3163980774086572</c:v>
                </c:pt>
                <c:pt idx="5">
                  <c:v>-4.2733926605247587</c:v>
                </c:pt>
                <c:pt idx="6">
                  <c:v>-5.0604575049326366</c:v>
                </c:pt>
                <c:pt idx="7">
                  <c:v>-5.6927963660501737</c:v>
                </c:pt>
                <c:pt idx="8">
                  <c:v>-6.1949625133294468</c:v>
                </c:pt>
                <c:pt idx="9">
                  <c:v>-6.5910810534938085</c:v>
                </c:pt>
                <c:pt idx="10">
                  <c:v>-6.9019092289137802</c:v>
                </c:pt>
                <c:pt idx="11">
                  <c:v>-7.1444070320347972</c:v>
                </c:pt>
                <c:pt idx="12">
                  <c:v>-7.3321342307776378</c:v>
                </c:pt>
                <c:pt idx="13">
                  <c:v>-7.4758432804325468</c:v>
                </c:pt>
                <c:pt idx="14">
                  <c:v>-7.5840475423432165</c:v>
                </c:pt>
                <c:pt idx="15">
                  <c:v>-7.6635007880584478</c:v>
                </c:pt>
                <c:pt idx="16">
                  <c:v>-7.7195812151484802</c:v>
                </c:pt>
                <c:pt idx="17">
                  <c:v>-7.7565918197999402</c:v>
                </c:pt>
                <c:pt idx="18">
                  <c:v>-7.7779929774217083</c:v>
                </c:pt>
                <c:pt idx="19">
                  <c:v>-7.7865819734601072</c:v>
                </c:pt>
                <c:pt idx="20">
                  <c:v>-7.7846316936644229</c:v>
                </c:pt>
                <c:pt idx="21">
                  <c:v>-7.7739980866775849</c:v>
                </c:pt>
                <c:pt idx="22">
                  <c:v>-7.7562037865266129</c:v>
                </c:pt>
                <c:pt idx="23">
                  <c:v>-7.7325035081832567</c:v>
                </c:pt>
                <c:pt idx="24">
                  <c:v>-7.7039354622884746</c:v>
                </c:pt>
                <c:pt idx="25">
                  <c:v>-7.6713619996383251</c:v>
                </c:pt>
                <c:pt idx="26">
                  <c:v>-7.6355019178476349</c:v>
                </c:pt>
                <c:pt idx="27">
                  <c:v>-7.596956279368511</c:v>
                </c:pt>
                <c:pt idx="28">
                  <c:v>-7.5562291527213787</c:v>
                </c:pt>
                <c:pt idx="29">
                  <c:v>-7.5137443601188734</c:v>
                </c:pt>
                <c:pt idx="30">
                  <c:v>-7.4698590667613471</c:v>
                </c:pt>
                <c:pt idx="31">
                  <c:v>-7.4248748593025438</c:v>
                </c:pt>
                <c:pt idx="32">
                  <c:v>-7.3790468180702016</c:v>
                </c:pt>
                <c:pt idx="33">
                  <c:v>-7.3325909783157215</c:v>
                </c:pt>
                <c:pt idx="34">
                  <c:v>-7.2856904917312368</c:v>
                </c:pt>
                <c:pt idx="35">
                  <c:v>-7.2385007345350614</c:v>
                </c:pt>
                <c:pt idx="36">
                  <c:v>-7.1911535579909973</c:v>
                </c:pt>
                <c:pt idx="37">
                  <c:v>-7.1437608378573447</c:v>
                </c:pt>
                <c:pt idx="38">
                  <c:v>-7.0964174483784035</c:v>
                </c:pt>
                <c:pt idx="39">
                  <c:v>-7.0492037620886689</c:v>
                </c:pt>
                <c:pt idx="40">
                  <c:v>-7.0021877574229867</c:v>
                </c:pt>
                <c:pt idx="41">
                  <c:v>-6.9554268007911801</c:v>
                </c:pt>
                <c:pt idx="42">
                  <c:v>-6.9089691575232095</c:v>
                </c:pt>
                <c:pt idx="43">
                  <c:v>-6.8628552762596566</c:v>
                </c:pt>
                <c:pt idx="44">
                  <c:v>-6.8171188834413678</c:v>
                </c:pt>
                <c:pt idx="45">
                  <c:v>-6.7717879181447671</c:v>
                </c:pt>
                <c:pt idx="46">
                  <c:v>-6.7268853323068045</c:v>
                </c:pt>
                <c:pt idx="47">
                  <c:v>-6.6824297771432493</c:v>
                </c:pt>
                <c:pt idx="48">
                  <c:v>-6.6384361930960383</c:v>
                </c:pt>
                <c:pt idx="49">
                  <c:v>-6.5949163177989822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34-45B2-AEBB-BF3DDEAAA7CF}"/>
            </c:ext>
          </c:extLst>
        </c:ser>
        <c:ser>
          <c:idx val="4"/>
          <c:order val="4"/>
          <c:tx>
            <c:strRef>
              <c:f>Theta!$B$28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Theta!$C$28:$AZ$28</c:f>
              <c:numCache>
                <c:formatCode>General</c:formatCode>
                <c:ptCount val="50"/>
                <c:pt idx="0">
                  <c:v>-0.11824478433684256</c:v>
                </c:pt>
                <c:pt idx="1">
                  <c:v>-1.8792043475133311</c:v>
                </c:pt>
                <c:pt idx="2">
                  <c:v>-4.3305604970010707</c:v>
                </c:pt>
                <c:pt idx="3">
                  <c:v>-6.3007026662589647</c:v>
                </c:pt>
                <c:pt idx="4">
                  <c:v>-7.6932616736721382</c:v>
                </c:pt>
                <c:pt idx="5">
                  <c:v>-8.6420407133426256</c:v>
                </c:pt>
                <c:pt idx="6">
                  <c:v>-9.2783642304452894</c:v>
                </c:pt>
                <c:pt idx="7">
                  <c:v>-9.6982467274161852</c:v>
                </c:pt>
                <c:pt idx="8">
                  <c:v>-9.9675836934699884</c:v>
                </c:pt>
                <c:pt idx="9">
                  <c:v>-10.131161590710761</c:v>
                </c:pt>
                <c:pt idx="10">
                  <c:v>-10.219641425292522</c:v>
                </c:pt>
                <c:pt idx="11">
                  <c:v>-10.254285445580187</c:v>
                </c:pt>
                <c:pt idx="12">
                  <c:v>-10.250049562147508</c:v>
                </c:pt>
                <c:pt idx="13">
                  <c:v>-10.217601057049961</c:v>
                </c:pt>
                <c:pt idx="14">
                  <c:v>-10.164646894729456</c:v>
                </c:pt>
                <c:pt idx="15">
                  <c:v>-10.096819998976867</c:v>
                </c:pt>
                <c:pt idx="16">
                  <c:v>-10.018279465775102</c:v>
                </c:pt>
                <c:pt idx="17">
                  <c:v>-9.9321231864744401</c:v>
                </c:pt>
                <c:pt idx="18">
                  <c:v>-9.8406756463215199</c:v>
                </c:pt>
                <c:pt idx="19">
                  <c:v>-9.7456914239375365</c:v>
                </c:pt>
                <c:pt idx="20">
                  <c:v>-9.6485009333490002</c:v>
                </c:pt>
                <c:pt idx="21">
                  <c:v>-9.5501160452957166</c:v>
                </c:pt>
                <c:pt idx="22">
                  <c:v>-9.4513074749270114</c:v>
                </c:pt>
                <c:pt idx="23">
                  <c:v>-9.3526620578542303</c:v>
                </c:pt>
                <c:pt idx="24">
                  <c:v>-9.2546255363980059</c:v>
                </c:pt>
                <c:pt idx="25">
                  <c:v>-9.1575347952794921</c:v>
                </c:pt>
                <c:pt idx="26">
                  <c:v>-9.0616423389868004</c:v>
                </c:pt>
                <c:pt idx="27">
                  <c:v>-8.9671350115338857</c:v>
                </c:pt>
                <c:pt idx="28">
                  <c:v>-8.8741484067973584</c:v>
                </c:pt>
                <c:pt idx="29">
                  <c:v>-8.7827780276871046</c:v>
                </c:pt>
                <c:pt idx="30">
                  <c:v>-8.693087974387355</c:v>
                </c:pt>
                <c:pt idx="31">
                  <c:v>-8.6051177417496341</c:v>
                </c:pt>
                <c:pt idx="32">
                  <c:v>-8.5188875605004508</c:v>
                </c:pt>
                <c:pt idx="33">
                  <c:v>-8.4344026103638239</c:v>
                </c:pt>
                <c:pt idx="34">
                  <c:v>-8.3516563544738371</c:v>
                </c:pt>
                <c:pt idx="35">
                  <c:v>-8.2706331858469344</c:v>
                </c:pt>
                <c:pt idx="36">
                  <c:v>-8.1913105327399247</c:v>
                </c:pt>
                <c:pt idx="37">
                  <c:v>-8.1136605365440708</c:v>
                </c:pt>
                <c:pt idx="38">
                  <c:v>-8.0376513906581089</c:v>
                </c:pt>
                <c:pt idx="39">
                  <c:v>-7.9632484095127829</c:v>
                </c:pt>
                <c:pt idx="40">
                  <c:v>-7.8904148821029896</c:v>
                </c:pt>
                <c:pt idx="41">
                  <c:v>-7.8191127529295903</c:v>
                </c:pt>
                <c:pt idx="42">
                  <c:v>-7.7493031643524475</c:v>
                </c:pt>
                <c:pt idx="43">
                  <c:v>-7.6809468874062015</c:v>
                </c:pt>
                <c:pt idx="44">
                  <c:v>-7.6140046626784308</c:v>
                </c:pt>
                <c:pt idx="45">
                  <c:v>-7.5484374685542157</c:v>
                </c:pt>
                <c:pt idx="46">
                  <c:v>-7.484206730732855</c:v>
                </c:pt>
                <c:pt idx="47">
                  <c:v>-7.4212744842232681</c:v>
                </c:pt>
                <c:pt idx="48">
                  <c:v>-7.3596034968731576</c:v>
                </c:pt>
                <c:pt idx="49">
                  <c:v>-7.2991573617657473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34-45B2-AEBB-BF3DDEAAA7CF}"/>
            </c:ext>
          </c:extLst>
        </c:ser>
        <c:ser>
          <c:idx val="5"/>
          <c:order val="5"/>
          <c:tx>
            <c:strRef>
              <c:f>Theta!$B$29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Theta!$C$29:$AZ$29</c:f>
              <c:numCache>
                <c:formatCode>General</c:formatCode>
                <c:ptCount val="50"/>
                <c:pt idx="0">
                  <c:v>-2.232785524237944</c:v>
                </c:pt>
                <c:pt idx="1">
                  <c:v>-8.2329820335253849</c:v>
                </c:pt>
                <c:pt idx="2">
                  <c:v>-11.659916413435827</c:v>
                </c:pt>
                <c:pt idx="3">
                  <c:v>-13.300181468819167</c:v>
                </c:pt>
                <c:pt idx="4">
                  <c:v>-14.034262759301823</c:v>
                </c:pt>
                <c:pt idx="5">
                  <c:v>-14.303721989214308</c:v>
                </c:pt>
                <c:pt idx="6">
                  <c:v>-14.326414280823181</c:v>
                </c:pt>
                <c:pt idx="7">
                  <c:v>-14.21481111250038</c:v>
                </c:pt>
                <c:pt idx="8">
                  <c:v>-14.029781284705937</c:v>
                </c:pt>
                <c:pt idx="9">
                  <c:v>-13.805581458723221</c:v>
                </c:pt>
                <c:pt idx="10">
                  <c:v>-13.562071903340387</c:v>
                </c:pt>
                <c:pt idx="11">
                  <c:v>-13.311000808667989</c:v>
                </c:pt>
                <c:pt idx="12">
                  <c:v>-13.059388583482695</c:v>
                </c:pt>
                <c:pt idx="13">
                  <c:v>-12.811424005797969</c:v>
                </c:pt>
                <c:pt idx="14">
                  <c:v>-12.569563151923749</c:v>
                </c:pt>
                <c:pt idx="15">
                  <c:v>-12.335184849710146</c:v>
                </c:pt>
                <c:pt idx="16">
                  <c:v>-12.108991210571864</c:v>
                </c:pt>
                <c:pt idx="17">
                  <c:v>-11.89125738610961</c:v>
                </c:pt>
                <c:pt idx="18">
                  <c:v>-11.681989908889671</c:v>
                </c:pt>
                <c:pt idx="19">
                  <c:v>-11.481028402246055</c:v>
                </c:pt>
                <c:pt idx="20">
                  <c:v>-11.288111549529447</c:v>
                </c:pt>
                <c:pt idx="21">
                  <c:v>-11.102920144305049</c:v>
                </c:pt>
                <c:pt idx="22">
                  <c:v>-10.925105243535056</c:v>
                </c:pt>
                <c:pt idx="23">
                  <c:v>-10.754306529021594</c:v>
                </c:pt>
                <c:pt idx="24">
                  <c:v>-10.590164175255069</c:v>
                </c:pt>
                <c:pt idx="25">
                  <c:v>-10.432326382575752</c:v>
                </c:pt>
                <c:pt idx="26">
                  <c:v>-10.280454005075205</c:v>
                </c:pt>
                <c:pt idx="27">
                  <c:v>-10.134223228967477</c:v>
                </c:pt>
                <c:pt idx="28">
                  <c:v>-9.9933269456734219</c:v>
                </c:pt>
                <c:pt idx="29">
                  <c:v>-9.8574752567312611</c:v>
                </c:pt>
                <c:pt idx="30">
                  <c:v>-9.7263954085370354</c:v>
                </c:pt>
                <c:pt idx="31">
                  <c:v>-9.5998313606760171</c:v>
                </c:pt>
                <c:pt idx="32">
                  <c:v>-9.4775431272795405</c:v>
                </c:pt>
                <c:pt idx="33">
                  <c:v>-9.3593059866576152</c:v>
                </c:pt>
                <c:pt idx="34">
                  <c:v>-9.244909623955305</c:v>
                </c:pt>
                <c:pt idx="35">
                  <c:v>-9.1341572504450017</c:v>
                </c:pt>
                <c:pt idx="36">
                  <c:v>-9.0268647283875385</c:v>
                </c:pt>
                <c:pt idx="37">
                  <c:v>-8.9228597201934754</c:v>
                </c:pt>
                <c:pt idx="38">
                  <c:v>-8.8219808735352707</c:v>
                </c:pt>
                <c:pt idx="39">
                  <c:v>-8.7240770491647197</c:v>
                </c:pt>
                <c:pt idx="40">
                  <c:v>-8.6290065948268637</c:v>
                </c:pt>
                <c:pt idx="41">
                  <c:v>-8.5366366663769551</c:v>
                </c:pt>
                <c:pt idx="42">
                  <c:v>-8.4468425956813569</c:v>
                </c:pt>
                <c:pt idx="43">
                  <c:v>-8.3595073038910748</c:v>
                </c:pt>
                <c:pt idx="44">
                  <c:v>-8.2745207580588112</c:v>
                </c:pt>
                <c:pt idx="45">
                  <c:v>-8.1917794687133139</c:v>
                </c:pt>
                <c:pt idx="46">
                  <c:v>-8.1111860258286708</c:v>
                </c:pt>
                <c:pt idx="47">
                  <c:v>-8.0326486705731011</c:v>
                </c:pt>
                <c:pt idx="48">
                  <c:v>-7.9560809002517905</c:v>
                </c:pt>
                <c:pt idx="49">
                  <c:v>-7.8814011039421112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34-45B2-AEBB-BF3DDEAAA7CF}"/>
            </c:ext>
          </c:extLst>
        </c:ser>
        <c:ser>
          <c:idx val="6"/>
          <c:order val="6"/>
          <c:tx>
            <c:strRef>
              <c:f>Theta!$B$30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Theta!$C$30:$AZ$30</c:f>
              <c:numCache>
                <c:formatCode>General</c:formatCode>
                <c:ptCount val="50"/>
                <c:pt idx="0">
                  <c:v>-15.368533160223642</c:v>
                </c:pt>
                <c:pt idx="1">
                  <c:v>-21.773556246158098</c:v>
                </c:pt>
                <c:pt idx="2">
                  <c:v>-22.421457622874492</c:v>
                </c:pt>
                <c:pt idx="3">
                  <c:v>-21.810047332031576</c:v>
                </c:pt>
                <c:pt idx="4">
                  <c:v>-20.917294657416825</c:v>
                </c:pt>
                <c:pt idx="5">
                  <c:v>-20.004197694378263</c:v>
                </c:pt>
                <c:pt idx="6">
                  <c:v>-19.145721925671644</c:v>
                </c:pt>
                <c:pt idx="7">
                  <c:v>-18.360200001424534</c:v>
                </c:pt>
                <c:pt idx="8">
                  <c:v>-17.647438879223987</c:v>
                </c:pt>
                <c:pt idx="9">
                  <c:v>-17.001374705983402</c:v>
                </c:pt>
                <c:pt idx="10">
                  <c:v>-16.414558235335541</c:v>
                </c:pt>
                <c:pt idx="11">
                  <c:v>-15.879756111830281</c:v>
                </c:pt>
                <c:pt idx="12">
                  <c:v>-15.390472560320097</c:v>
                </c:pt>
                <c:pt idx="13">
                  <c:v>-14.941058063527121</c:v>
                </c:pt>
                <c:pt idx="14">
                  <c:v>-14.526664617333191</c:v>
                </c:pt>
                <c:pt idx="15">
                  <c:v>-14.143151481139865</c:v>
                </c:pt>
                <c:pt idx="16">
                  <c:v>-13.786982868552753</c:v>
                </c:pt>
                <c:pt idx="17">
                  <c:v>-13.455133199276665</c:v>
                </c:pt>
                <c:pt idx="18">
                  <c:v>-13.145004766490546</c:v>
                </c:pt>
                <c:pt idx="19">
                  <c:v>-12.854358282694443</c:v>
                </c:pt>
                <c:pt idx="20">
                  <c:v>-12.581255115239838</c:v>
                </c:pt>
                <c:pt idx="21">
                  <c:v>-12.324009542241022</c:v>
                </c:pt>
                <c:pt idx="22">
                  <c:v>-12.08114936157712</c:v>
                </c:pt>
                <c:pt idx="23">
                  <c:v>-11.85138336649436</c:v>
                </c:pt>
                <c:pt idx="24">
                  <c:v>-11.63357442906725</c:v>
                </c:pt>
                <c:pt idx="25">
                  <c:v>-11.426717153106198</c:v>
                </c:pt>
                <c:pt idx="26">
                  <c:v>-11.229919251406224</c:v>
                </c:pt>
                <c:pt idx="27">
                  <c:v>-11.042385964124316</c:v>
                </c:pt>
                <c:pt idx="28">
                  <c:v>-10.86340696739328</c:v>
                </c:pt>
                <c:pt idx="29">
                  <c:v>-10.692345328026216</c:v>
                </c:pt>
                <c:pt idx="30">
                  <c:v>-10.528628145707829</c:v>
                </c:pt>
                <c:pt idx="31">
                  <c:v>-10.37173859242453</c:v>
                </c:pt>
                <c:pt idx="32">
                  <c:v>-10.221209113484209</c:v>
                </c:pt>
                <c:pt idx="33">
                  <c:v>-10.076615598136344</c:v>
                </c:pt>
                <c:pt idx="34">
                  <c:v>-9.9375723627900214</c:v>
                </c:pt>
                <c:pt idx="35">
                  <c:v>-9.8037278179430558</c:v>
                </c:pt>
                <c:pt idx="36">
                  <c:v>-9.6747607126023301</c:v>
                </c:pt>
                <c:pt idx="37">
                  <c:v>-9.5503768683136236</c:v>
                </c:pt>
                <c:pt idx="38">
                  <c:v>-9.4303063298098291</c:v>
                </c:pt>
                <c:pt idx="39">
                  <c:v>-9.3143008714229296</c:v>
                </c:pt>
                <c:pt idx="40">
                  <c:v>-9.2021318083342507</c:v>
                </c:pt>
                <c:pt idx="41">
                  <c:v>-9.093588069891311</c:v>
                </c:pt>
                <c:pt idx="42">
                  <c:v>-8.9884744989406862</c:v>
                </c:pt>
                <c:pt idx="43">
                  <c:v>-8.8866103466862789</c:v>
                </c:pt>
                <c:pt idx="44">
                  <c:v>-8.7878279371990651</c:v>
                </c:pt>
                <c:pt idx="45">
                  <c:v>-8.6919714795505367</c:v>
                </c:pt>
                <c:pt idx="46">
                  <c:v>-8.5988960087580324</c:v>
                </c:pt>
                <c:pt idx="47">
                  <c:v>-8.5084664394274085</c:v>
                </c:pt>
                <c:pt idx="48">
                  <c:v>-8.420556718248859</c:v>
                </c:pt>
                <c:pt idx="49">
                  <c:v>-8.335049063418003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334-45B2-AEBB-BF3DDEAAA7CF}"/>
            </c:ext>
          </c:extLst>
        </c:ser>
        <c:ser>
          <c:idx val="7"/>
          <c:order val="7"/>
          <c:tx>
            <c:strRef>
              <c:f>Theta!$B$31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Theta!$C$31:$AZ$31</c:f>
              <c:numCache>
                <c:formatCode>General</c:formatCode>
                <c:ptCount val="50"/>
                <c:pt idx="0">
                  <c:v>-44.974641784812817</c:v>
                </c:pt>
                <c:pt idx="1">
                  <c:v>-37.548958738318007</c:v>
                </c:pt>
                <c:pt idx="2">
                  <c:v>-32.421717242640263</c:v>
                </c:pt>
                <c:pt idx="3">
                  <c:v>-28.880564807352748</c:v>
                </c:pt>
                <c:pt idx="4">
                  <c:v>-26.274457053189085</c:v>
                </c:pt>
                <c:pt idx="5">
                  <c:v>-24.259196059471758</c:v>
                </c:pt>
                <c:pt idx="6">
                  <c:v>-22.64240310820238</c:v>
                </c:pt>
                <c:pt idx="7">
                  <c:v>-21.308504153177992</c:v>
                </c:pt>
                <c:pt idx="8">
                  <c:v>-20.183705950110376</c:v>
                </c:pt>
                <c:pt idx="9">
                  <c:v>-19.218510717632629</c:v>
                </c:pt>
                <c:pt idx="10">
                  <c:v>-18.378359419455879</c:v>
                </c:pt>
                <c:pt idx="11">
                  <c:v>-17.638313328949092</c:v>
                </c:pt>
                <c:pt idx="12">
                  <c:v>-16.97987278899436</c:v>
                </c:pt>
                <c:pt idx="13">
                  <c:v>-16.388990529926225</c:v>
                </c:pt>
                <c:pt idx="14">
                  <c:v>-15.854784621129721</c:v>
                </c:pt>
                <c:pt idx="15">
                  <c:v>-15.36867797287611</c:v>
                </c:pt>
                <c:pt idx="16">
                  <c:v>-14.923807084689368</c:v>
                </c:pt>
                <c:pt idx="17">
                  <c:v>-14.514605969929026</c:v>
                </c:pt>
                <c:pt idx="18">
                  <c:v>-14.136507123652594</c:v>
                </c:pt>
                <c:pt idx="19">
                  <c:v>-13.785722553702005</c:v>
                </c:pt>
                <c:pt idx="20">
                  <c:v>-13.45908073826217</c:v>
                </c:pt>
                <c:pt idx="21">
                  <c:v>-13.153903389877296</c:v>
                </c:pt>
                <c:pt idx="22">
                  <c:v>-12.867911035503468</c:v>
                </c:pt>
                <c:pt idx="23">
                  <c:v>-12.599149778501461</c:v>
                </c:pt>
                <c:pt idx="24">
                  <c:v>-12.345933849371804</c:v>
                </c:pt>
                <c:pt idx="25">
                  <c:v>-12.10680007595046</c:v>
                </c:pt>
                <c:pt idx="26">
                  <c:v>-11.880471457655567</c:v>
                </c:pt>
                <c:pt idx="27">
                  <c:v>-11.665827768484274</c:v>
                </c:pt>
                <c:pt idx="28">
                  <c:v>-11.461881640626272</c:v>
                </c:pt>
                <c:pt idx="29">
                  <c:v>-11.267758960990919</c:v>
                </c:pt>
                <c:pt idx="30">
                  <c:v>-11.08268269082221</c:v>
                </c:pt>
                <c:pt idx="31">
                  <c:v>-10.905959423837485</c:v>
                </c:pt>
                <c:pt idx="32">
                  <c:v>-10.736968151541204</c:v>
                </c:pt>
                <c:pt idx="33">
                  <c:v>-10.575150819851999</c:v>
                </c:pt>
                <c:pt idx="34">
                  <c:v>-10.420004349028243</c:v>
                </c:pt>
                <c:pt idx="35">
                  <c:v>-10.271073856273482</c:v>
                </c:pt>
                <c:pt idx="36">
                  <c:v>-10.127946872526493</c:v>
                </c:pt>
                <c:pt idx="37">
                  <c:v>-9.9902483855583757</c:v>
                </c:pt>
                <c:pt idx="38">
                  <c:v>-9.8576365733770164</c:v>
                </c:pt>
                <c:pt idx="39">
                  <c:v>-9.729799117127337</c:v>
                </c:pt>
                <c:pt idx="40">
                  <c:v>-9.6064500027046069</c:v>
                </c:pt>
                <c:pt idx="41">
                  <c:v>-9.487326736321176</c:v>
                </c:pt>
                <c:pt idx="42">
                  <c:v>-9.372187912158962</c:v>
                </c:pt>
                <c:pt idx="43">
                  <c:v>-9.2608110806689847</c:v>
                </c:pt>
                <c:pt idx="44">
                  <c:v>-9.1529908745600714</c:v>
                </c:pt>
                <c:pt idx="45">
                  <c:v>-9.0485373564487812</c:v>
                </c:pt>
                <c:pt idx="46">
                  <c:v>-8.9472745578326371</c:v>
                </c:pt>
                <c:pt idx="47">
                  <c:v>-8.8490391837410094</c:v>
                </c:pt>
                <c:pt idx="48">
                  <c:v>-8.753679461304694</c:v>
                </c:pt>
                <c:pt idx="49">
                  <c:v>-8.6610541137173485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334-45B2-AEBB-BF3DDEAAA7CF}"/>
            </c:ext>
          </c:extLst>
        </c:ser>
        <c:ser>
          <c:idx val="8"/>
          <c:order val="8"/>
          <c:tx>
            <c:strRef>
              <c:f>Theta!$B$32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Theta!$C$32:$AZ$32</c:f>
              <c:numCache>
                <c:formatCode>General</c:formatCode>
                <c:ptCount val="50"/>
                <c:pt idx="0">
                  <c:v>-63.500588835946438</c:v>
                </c:pt>
                <c:pt idx="1">
                  <c:v>-44.992957683270156</c:v>
                </c:pt>
                <c:pt idx="2">
                  <c:v>-36.783187353866644</c:v>
                </c:pt>
                <c:pt idx="3">
                  <c:v>-31.882989964209802</c:v>
                </c:pt>
                <c:pt idx="4">
                  <c:v>-28.534721075159592</c:v>
                </c:pt>
                <c:pt idx="5">
                  <c:v>-26.060029694463299</c:v>
                </c:pt>
                <c:pt idx="6">
                  <c:v>-24.134292477160713</c:v>
                </c:pt>
                <c:pt idx="7">
                  <c:v>-22.580060772833534</c:v>
                </c:pt>
                <c:pt idx="8">
                  <c:v>-21.29106244067826</c:v>
                </c:pt>
                <c:pt idx="9">
                  <c:v>-20.199251050863595</c:v>
                </c:pt>
                <c:pt idx="10">
                  <c:v>-19.25876706286736</c:v>
                </c:pt>
                <c:pt idx="11">
                  <c:v>-18.437425301913777</c:v>
                </c:pt>
                <c:pt idx="12">
                  <c:v>-17.711881866996951</c:v>
                </c:pt>
                <c:pt idx="13">
                  <c:v>-17.064737420519624</c:v>
                </c:pt>
                <c:pt idx="14">
                  <c:v>-16.482722042318695</c:v>
                </c:pt>
                <c:pt idx="15">
                  <c:v>-15.955514633796389</c:v>
                </c:pt>
                <c:pt idx="16">
                  <c:v>-15.474950325205556</c:v>
                </c:pt>
                <c:pt idx="17">
                  <c:v>-15.034473652549288</c:v>
                </c:pt>
                <c:pt idx="18">
                  <c:v>-14.628752229031399</c:v>
                </c:pt>
                <c:pt idx="19">
                  <c:v>-14.253398050864519</c:v>
                </c:pt>
                <c:pt idx="20">
                  <c:v>-13.904762699617729</c:v>
                </c:pt>
                <c:pt idx="21">
                  <c:v>-13.579784345586312</c:v>
                </c:pt>
                <c:pt idx="22">
                  <c:v>-13.275871745536618</c:v>
                </c:pt>
                <c:pt idx="23">
                  <c:v>-12.990815106523284</c:v>
                </c:pt>
                <c:pt idx="24">
                  <c:v>-12.722716758099134</c:v>
                </c:pt>
                <c:pt idx="25">
                  <c:v>-12.469936631693512</c:v>
                </c:pt>
                <c:pt idx="26">
                  <c:v>-12.231048948618303</c:v>
                </c:pt>
                <c:pt idx="27">
                  <c:v>-12.004807491010549</c:v>
                </c:pt>
                <c:pt idx="28">
                  <c:v>-11.790117515138396</c:v>
                </c:pt>
                <c:pt idx="29">
                  <c:v>-11.586012855804519</c:v>
                </c:pt>
                <c:pt idx="30">
                  <c:v>-11.391637124595762</c:v>
                </c:pt>
                <c:pt idx="31">
                  <c:v>-11.206228163944999</c:v>
                </c:pt>
                <c:pt idx="32">
                  <c:v>-11.029105110897666</c:v>
                </c:pt>
                <c:pt idx="33">
                  <c:v>-10.859657568057587</c:v>
                </c:pt>
                <c:pt idx="34">
                  <c:v>-10.697336487643629</c:v>
                </c:pt>
                <c:pt idx="35">
                  <c:v>-10.541646457256434</c:v>
                </c:pt>
                <c:pt idx="36">
                  <c:v>-10.39213913950074</c:v>
                </c:pt>
                <c:pt idx="37">
                  <c:v>-10.24840766684606</c:v>
                </c:pt>
                <c:pt idx="38">
                  <c:v>-10.110081831545356</c:v>
                </c:pt>
                <c:pt idx="39">
                  <c:v>-9.9768239406492167</c:v>
                </c:pt>
                <c:pt idx="40">
                  <c:v>-9.8483252300679727</c:v>
                </c:pt>
                <c:pt idx="41">
                  <c:v>-9.7243027506806659</c:v>
                </c:pt>
                <c:pt idx="42">
                  <c:v>-9.6044966547495907</c:v>
                </c:pt>
                <c:pt idx="43">
                  <c:v>-9.4886678231943105</c:v>
                </c:pt>
                <c:pt idx="44">
                  <c:v>-9.3765957842394965</c:v>
                </c:pt>
                <c:pt idx="45">
                  <c:v>-9.26807688206069</c:v>
                </c:pt>
                <c:pt idx="46">
                  <c:v>-9.1629226606879683</c:v>
                </c:pt>
                <c:pt idx="47">
                  <c:v>-9.0609584338820213</c:v>
                </c:pt>
                <c:pt idx="48">
                  <c:v>-8.9620220162010735</c:v>
                </c:pt>
                <c:pt idx="49">
                  <c:v>-8.8659625942115419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334-45B2-AEBB-BF3DDEAAA7CF}"/>
            </c:ext>
          </c:extLst>
        </c:ser>
        <c:ser>
          <c:idx val="9"/>
          <c:order val="9"/>
          <c:tx>
            <c:strRef>
              <c:f>Theta!$B$33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Theta!$C$33:$AZ$33</c:f>
              <c:numCache>
                <c:formatCode>General</c:formatCode>
                <c:ptCount val="50"/>
                <c:pt idx="0">
                  <c:v>-48.139572947170073</c:v>
                </c:pt>
                <c:pt idx="1">
                  <c:v>-39.519534007121727</c:v>
                </c:pt>
                <c:pt idx="2">
                  <c:v>-33.931730488753139</c:v>
                </c:pt>
                <c:pt idx="3">
                  <c:v>-30.140158790530187</c:v>
                </c:pt>
                <c:pt idx="4">
                  <c:v>-27.373409551262821</c:v>
                </c:pt>
                <c:pt idx="5">
                  <c:v>-25.244680294607928</c:v>
                </c:pt>
                <c:pt idx="6">
                  <c:v>-23.542549322664794</c:v>
                </c:pt>
                <c:pt idx="7">
                  <c:v>-22.141582412522109</c:v>
                </c:pt>
                <c:pt idx="8">
                  <c:v>-20.962334926833549</c:v>
                </c:pt>
                <c:pt idx="9">
                  <c:v>-19.951819412068364</c:v>
                </c:pt>
                <c:pt idx="10">
                  <c:v>-19.073195569483673</c:v>
                </c:pt>
                <c:pt idx="11">
                  <c:v>-18.299964660035045</c:v>
                </c:pt>
                <c:pt idx="12">
                  <c:v>-17.612520593392738</c:v>
                </c:pt>
                <c:pt idx="13">
                  <c:v>-16.996007348110865</c:v>
                </c:pt>
                <c:pt idx="14">
                  <c:v>-16.438936669822549</c:v>
                </c:pt>
                <c:pt idx="15">
                  <c:v>-15.932266992926161</c:v>
                </c:pt>
                <c:pt idx="16">
                  <c:v>-15.468772326032996</c:v>
                </c:pt>
                <c:pt idx="17">
                  <c:v>-15.042599166263422</c:v>
                </c:pt>
                <c:pt idx="18">
                  <c:v>-14.648948693416948</c:v>
                </c:pt>
                <c:pt idx="19">
                  <c:v>-14.283844457375451</c:v>
                </c:pt>
                <c:pt idx="20">
                  <c:v>-13.943959662079319</c:v>
                </c:pt>
                <c:pt idx="21">
                  <c:v>-13.626486792012702</c:v>
                </c:pt>
                <c:pt idx="22">
                  <c:v>-13.329037842098463</c:v>
                </c:pt>
                <c:pt idx="23">
                  <c:v>-13.049567011807046</c:v>
                </c:pt>
                <c:pt idx="24">
                  <c:v>-12.786310122791692</c:v>
                </c:pt>
                <c:pt idx="25">
                  <c:v>-12.537736647443444</c:v>
                </c:pt>
                <c:pt idx="26">
                  <c:v>-12.302511359808639</c:v>
                </c:pt>
                <c:pt idx="27">
                  <c:v>-12.079463408533037</c:v>
                </c:pt>
                <c:pt idx="28">
                  <c:v>-11.867561172182924</c:v>
                </c:pt>
                <c:pt idx="29">
                  <c:v>-11.665891661420199</c:v>
                </c:pt>
                <c:pt idx="30">
                  <c:v>-11.473643527367406</c:v>
                </c:pt>
                <c:pt idx="31">
                  <c:v>-11.290092953082816</c:v>
                </c:pt>
                <c:pt idx="32">
                  <c:v>-11.114591867327624</c:v>
                </c:pt>
                <c:pt idx="33">
                  <c:v>-10.946558042007794</c:v>
                </c:pt>
                <c:pt idx="34">
                  <c:v>-10.785466727552654</c:v>
                </c:pt>
                <c:pt idx="35">
                  <c:v>-10.63084355169693</c:v>
                </c:pt>
                <c:pt idx="36">
                  <c:v>-10.482258462163713</c:v>
                </c:pt>
                <c:pt idx="37">
                  <c:v>-10.339320536601461</c:v>
                </c:pt>
                <c:pt idx="38">
                  <c:v>-10.201673516742646</c:v>
                </c:pt>
                <c:pt idx="39">
                  <c:v>-10.068991950296363</c:v>
                </c:pt>
                <c:pt idx="40">
                  <c:v>-9.9409778451842321</c:v>
                </c:pt>
                <c:pt idx="41">
                  <c:v>-9.817357757597712</c:v>
                </c:pt>
                <c:pt idx="42">
                  <c:v>-9.6978802489211802</c:v>
                </c:pt>
                <c:pt idx="43">
                  <c:v>-9.5823136575346535</c:v>
                </c:pt>
                <c:pt idx="44">
                  <c:v>-9.4704441404266486</c:v>
                </c:pt>
                <c:pt idx="45">
                  <c:v>-9.3620739468308685</c:v>
                </c:pt>
                <c:pt idx="46">
                  <c:v>-9.257019892078155</c:v>
                </c:pt>
                <c:pt idx="47">
                  <c:v>-9.1551120047830459</c:v>
                </c:pt>
                <c:pt idx="48">
                  <c:v>-9.0561923245645914</c:v>
                </c:pt>
                <c:pt idx="49">
                  <c:v>-8.9601138308932704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334-45B2-AEBB-BF3DDEAAA7CF}"/>
            </c:ext>
          </c:extLst>
        </c:ser>
        <c:ser>
          <c:idx val="10"/>
          <c:order val="10"/>
          <c:tx>
            <c:strRef>
              <c:f>Theta!$B$34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Theta!$C$34:$AZ$34</c:f>
              <c:numCache>
                <c:formatCode>General</c:formatCode>
                <c:ptCount val="50"/>
                <c:pt idx="0">
                  <c:v>-21.66098294188529</c:v>
                </c:pt>
                <c:pt idx="1">
                  <c:v>-26.682268409472414</c:v>
                </c:pt>
                <c:pt idx="2">
                  <c:v>-26.255696330370764</c:v>
                </c:pt>
                <c:pt idx="3">
                  <c:v>-24.969718050490702</c:v>
                </c:pt>
                <c:pt idx="4">
                  <c:v>-23.626138800174473</c:v>
                </c:pt>
                <c:pt idx="5">
                  <c:v>-22.392134917279535</c:v>
                </c:pt>
                <c:pt idx="6">
                  <c:v>-21.293567065525018</c:v>
                </c:pt>
                <c:pt idx="7">
                  <c:v>-20.321335281827459</c:v>
                </c:pt>
                <c:pt idx="8">
                  <c:v>-19.458893332267429</c:v>
                </c:pt>
                <c:pt idx="9">
                  <c:v>-18.689873538545729</c:v>
                </c:pt>
                <c:pt idx="10">
                  <c:v>-18.000027735723886</c:v>
                </c:pt>
                <c:pt idx="11">
                  <c:v>-17.377460124798606</c:v>
                </c:pt>
                <c:pt idx="12">
                  <c:v>-16.812372179363521</c:v>
                </c:pt>
                <c:pt idx="13">
                  <c:v>-16.296709345350283</c:v>
                </c:pt>
                <c:pt idx="14">
                  <c:v>-15.823830276781894</c:v>
                </c:pt>
                <c:pt idx="15">
                  <c:v>-15.388229234169218</c:v>
                </c:pt>
                <c:pt idx="16">
                  <c:v>-14.985312617237863</c:v>
                </c:pt>
                <c:pt idx="17">
                  <c:v>-14.611221995441392</c:v>
                </c:pt>
                <c:pt idx="18">
                  <c:v>-14.262694648567853</c:v>
                </c:pt>
                <c:pt idx="19">
                  <c:v>-13.936953581695549</c:v>
                </c:pt>
                <c:pt idx="20">
                  <c:v>-13.631620460789184</c:v>
                </c:pt>
                <c:pt idx="21">
                  <c:v>-13.344646327705053</c:v>
                </c:pt>
                <c:pt idx="22">
                  <c:v>-13.074256129568198</c:v>
                </c:pt>
                <c:pt idx="23">
                  <c:v>-12.818904024249404</c:v>
                </c:pt>
                <c:pt idx="24">
                  <c:v>-12.577237135737073</c:v>
                </c:pt>
                <c:pt idx="25">
                  <c:v>-12.348065974251577</c:v>
                </c:pt>
                <c:pt idx="26">
                  <c:v>-12.130340145520243</c:v>
                </c:pt>
                <c:pt idx="27">
                  <c:v>-11.923128283789662</c:v>
                </c:pt>
                <c:pt idx="28">
                  <c:v>-11.725601378684571</c:v>
                </c:pt>
                <c:pt idx="29">
                  <c:v>-11.537018845638839</c:v>
                </c:pt>
                <c:pt idx="30">
                  <c:v>-11.35671682729074</c:v>
                </c:pt>
                <c:pt idx="31">
                  <c:v>-11.184098319330767</c:v>
                </c:pt>
                <c:pt idx="32">
                  <c:v>-11.018624796525547</c:v>
                </c:pt>
                <c:pt idx="33">
                  <c:v>-10.859809078753022</c:v>
                </c:pt>
                <c:pt idx="34">
                  <c:v>-10.70720922715646</c:v>
                </c:pt>
                <c:pt idx="35">
                  <c:v>-10.560423300170621</c:v>
                </c:pt>
                <c:pt idx="36">
                  <c:v>-10.41908483061383</c:v>
                </c:pt>
                <c:pt idx="37">
                  <c:v>-10.28285891010847</c:v>
                </c:pt>
                <c:pt idx="38">
                  <c:v>-10.151438787186633</c:v>
                </c:pt>
                <c:pt idx="39">
                  <c:v>-10.024542901626253</c:v>
                </c:pt>
                <c:pt idx="40">
                  <c:v>-9.9019122906697277</c:v>
                </c:pt>
                <c:pt idx="41">
                  <c:v>-9.7833083134387238</c:v>
                </c:pt>
                <c:pt idx="42">
                  <c:v>-9.6685106485715213</c:v>
                </c:pt>
                <c:pt idx="43">
                  <c:v>-9.5573155272603429</c:v>
                </c:pt>
                <c:pt idx="44">
                  <c:v>-9.4495341697608257</c:v>
                </c:pt>
                <c:pt idx="45">
                  <c:v>-9.3449913983241419</c:v>
                </c:pt>
                <c:pt idx="46">
                  <c:v>-9.2435244035560942</c:v>
                </c:pt>
                <c:pt idx="47">
                  <c:v>-9.1449816445881886</c:v>
                </c:pt>
                <c:pt idx="48">
                  <c:v>-9.0492218662759321</c:v>
                </c:pt>
                <c:pt idx="49">
                  <c:v>-8.9561132190169523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334-45B2-AEBB-BF3DDEAAA7CF}"/>
            </c:ext>
          </c:extLst>
        </c:ser>
        <c:ser>
          <c:idx val="11"/>
          <c:order val="11"/>
          <c:tx>
            <c:strRef>
              <c:f>Theta!$B$35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Theta!$C$35:$AZ$35</c:f>
              <c:numCache>
                <c:formatCode>General</c:formatCode>
                <c:ptCount val="50"/>
                <c:pt idx="0">
                  <c:v>-6.6624341622880943</c:v>
                </c:pt>
                <c:pt idx="1">
                  <c:v>-14.530751418599104</c:v>
                </c:pt>
                <c:pt idx="2">
                  <c:v>-17.54696009111073</c:v>
                </c:pt>
                <c:pt idx="3">
                  <c:v>-18.514108917011391</c:v>
                </c:pt>
                <c:pt idx="4">
                  <c:v>-18.651196159849498</c:v>
                </c:pt>
                <c:pt idx="5">
                  <c:v>-18.433694652369613</c:v>
                </c:pt>
                <c:pt idx="6">
                  <c:v>-18.062938186086765</c:v>
                </c:pt>
                <c:pt idx="7">
                  <c:v>-17.630655983351584</c:v>
                </c:pt>
                <c:pt idx="8">
                  <c:v>-17.180742357753516</c:v>
                </c:pt>
                <c:pt idx="9">
                  <c:v>-16.734688247160612</c:v>
                </c:pt>
                <c:pt idx="10">
                  <c:v>-16.302919134127553</c:v>
                </c:pt>
                <c:pt idx="11">
                  <c:v>-15.890186085726683</c:v>
                </c:pt>
                <c:pt idx="12">
                  <c:v>-15.498263711305897</c:v>
                </c:pt>
                <c:pt idx="13">
                  <c:v>-15.127355363289711</c:v>
                </c:pt>
                <c:pt idx="14">
                  <c:v>-14.776847352355727</c:v>
                </c:pt>
                <c:pt idx="15">
                  <c:v>-14.445722257165214</c:v>
                </c:pt>
                <c:pt idx="16">
                  <c:v>-14.132787957538719</c:v>
                </c:pt>
                <c:pt idx="17">
                  <c:v>-13.836804526589066</c:v>
                </c:pt>
                <c:pt idx="18">
                  <c:v>-13.556553430702799</c:v>
                </c:pt>
                <c:pt idx="19">
                  <c:v>-13.290873731806084</c:v>
                </c:pt>
                <c:pt idx="20">
                  <c:v>-13.038679310418321</c:v>
                </c:pt>
                <c:pt idx="21">
                  <c:v>-12.798965204957609</c:v>
                </c:pt>
                <c:pt idx="22">
                  <c:v>-12.570807802113904</c:v>
                </c:pt>
                <c:pt idx="23">
                  <c:v>-12.353361669868805</c:v>
                </c:pt>
                <c:pt idx="24">
                  <c:v>-12.14585468338846</c:v>
                </c:pt>
                <c:pt idx="25">
                  <c:v>-11.947582415290251</c:v>
                </c:pt>
                <c:pt idx="26">
                  <c:v>-11.757902354508428</c:v>
                </c:pt>
                <c:pt idx="27">
                  <c:v>-11.57622827228788</c:v>
                </c:pt>
                <c:pt idx="28">
                  <c:v>-11.402024905468268</c:v>
                </c:pt>
                <c:pt idx="29">
                  <c:v>-11.234803038031252</c:v>
                </c:pt>
                <c:pt idx="30">
                  <c:v>-11.074115008915394</c:v>
                </c:pt>
                <c:pt idx="31">
                  <c:v>-10.919550643386183</c:v>
                </c:pt>
                <c:pt idx="32">
                  <c:v>-10.770733588200963</c:v>
                </c:pt>
                <c:pt idx="33">
                  <c:v>-10.627318022120582</c:v>
                </c:pt>
                <c:pt idx="34">
                  <c:v>-10.488985709688878</c:v>
                </c:pt>
                <c:pt idx="35">
                  <c:v>-10.355443365569007</c:v>
                </c:pt>
                <c:pt idx="36">
                  <c:v>-10.226420297808811</c:v>
                </c:pt>
                <c:pt idx="37">
                  <c:v>-10.101666300410209</c:v>
                </c:pt>
                <c:pt idx="38">
                  <c:v>-9.9809497680104347</c:v>
                </c:pt>
                <c:pt idx="39">
                  <c:v>-9.8640560080507544</c:v>
                </c:pt>
                <c:pt idx="40">
                  <c:v>-9.75078572833743</c:v>
                </c:pt>
                <c:pt idx="41">
                  <c:v>-9.6409536802939542</c:v>
                </c:pt>
                <c:pt idx="42">
                  <c:v>-9.5343874404139619</c:v>
                </c:pt>
                <c:pt idx="43">
                  <c:v>-9.4309263144315238</c:v>
                </c:pt>
                <c:pt idx="44">
                  <c:v>-9.3304203505278736</c:v>
                </c:pt>
                <c:pt idx="45">
                  <c:v>-9.2327294494990859</c:v>
                </c:pt>
                <c:pt idx="46">
                  <c:v>-9.1377225612318043</c:v>
                </c:pt>
                <c:pt idx="47">
                  <c:v>-9.0452769580894525</c:v>
                </c:pt>
                <c:pt idx="48">
                  <c:v>-8.9552775769165596</c:v>
                </c:pt>
                <c:pt idx="49">
                  <c:v>-8.8676164223400207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334-45B2-AEBB-BF3DDEAAA7CF}"/>
            </c:ext>
          </c:extLst>
        </c:ser>
        <c:ser>
          <c:idx val="12"/>
          <c:order val="12"/>
          <c:tx>
            <c:strRef>
              <c:f>Theta!$B$36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Theta!$C$36:$AZ$36</c:f>
              <c:numCache>
                <c:formatCode>General</c:formatCode>
                <c:ptCount val="50"/>
                <c:pt idx="0">
                  <c:v>-2.0311928373157206</c:v>
                </c:pt>
                <c:pt idx="1">
                  <c:v>-6.8093265573089994</c:v>
                </c:pt>
                <c:pt idx="2">
                  <c:v>-10.455240155593648</c:v>
                </c:pt>
                <c:pt idx="3">
                  <c:v>-12.546278099756995</c:v>
                </c:pt>
                <c:pt idx="4">
                  <c:v>-13.679578851154991</c:v>
                </c:pt>
                <c:pt idx="5">
                  <c:v>-14.261210126843142</c:v>
                </c:pt>
                <c:pt idx="6">
                  <c:v>-14.521210146966745</c:v>
                </c:pt>
                <c:pt idx="7">
                  <c:v>-14.589509594135791</c:v>
                </c:pt>
                <c:pt idx="8">
                  <c:v>-14.54153572439116</c:v>
                </c:pt>
                <c:pt idx="9">
                  <c:v>-14.422453192886163</c:v>
                </c:pt>
                <c:pt idx="10">
                  <c:v>-14.26007348188805</c:v>
                </c:pt>
                <c:pt idx="11">
                  <c:v>-14.071926810927605</c:v>
                </c:pt>
                <c:pt idx="12">
                  <c:v>-13.869267611873024</c:v>
                </c:pt>
                <c:pt idx="13">
                  <c:v>-13.659417917166053</c:v>
                </c:pt>
                <c:pt idx="14">
                  <c:v>-13.447179619307098</c:v>
                </c:pt>
                <c:pt idx="15">
                  <c:v>-13.235708448180448</c:v>
                </c:pt>
                <c:pt idx="16">
                  <c:v>-13.02706766855888</c:v>
                </c:pt>
                <c:pt idx="17">
                  <c:v>-12.822586179953218</c:v>
                </c:pt>
                <c:pt idx="18">
                  <c:v>-12.623094336012478</c:v>
                </c:pt>
                <c:pt idx="19">
                  <c:v>-12.429081700535093</c:v>
                </c:pt>
                <c:pt idx="20">
                  <c:v>-12.240804025726854</c:v>
                </c:pt>
                <c:pt idx="21">
                  <c:v>-12.058356643617795</c:v>
                </c:pt>
                <c:pt idx="22">
                  <c:v>-11.881725307174985</c:v>
                </c:pt>
                <c:pt idx="23">
                  <c:v>-11.710821688332922</c:v>
                </c:pt>
                <c:pt idx="24">
                  <c:v>-11.545508312764126</c:v>
                </c:pt>
                <c:pt idx="25">
                  <c:v>-11.38561614607546</c:v>
                </c:pt>
                <c:pt idx="26">
                  <c:v>-11.230957021103054</c:v>
                </c:pt>
                <c:pt idx="27">
                  <c:v>-11.081332415043297</c:v>
                </c:pt>
                <c:pt idx="28">
                  <c:v>-10.936539626837602</c:v>
                </c:pt>
                <c:pt idx="29">
                  <c:v>-10.79637609301737</c:v>
                </c:pt>
                <c:pt idx="30">
                  <c:v>-10.660642365176333</c:v>
                </c:pt>
                <c:pt idx="31">
                  <c:v>-10.529144122620979</c:v>
                </c:pt>
                <c:pt idx="32">
                  <c:v>-10.401693488682069</c:v>
                </c:pt>
                <c:pt idx="33">
                  <c:v>-10.278109844758466</c:v>
                </c:pt>
                <c:pt idx="34">
                  <c:v>-10.158220283054241</c:v>
                </c:pt>
                <c:pt idx="35">
                  <c:v>-10.041859800796029</c:v>
                </c:pt>
                <c:pt idx="36">
                  <c:v>-9.9288713111042313</c:v>
                </c:pt>
                <c:pt idx="37">
                  <c:v>-9.8191055256033408</c:v>
                </c:pt>
                <c:pt idx="38">
                  <c:v>-9.7124207491688033</c:v>
                </c:pt>
                <c:pt idx="39">
                  <c:v>-9.6086826164213832</c:v>
                </c:pt>
                <c:pt idx="40">
                  <c:v>-9.5077637916289373</c:v>
                </c:pt>
                <c:pt idx="41">
                  <c:v>-9.4095436477968324</c:v>
                </c:pt>
                <c:pt idx="42">
                  <c:v>-9.3139079363717592</c:v>
                </c:pt>
                <c:pt idx="43">
                  <c:v>-9.2207484557500994</c:v>
                </c:pt>
                <c:pt idx="44">
                  <c:v>-9.1299627243809294</c:v>
                </c:pt>
                <c:pt idx="45">
                  <c:v>-9.0414536624707438</c:v>
                </c:pt>
                <c:pt idx="46">
                  <c:v>-8.9551292849757456</c:v>
                </c:pt>
                <c:pt idx="47">
                  <c:v>-8.8709024075908722</c:v>
                </c:pt>
                <c:pt idx="48">
                  <c:v>-8.7886903667264438</c:v>
                </c:pt>
                <c:pt idx="49">
                  <c:v>-8.7084147539386478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334-45B2-AEBB-BF3DDEAAA7CF}"/>
            </c:ext>
          </c:extLst>
        </c:ser>
        <c:ser>
          <c:idx val="13"/>
          <c:order val="13"/>
          <c:tx>
            <c:strRef>
              <c:f>Theta!$B$37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Theta!$C$37:$AZ$37</c:f>
              <c:numCache>
                <c:formatCode>General</c:formatCode>
                <c:ptCount val="50"/>
                <c:pt idx="0">
                  <c:v>-1.1307602943593071</c:v>
                </c:pt>
                <c:pt idx="1">
                  <c:v>-3.0857205605128093</c:v>
                </c:pt>
                <c:pt idx="2">
                  <c:v>-5.7948243917954816</c:v>
                </c:pt>
                <c:pt idx="3">
                  <c:v>-7.958591838172242</c:v>
                </c:pt>
                <c:pt idx="4">
                  <c:v>-9.4758240304281056</c:v>
                </c:pt>
                <c:pt idx="5">
                  <c:v>-10.498786373235744</c:v>
                </c:pt>
                <c:pt idx="6">
                  <c:v>-11.175182483177142</c:v>
                </c:pt>
                <c:pt idx="7">
                  <c:v>-11.612498724053657</c:v>
                </c:pt>
                <c:pt idx="8">
                  <c:v>-11.884259348685369</c:v>
                </c:pt>
                <c:pt idx="9">
                  <c:v>-12.04029010675692</c:v>
                </c:pt>
                <c:pt idx="10">
                  <c:v>-12.114605507424416</c:v>
                </c:pt>
                <c:pt idx="11">
                  <c:v>-12.13072532991346</c:v>
                </c:pt>
                <c:pt idx="12">
                  <c:v>-12.105143348580361</c:v>
                </c:pt>
                <c:pt idx="13">
                  <c:v>-12.049585597874838</c:v>
                </c:pt>
                <c:pt idx="14">
                  <c:v>-11.972494176799783</c:v>
                </c:pt>
                <c:pt idx="15">
                  <c:v>-11.880015492206349</c:v>
                </c:pt>
                <c:pt idx="16">
                  <c:v>-11.776668359831449</c:v>
                </c:pt>
                <c:pt idx="17">
                  <c:v>-11.665802503330523</c:v>
                </c:pt>
                <c:pt idx="18">
                  <c:v>-11.549917791588616</c:v>
                </c:pt>
                <c:pt idx="19">
                  <c:v>-11.430889564645947</c:v>
                </c:pt>
                <c:pt idx="20">
                  <c:v>-11.310129709402279</c:v>
                </c:pt>
                <c:pt idx="21">
                  <c:v>-11.18870316921881</c:v>
                </c:pt>
                <c:pt idx="22">
                  <c:v>-11.067413137741065</c:v>
                </c:pt>
                <c:pt idx="23">
                  <c:v>-10.94686397906654</c:v>
                </c:pt>
                <c:pt idx="24">
                  <c:v>-10.827508125225114</c:v>
                </c:pt>
                <c:pt idx="25">
                  <c:v>-10.709681325571292</c:v>
                </c:pt>
                <c:pt idx="26">
                  <c:v>-10.593629344967724</c:v>
                </c:pt>
                <c:pt idx="27">
                  <c:v>-10.479528326893274</c:v>
                </c:pt>
                <c:pt idx="28">
                  <c:v>-10.367500423458152</c:v>
                </c:pt>
                <c:pt idx="29">
                  <c:v>-10.257625861371491</c:v>
                </c:pt>
                <c:pt idx="30">
                  <c:v>-10.149952304567991</c:v>
                </c:pt>
                <c:pt idx="31">
                  <c:v>-10.044502152469903</c:v>
                </c:pt>
                <c:pt idx="32">
                  <c:v>-9.9412782519542375</c:v>
                </c:pt>
                <c:pt idx="33">
                  <c:v>-9.8402683833234494</c:v>
                </c:pt>
                <c:pt idx="34">
                  <c:v>-9.741448793678634</c:v>
                </c:pt>
                <c:pt idx="35">
                  <c:v>-9.6447869864853129</c:v>
                </c:pt>
                <c:pt idx="36">
                  <c:v>-9.5502439277393307</c:v>
                </c:pt>
                <c:pt idx="37">
                  <c:v>-9.4577757926631296</c:v>
                </c:pt>
                <c:pt idx="38">
                  <c:v>-9.3673353491848452</c:v>
                </c:pt>
                <c:pt idx="39">
                  <c:v>-9.2788730533246131</c:v>
                </c:pt>
                <c:pt idx="40">
                  <c:v>-9.1923379153920095</c:v>
                </c:pt>
                <c:pt idx="41">
                  <c:v>-9.1076781833787077</c:v>
                </c:pt>
                <c:pt idx="42">
                  <c:v>-9.0248418802174921</c:v>
                </c:pt>
                <c:pt idx="43">
                  <c:v>-8.9437772240074604</c:v>
                </c:pt>
                <c:pt idx="44">
                  <c:v>-8.8644329543763156</c:v>
                </c:pt>
                <c:pt idx="45">
                  <c:v>-8.7867585834879804</c:v>
                </c:pt>
                <c:pt idx="46">
                  <c:v>-8.710704586522322</c:v>
                </c:pt>
                <c:pt idx="47">
                  <c:v>-8.6362225435355846</c:v>
                </c:pt>
                <c:pt idx="48">
                  <c:v>-8.5632652422891145</c:v>
                </c:pt>
                <c:pt idx="49">
                  <c:v>-8.4917867497813333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334-45B2-AEBB-BF3DDEAAA7CF}"/>
            </c:ext>
          </c:extLst>
        </c:ser>
        <c:ser>
          <c:idx val="14"/>
          <c:order val="14"/>
          <c:tx>
            <c:strRef>
              <c:f>Theta!$B$38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Theta!$C$38:$AZ$38</c:f>
              <c:numCache>
                <c:formatCode>General</c:formatCode>
                <c:ptCount val="50"/>
                <c:pt idx="0">
                  <c:v>-1.011314885940982</c:v>
                </c:pt>
                <c:pt idx="1">
                  <c:v>-1.6395687486126482</c:v>
                </c:pt>
                <c:pt idx="2">
                  <c:v>-3.1896307968166888</c:v>
                </c:pt>
                <c:pt idx="3">
                  <c:v>-4.8765180408663351</c:v>
                </c:pt>
                <c:pt idx="4">
                  <c:v>-6.3196399066611759</c:v>
                </c:pt>
                <c:pt idx="5">
                  <c:v>-7.4549158362803007</c:v>
                </c:pt>
                <c:pt idx="6">
                  <c:v>-8.3185975346264502</c:v>
                </c:pt>
                <c:pt idx="7">
                  <c:v>-8.9653549903618153</c:v>
                </c:pt>
                <c:pt idx="8">
                  <c:v>-9.4446293072958287</c:v>
                </c:pt>
                <c:pt idx="9">
                  <c:v>-9.7959134720922805</c:v>
                </c:pt>
                <c:pt idx="10">
                  <c:v>-10.049443094670199</c:v>
                </c:pt>
                <c:pt idx="11">
                  <c:v>-10.228048934947017</c:v>
                </c:pt>
                <c:pt idx="12">
                  <c:v>-10.348940102070419</c:v>
                </c:pt>
                <c:pt idx="13">
                  <c:v>-10.425136368168197</c:v>
                </c:pt>
                <c:pt idx="14">
                  <c:v>-10.466548968052377</c:v>
                </c:pt>
                <c:pt idx="15">
                  <c:v>-10.48077707772423</c:v>
                </c:pt>
                <c:pt idx="16">
                  <c:v>-10.473690534397045</c:v>
                </c:pt>
                <c:pt idx="17">
                  <c:v>-10.449856424320105</c:v>
                </c:pt>
                <c:pt idx="18">
                  <c:v>-10.412852797669157</c:v>
                </c:pt>
                <c:pt idx="19">
                  <c:v>-10.365500893051253</c:v>
                </c:pt>
                <c:pt idx="20">
                  <c:v>-10.310038335047231</c:v>
                </c:pt>
                <c:pt idx="21">
                  <c:v>-10.248249330234806</c:v>
                </c:pt>
                <c:pt idx="22">
                  <c:v>-10.181563316293108</c:v>
                </c:pt>
                <c:pt idx="23">
                  <c:v>-10.111130290998121</c:v>
                </c:pt>
                <c:pt idx="24">
                  <c:v>-10.037878767364239</c:v>
                </c:pt>
                <c:pt idx="25">
                  <c:v>-9.9625606837654459</c:v>
                </c:pt>
                <c:pt idx="26">
                  <c:v>-9.8857864442688612</c:v>
                </c:pt>
                <c:pt idx="27">
                  <c:v>-9.8080524361260171</c:v>
                </c:pt>
                <c:pt idx="28">
                  <c:v>-9.7297627723637063</c:v>
                </c:pt>
                <c:pt idx="29">
                  <c:v>-9.6512465710031439</c:v>
                </c:pt>
                <c:pt idx="30">
                  <c:v>-9.572771762103736</c:v>
                </c:pt>
                <c:pt idx="31">
                  <c:v>-9.4945561769618987</c:v>
                </c:pt>
                <c:pt idx="32">
                  <c:v>-9.4167764973823935</c:v>
                </c:pt>
                <c:pt idx="33">
                  <c:v>-9.3395755106275438</c:v>
                </c:pt>
                <c:pt idx="34">
                  <c:v>-9.2630680157409717</c:v>
                </c:pt>
                <c:pt idx="35">
                  <c:v>-9.1873456510076892</c:v>
                </c:pt>
                <c:pt idx="36">
                  <c:v>-9.1124808542362583</c:v>
                </c:pt>
                <c:pt idx="37">
                  <c:v>-9.0385301228630492</c:v>
                </c:pt>
                <c:pt idx="38">
                  <c:v>-8.965536706297085</c:v>
                </c:pt>
                <c:pt idx="39">
                  <c:v>-8.8935328360136179</c:v>
                </c:pt>
                <c:pt idx="40">
                  <c:v>-8.8225415778523395</c:v>
                </c:pt>
                <c:pt idx="41">
                  <c:v>-8.752578374423301</c:v>
                </c:pt>
                <c:pt idx="42">
                  <c:v>-8.6836523324448365</c:v>
                </c:pt>
                <c:pt idx="43">
                  <c:v>-8.6157672994561487</c:v>
                </c:pt>
                <c:pt idx="44">
                  <c:v>-8.5489227660693956</c:v>
                </c:pt>
                <c:pt idx="45">
                  <c:v>-8.4831146232977126</c:v>
                </c:pt>
                <c:pt idx="46">
                  <c:v>-8.4183357991662309</c:v>
                </c:pt>
                <c:pt idx="47">
                  <c:v>-8.3545767945112814</c:v>
                </c:pt>
                <c:pt idx="48">
                  <c:v>-8.2918261343875752</c:v>
                </c:pt>
                <c:pt idx="49">
                  <c:v>-8.2300707486689859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334-45B2-AEBB-BF3DDEAAA7CF}"/>
            </c:ext>
          </c:extLst>
        </c:ser>
        <c:ser>
          <c:idx val="15"/>
          <c:order val="15"/>
          <c:tx>
            <c:strRef>
              <c:f>Theta!$B$39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Theta!$C$39:$AZ$39</c:f>
              <c:numCache>
                <c:formatCode>General</c:formatCode>
                <c:ptCount val="50"/>
                <c:pt idx="0">
                  <c:v>-0.99987587970602798</c:v>
                </c:pt>
                <c:pt idx="1">
                  <c:v>-1.1699032672049601</c:v>
                </c:pt>
                <c:pt idx="2">
                  <c:v>-1.9113646017988646</c:v>
                </c:pt>
                <c:pt idx="3">
                  <c:v>-3.0149238500830591</c:v>
                </c:pt>
                <c:pt idx="4">
                  <c:v>-4.1585838566039577</c:v>
                </c:pt>
                <c:pt idx="5">
                  <c:v>-5.1880333604875037</c:v>
                </c:pt>
                <c:pt idx="6">
                  <c:v>-6.0588387322217248</c:v>
                </c:pt>
                <c:pt idx="7">
                  <c:v>-6.7737313975105078</c:v>
                </c:pt>
                <c:pt idx="8">
                  <c:v>-7.3515312572557914</c:v>
                </c:pt>
                <c:pt idx="9">
                  <c:v>-7.814251988155136</c:v>
                </c:pt>
                <c:pt idx="10">
                  <c:v>-8.1823445854471917</c:v>
                </c:pt>
                <c:pt idx="11">
                  <c:v>-8.4732969731189698</c:v>
                </c:pt>
                <c:pt idx="12">
                  <c:v>-8.7015323471400041</c:v>
                </c:pt>
                <c:pt idx="13">
                  <c:v>-8.8787542416566847</c:v>
                </c:pt>
                <c:pt idx="14">
                  <c:v>-9.0143973869559861</c:v>
                </c:pt>
                <c:pt idx="15">
                  <c:v>-9.1160567956324439</c:v>
                </c:pt>
                <c:pt idx="16">
                  <c:v>-9.189855063596271</c:v>
                </c:pt>
                <c:pt idx="17">
                  <c:v>-9.2407424093732402</c:v>
                </c:pt>
                <c:pt idx="18">
                  <c:v>-9.2727363258834288</c:v>
                </c:pt>
                <c:pt idx="19">
                  <c:v>-9.289110993522069</c:v>
                </c:pt>
                <c:pt idx="20">
                  <c:v>-9.2925463768358068</c:v>
                </c:pt>
                <c:pt idx="21">
                  <c:v>-9.2852455414539126</c:v>
                </c:pt>
                <c:pt idx="22">
                  <c:v>-9.2690271321479365</c:v>
                </c:pt>
                <c:pt idx="23">
                  <c:v>-9.2453984986621425</c:v>
                </c:pt>
                <c:pt idx="24">
                  <c:v>-9.2156137445608568</c:v>
                </c:pt>
                <c:pt idx="25">
                  <c:v>-9.1807200077148927</c:v>
                </c:pt>
                <c:pt idx="26">
                  <c:v>-9.1415945267547745</c:v>
                </c:pt>
                <c:pt idx="27">
                  <c:v>-9.0989744659920522</c:v>
                </c:pt>
                <c:pt idx="28">
                  <c:v>-9.0534810249709583</c:v>
                </c:pt>
                <c:pt idx="29">
                  <c:v>-9.0056390170271499</c:v>
                </c:pt>
                <c:pt idx="30">
                  <c:v>-8.9558928393738704</c:v>
                </c:pt>
                <c:pt idx="31">
                  <c:v>-8.9046195562173036</c:v>
                </c:pt>
                <c:pt idx="32">
                  <c:v>-8.8521396616323074</c:v>
                </c:pt>
                <c:pt idx="33">
                  <c:v>-8.7987259693413105</c:v>
                </c:pt>
                <c:pt idx="34">
                  <c:v>-8.7446109837697836</c:v>
                </c:pt>
                <c:pt idx="35">
                  <c:v>-8.6899930344846421</c:v>
                </c:pt>
                <c:pt idx="36">
                  <c:v>-8.6350413995834554</c:v>
                </c:pt>
                <c:pt idx="37">
                  <c:v>-8.5799005991753852</c:v>
                </c:pt>
                <c:pt idx="38">
                  <c:v>-8.5246940050328952</c:v>
                </c:pt>
                <c:pt idx="39">
                  <c:v>-8.4695268847023772</c:v>
                </c:pt>
                <c:pt idx="40">
                  <c:v>-8.4144889762404063</c:v>
                </c:pt>
                <c:pt idx="41">
                  <c:v>-8.3596566720603391</c:v>
                </c:pt>
                <c:pt idx="42">
                  <c:v>-8.3050948761828174</c:v>
                </c:pt>
                <c:pt idx="43">
                  <c:v>-8.2508585877490379</c:v>
                </c:pt>
                <c:pt idx="44">
                  <c:v>-8.1969942544065084</c:v>
                </c:pt>
                <c:pt idx="45">
                  <c:v>-8.143540931667534</c:v>
                </c:pt>
                <c:pt idx="46">
                  <c:v>-8.0905312782216061</c:v>
                </c:pt>
                <c:pt idx="47">
                  <c:v>-8.0379924121790989</c:v>
                </c:pt>
                <c:pt idx="48">
                  <c:v>-7.9859466491180617</c:v>
                </c:pt>
                <c:pt idx="49">
                  <c:v>-7.9344121394260245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334-45B2-AEBB-BF3DDEAAA7CF}"/>
            </c:ext>
          </c:extLst>
        </c:ser>
        <c:ser>
          <c:idx val="16"/>
          <c:order val="16"/>
          <c:tx>
            <c:strRef>
              <c:f>Theta!$B$40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Theta!$C$40:$AZ$40</c:f>
              <c:numCache>
                <c:formatCode>General</c:formatCode>
                <c:ptCount val="50"/>
                <c:pt idx="0">
                  <c:v>-0.99904941220576171</c:v>
                </c:pt>
                <c:pt idx="1">
                  <c:v>-1.0388283555729734</c:v>
                </c:pt>
                <c:pt idx="2">
                  <c:v>-1.3487952222257125</c:v>
                </c:pt>
                <c:pt idx="3">
                  <c:v>-1.9846849685346619</c:v>
                </c:pt>
                <c:pt idx="4">
                  <c:v>-2.7855630263031972</c:v>
                </c:pt>
                <c:pt idx="5">
                  <c:v>-3.6083602469389642</c:v>
                </c:pt>
                <c:pt idx="6">
                  <c:v>-4.3762692327935353</c:v>
                </c:pt>
                <c:pt idx="7">
                  <c:v>-5.0584173293597976</c:v>
                </c:pt>
                <c:pt idx="8">
                  <c:v>-5.6482262361697639</c:v>
                </c:pt>
                <c:pt idx="9">
                  <c:v>-6.1503168442155749</c:v>
                </c:pt>
                <c:pt idx="10">
                  <c:v>-6.573692890399184</c:v>
                </c:pt>
                <c:pt idx="11">
                  <c:v>-6.9284482833850278</c:v>
                </c:pt>
                <c:pt idx="12">
                  <c:v>-7.2242871212075892</c:v>
                </c:pt>
                <c:pt idx="13">
                  <c:v>-7.4699378252745916</c:v>
                </c:pt>
                <c:pt idx="14">
                  <c:v>-7.6729927557568294</c:v>
                </c:pt>
                <c:pt idx="15">
                  <c:v>-7.8399396771623389</c:v>
                </c:pt>
                <c:pt idx="16">
                  <c:v>-7.9762706319666092</c:v>
                </c:pt>
                <c:pt idx="17">
                  <c:v>-8.0866135493499165</c:v>
                </c:pt>
                <c:pt idx="18">
                  <c:v>-8.1748616762875361</c:v>
                </c:pt>
                <c:pt idx="19">
                  <c:v>-8.2442905792216727</c:v>
                </c:pt>
                <c:pt idx="20">
                  <c:v>-8.2976595328760503</c:v>
                </c:pt>
                <c:pt idx="21">
                  <c:v>-8.3372973728872015</c:v>
                </c:pt>
                <c:pt idx="22">
                  <c:v>-8.365174255617136</c:v>
                </c:pt>
                <c:pt idx="23">
                  <c:v>-8.3829612129155997</c:v>
                </c:pt>
                <c:pt idx="24">
                  <c:v>-8.3920794034958632</c:v>
                </c:pt>
                <c:pt idx="25">
                  <c:v>-8.3937407929026033</c:v>
                </c:pt>
                <c:pt idx="26">
                  <c:v>-8.3889817622818104</c:v>
                </c:pt>
                <c:pt idx="27">
                  <c:v>-8.3786909096674016</c:v>
                </c:pt>
                <c:pt idx="28">
                  <c:v>-8.3636320911201718</c:v>
                </c:pt>
                <c:pt idx="29">
                  <c:v>-8.3444635614848828</c:v>
                </c:pt>
                <c:pt idx="30">
                  <c:v>-8.3217539167589134</c:v>
                </c:pt>
                <c:pt idx="31">
                  <c:v>-8.2959954096944628</c:v>
                </c:pt>
                <c:pt idx="32">
                  <c:v>-8.267615103668609</c:v>
                </c:pt>
                <c:pt idx="33">
                  <c:v>-8.236984243256213</c:v>
                </c:pt>
                <c:pt idx="34">
                  <c:v>-8.2044261498205131</c:v>
                </c:pt>
                <c:pt idx="35">
                  <c:v>-8.1702228937436665</c:v>
                </c:pt>
                <c:pt idx="36">
                  <c:v>-8.1346209490912464</c:v>
                </c:pt>
                <c:pt idx="37">
                  <c:v>-8.0978359994306786</c:v>
                </c:pt>
                <c:pt idx="38">
                  <c:v>-8.0600570334895369</c:v>
                </c:pt>
                <c:pt idx="39">
                  <c:v>-8.0214498449633034</c:v>
                </c:pt>
                <c:pt idx="40">
                  <c:v>-7.9821600309544092</c:v>
                </c:pt>
                <c:pt idx="41">
                  <c:v>-7.9423155673574506</c:v>
                </c:pt>
                <c:pt idx="42">
                  <c:v>-7.9020290262893917</c:v>
                </c:pt>
                <c:pt idx="43">
                  <c:v>-7.8613994898310819</c:v>
                </c:pt>
                <c:pt idx="44">
                  <c:v>-7.8205142054430654</c:v>
                </c:pt>
                <c:pt idx="45">
                  <c:v>-7.7794500210809971</c:v>
                </c:pt>
                <c:pt idx="46">
                  <c:v>-7.7382746319715308</c:v>
                </c:pt>
                <c:pt idx="47">
                  <c:v>-7.697047665983936</c:v>
                </c:pt>
                <c:pt idx="48">
                  <c:v>-7.6558216303563773</c:v>
                </c:pt>
                <c:pt idx="49">
                  <c:v>-7.6146427390558058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334-45B2-AEBB-BF3DDEAAA7CF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47848864"/>
        <c:axId val="1047843584"/>
        <c:axId val="1040315792"/>
      </c:surface3DChart>
      <c:catAx>
        <c:axId val="104784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7843584"/>
        <c:crosses val="autoZero"/>
        <c:auto val="1"/>
        <c:lblAlgn val="ctr"/>
        <c:lblOffset val="100"/>
        <c:noMultiLvlLbl val="0"/>
      </c:catAx>
      <c:valAx>
        <c:axId val="104784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7848864"/>
        <c:crosses val="autoZero"/>
        <c:crossBetween val="midCat"/>
      </c:valAx>
      <c:serAx>
        <c:axId val="10403157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784358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Theta, vol=40%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2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5344925634295715E-2"/>
          <c:y val="0.17634259259259263"/>
          <c:w val="0.85445363079615044"/>
          <c:h val="0.6714577865266842"/>
        </c:manualLayout>
      </c:layout>
      <c:surface3DChart>
        <c:wireframe val="0"/>
        <c:ser>
          <c:idx val="0"/>
          <c:order val="0"/>
          <c:tx>
            <c:strRef>
              <c:f>Theta!$B$45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Theta!$C$45:$AZ$45</c:f>
              <c:numCache>
                <c:formatCode>General</c:formatCode>
                <c:ptCount val="50"/>
                <c:pt idx="0">
                  <c:v>-1.4485039991105231E-2</c:v>
                </c:pt>
                <c:pt idx="1">
                  <c:v>-0.60338223197593854</c:v>
                </c:pt>
                <c:pt idx="2">
                  <c:v>-1.9151622811895384</c:v>
                </c:pt>
                <c:pt idx="3">
                  <c:v>-3.2676546646789197</c:v>
                </c:pt>
                <c:pt idx="4">
                  <c:v>-4.3873411094725823</c:v>
                </c:pt>
                <c:pt idx="5">
                  <c:v>-5.2478378445142599</c:v>
                </c:pt>
                <c:pt idx="6">
                  <c:v>-5.8901425239135126</c:v>
                </c:pt>
                <c:pt idx="7">
                  <c:v>-6.3628065714776039</c:v>
                </c:pt>
                <c:pt idx="8">
                  <c:v>-6.7068787506709882</c:v>
                </c:pt>
                <c:pt idx="9">
                  <c:v>-6.9540324269679985</c:v>
                </c:pt>
                <c:pt idx="10">
                  <c:v>-7.1279863654200701</c:v>
                </c:pt>
                <c:pt idx="11">
                  <c:v>-7.246369734349714</c:v>
                </c:pt>
                <c:pt idx="12">
                  <c:v>-7.3223107281117237</c:v>
                </c:pt>
                <c:pt idx="13">
                  <c:v>-7.3656449797542365</c:v>
                </c:pt>
                <c:pt idx="14">
                  <c:v>-7.3837986516710945</c:v>
                </c:pt>
                <c:pt idx="15">
                  <c:v>-7.3824252711954728</c:v>
                </c:pt>
                <c:pt idx="16">
                  <c:v>-7.3658643020308165</c:v>
                </c:pt>
                <c:pt idx="17">
                  <c:v>-7.3374727315771349</c:v>
                </c:pt>
                <c:pt idx="18">
                  <c:v>-7.2998665061093853</c:v>
                </c:pt>
                <c:pt idx="19">
                  <c:v>-7.2550977770018834</c:v>
                </c:pt>
                <c:pt idx="20">
                  <c:v>-7.2047861651565688</c:v>
                </c:pt>
                <c:pt idx="21">
                  <c:v>-7.1502168322109707</c:v>
                </c:pt>
                <c:pt idx="22">
                  <c:v>-7.0924143875979677</c:v>
                </c:pt>
                <c:pt idx="23">
                  <c:v>-7.0321990512401849</c:v>
                </c:pt>
                <c:pt idx="24">
                  <c:v>-6.9702296730167417</c:v>
                </c:pt>
                <c:pt idx="25">
                  <c:v>-6.9070369344970564</c:v>
                </c:pt>
                <c:pt idx="26">
                  <c:v>-6.8430491569514809</c:v>
                </c:pt>
                <c:pt idx="27">
                  <c:v>-6.778612497436681</c:v>
                </c:pt>
                <c:pt idx="28">
                  <c:v>-6.7140068534569757</c:v>
                </c:pt>
                <c:pt idx="29">
                  <c:v>-6.6494584626121922</c:v>
                </c:pt>
                <c:pt idx="30">
                  <c:v>-6.585149939707958</c:v>
                </c:pt>
                <c:pt idx="31">
                  <c:v>-6.5212283142825314</c:v>
                </c:pt>
                <c:pt idx="32">
                  <c:v>-6.457811498371659</c:v>
                </c:pt>
                <c:pt idx="33">
                  <c:v>-6.3949935148716559</c:v>
                </c:pt>
                <c:pt idx="34">
                  <c:v>-6.3328487420268766</c:v>
                </c:pt>
                <c:pt idx="35">
                  <c:v>-6.2714353728795853</c:v>
                </c:pt>
                <c:pt idx="36">
                  <c:v>-6.2107982452979273</c:v>
                </c:pt>
                <c:pt idx="37">
                  <c:v>-6.1509711650371433</c:v>
                </c:pt>
                <c:pt idx="38">
                  <c:v>-6.0919788186963597</c:v>
                </c:pt>
                <c:pt idx="39">
                  <c:v>-6.0338383535688811</c:v>
                </c:pt>
                <c:pt idx="40">
                  <c:v>-5.9765606858815667</c:v>
                </c:pt>
                <c:pt idx="41">
                  <c:v>-5.92015158675812</c:v>
                </c:pt>
                <c:pt idx="42">
                  <c:v>-5.8646125856540525</c:v>
                </c:pt>
                <c:pt idx="43">
                  <c:v>-5.8099417234171771</c:v>
                </c:pt>
                <c:pt idx="44">
                  <c:v>-5.7561341810851712</c:v>
                </c:pt>
                <c:pt idx="45">
                  <c:v>-5.7031828057028484</c:v>
                </c:pt>
                <c:pt idx="46">
                  <c:v>-5.6510785505669565</c:v>
                </c:pt>
                <c:pt idx="47">
                  <c:v>-5.5998108441843248</c:v>
                </c:pt>
                <c:pt idx="48">
                  <c:v>-5.5493678997045093</c:v>
                </c:pt>
                <c:pt idx="49">
                  <c:v>-5.499736974538795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D-4F16-9C18-7D808E689A70}"/>
            </c:ext>
          </c:extLst>
        </c:ser>
        <c:ser>
          <c:idx val="1"/>
          <c:order val="1"/>
          <c:tx>
            <c:strRef>
              <c:f>Theta!$B$46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Theta!$C$46:$AZ$46</c:f>
              <c:numCache>
                <c:formatCode>General</c:formatCode>
                <c:ptCount val="50"/>
                <c:pt idx="0">
                  <c:v>-0.15816671990779366</c:v>
                </c:pt>
                <c:pt idx="1">
                  <c:v>-2.0296399900203856</c:v>
                </c:pt>
                <c:pt idx="2">
                  <c:v>-4.3511878855430925</c:v>
                </c:pt>
                <c:pt idx="3">
                  <c:v>-6.1015975284293473</c:v>
                </c:pt>
                <c:pt idx="4">
                  <c:v>-7.2828659695784355</c:v>
                </c:pt>
                <c:pt idx="5">
                  <c:v>-8.054101524868079</c:v>
                </c:pt>
                <c:pt idx="6">
                  <c:v>-8.5474296218762937</c:v>
                </c:pt>
                <c:pt idx="7">
                  <c:v>-8.853530938660418</c:v>
                </c:pt>
                <c:pt idx="8">
                  <c:v>-9.0323853776870884</c:v>
                </c:pt>
                <c:pt idx="9">
                  <c:v>-9.1237183699720656</c:v>
                </c:pt>
                <c:pt idx="10">
                  <c:v>-9.1541829926196314</c:v>
                </c:pt>
                <c:pt idx="11">
                  <c:v>-9.1419511975942989</c:v>
                </c:pt>
                <c:pt idx="12">
                  <c:v>-9.099613455807873</c:v>
                </c:pt>
                <c:pt idx="13">
                  <c:v>-9.0360241892454685</c:v>
                </c:pt>
                <c:pt idx="14">
                  <c:v>-8.9574937528163741</c:v>
                </c:pt>
                <c:pt idx="15">
                  <c:v>-8.8685715788678561</c:v>
                </c:pt>
                <c:pt idx="16">
                  <c:v>-8.7725696783413323</c:v>
                </c:pt>
                <c:pt idx="17">
                  <c:v>-8.6719184510353831</c:v>
                </c:pt>
                <c:pt idx="18">
                  <c:v>-8.5684123300312152</c:v>
                </c:pt>
                <c:pt idx="19">
                  <c:v>-8.4633818457621608</c:v>
                </c:pt>
                <c:pt idx="20">
                  <c:v>-8.35781576928653</c:v>
                </c:pt>
                <c:pt idx="21">
                  <c:v>-8.2524488857509635</c:v>
                </c:pt>
                <c:pt idx="22">
                  <c:v>-8.1478257790413693</c:v>
                </c:pt>
                <c:pt idx="23">
                  <c:v>-8.0443476595049948</c:v>
                </c:pt>
                <c:pt idx="24">
                  <c:v>-7.9423070638026179</c:v>
                </c:pt>
                <c:pt idx="25">
                  <c:v>-7.8419137859994485</c:v>
                </c:pt>
                <c:pt idx="26">
                  <c:v>-7.7433144046425957</c:v>
                </c:pt>
                <c:pt idx="27">
                  <c:v>-7.6466070892526092</c:v>
                </c:pt>
                <c:pt idx="28">
                  <c:v>-7.5518528971754231</c:v>
                </c:pt>
                <c:pt idx="29">
                  <c:v>-7.4590844403659302</c:v>
                </c:pt>
                <c:pt idx="30">
                  <c:v>-7.3683125667906113</c:v>
                </c:pt>
                <c:pt idx="31">
                  <c:v>-7.2795315329855068</c:v>
                </c:pt>
                <c:pt idx="32">
                  <c:v>-7.1927230228009797</c:v>
                </c:pt>
                <c:pt idx="33">
                  <c:v>-7.1078592787943116</c:v>
                </c:pt>
                <c:pt idx="34">
                  <c:v>-7.0249055476353366</c:v>
                </c:pt>
                <c:pt idx="35">
                  <c:v>-6.943821992676166</c:v>
                </c:pt>
                <c:pt idx="36">
                  <c:v>-6.8645651908651741</c:v>
                </c:pt>
                <c:pt idx="37">
                  <c:v>-6.7870893041645726</c:v>
                </c:pt>
                <c:pt idx="38">
                  <c:v>-6.711346995202228</c:v>
                </c:pt>
                <c:pt idx="39">
                  <c:v>-6.6372901413497472</c:v>
                </c:pt>
                <c:pt idx="40">
                  <c:v>-6.5648703895319604</c:v>
                </c:pt>
                <c:pt idx="41">
                  <c:v>-6.4940395849308441</c:v>
                </c:pt>
                <c:pt idx="42">
                  <c:v>-6.424750099679958</c:v>
                </c:pt>
                <c:pt idx="43">
                  <c:v>-6.3569550821566496</c:v>
                </c:pt>
                <c:pt idx="44">
                  <c:v>-6.2906086431972099</c:v>
                </c:pt>
                <c:pt idx="45">
                  <c:v>-6.2256659922050925</c:v>
                </c:pt>
                <c:pt idx="46">
                  <c:v>-6.1620835334837034</c:v>
                </c:pt>
                <c:pt idx="47">
                  <c:v>-6.0998189310419146</c:v>
                </c:pt>
                <c:pt idx="48">
                  <c:v>-6.0388311484703125</c:v>
                </c:pt>
                <c:pt idx="49">
                  <c:v>-5.9790804691745958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D-4F16-9C18-7D808E689A70}"/>
            </c:ext>
          </c:extLst>
        </c:ser>
        <c:ser>
          <c:idx val="2"/>
          <c:order val="2"/>
          <c:tx>
            <c:strRef>
              <c:f>Theta!$B$47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Theta!$C$47:$AZ$47</c:f>
              <c:numCache>
                <c:formatCode>General</c:formatCode>
                <c:ptCount val="50"/>
                <c:pt idx="0">
                  <c:v>-1.0123391075579409</c:v>
                </c:pt>
                <c:pt idx="1">
                  <c:v>-5.2204983169411996</c:v>
                </c:pt>
                <c:pt idx="2">
                  <c:v>-8.2596472588658507</c:v>
                </c:pt>
                <c:pt idx="3">
                  <c:v>-9.950492288959822</c:v>
                </c:pt>
                <c:pt idx="4">
                  <c:v>-10.842802939309427</c:v>
                </c:pt>
                <c:pt idx="5">
                  <c:v>-11.284647566070815</c:v>
                </c:pt>
                <c:pt idx="6">
                  <c:v>-11.467690907498289</c:v>
                </c:pt>
                <c:pt idx="7">
                  <c:v>-11.498386961759074</c:v>
                </c:pt>
                <c:pt idx="8">
                  <c:v>-11.437802917534675</c:v>
                </c:pt>
                <c:pt idx="9">
                  <c:v>-11.322159031684684</c:v>
                </c:pt>
                <c:pt idx="10">
                  <c:v>-11.173574351865557</c:v>
                </c:pt>
                <c:pt idx="11">
                  <c:v>-11.00588182601107</c:v>
                </c:pt>
                <c:pt idx="12">
                  <c:v>-10.827891734583936</c:v>
                </c:pt>
                <c:pt idx="13">
                  <c:v>-10.645286857211941</c:v>
                </c:pt>
                <c:pt idx="14">
                  <c:v>-10.461757475295459</c:v>
                </c:pt>
                <c:pt idx="15">
                  <c:v>-10.279699900276585</c:v>
                </c:pt>
                <c:pt idx="16">
                  <c:v>-10.100656789538538</c:v>
                </c:pt>
                <c:pt idx="17">
                  <c:v>-9.9256005642391418</c:v>
                </c:pt>
                <c:pt idx="18">
                  <c:v>-9.7551191863777067</c:v>
                </c:pt>
                <c:pt idx="19">
                  <c:v>-9.5895398649106856</c:v>
                </c:pt>
                <c:pt idx="20">
                  <c:v>-9.4290125478650388</c:v>
                </c:pt>
                <c:pt idx="21">
                  <c:v>-9.2735669177835138</c:v>
                </c:pt>
                <c:pt idx="22">
                  <c:v>-9.1231516651214744</c:v>
                </c:pt>
                <c:pt idx="23">
                  <c:v>-8.9776617499656073</c:v>
                </c:pt>
                <c:pt idx="24">
                  <c:v>-8.8369574265646342</c:v>
                </c:pt>
                <c:pt idx="25">
                  <c:v>-8.7008775609094702</c:v>
                </c:pt>
                <c:pt idx="26">
                  <c:v>-8.5692489592072665</c:v>
                </c:pt>
                <c:pt idx="27">
                  <c:v>-8.4418928869894927</c:v>
                </c:pt>
                <c:pt idx="28">
                  <c:v>-8.3186295974514408</c:v>
                </c:pt>
                <c:pt idx="29">
                  <c:v>-8.199281442307031</c:v>
                </c:pt>
                <c:pt idx="30">
                  <c:v>-8.0836749699620398</c:v>
                </c:pt>
                <c:pt idx="31">
                  <c:v>-7.9716422989236673</c:v>
                </c:pt>
                <c:pt idx="32">
                  <c:v>-7.8630219725241046</c:v>
                </c:pt>
                <c:pt idx="33">
                  <c:v>-7.7576594432499997</c:v>
                </c:pt>
                <c:pt idx="34">
                  <c:v>-7.6554072938565572</c:v>
                </c:pt>
                <c:pt idx="35">
                  <c:v>-7.5561252729920652</c:v>
                </c:pt>
                <c:pt idx="36">
                  <c:v>-7.459680201828621</c:v>
                </c:pt>
                <c:pt idx="37">
                  <c:v>-7.3659457928083194</c:v>
                </c:pt>
                <c:pt idx="38">
                  <c:v>-7.2748024104095332</c:v>
                </c:pt>
                <c:pt idx="39">
                  <c:v>-7.1861367956458313</c:v>
                </c:pt>
                <c:pt idx="40">
                  <c:v>-7.099841770000431</c:v>
                </c:pt>
                <c:pt idx="41">
                  <c:v>-7.0158159300796745</c:v>
                </c:pt>
                <c:pt idx="42">
                  <c:v>-6.9339633410134836</c:v>
                </c:pt>
                <c:pt idx="43">
                  <c:v>-6.8541932342307339</c:v>
                </c:pt>
                <c:pt idx="44">
                  <c:v>-6.7764197134691271</c:v>
                </c:pt>
                <c:pt idx="45">
                  <c:v>-6.7005614715778288</c:v>
                </c:pt>
                <c:pt idx="46">
                  <c:v>-6.6265415197170174</c:v>
                </c:pt>
                <c:pt idx="47">
                  <c:v>-6.5542869298620507</c:v>
                </c:pt>
                <c:pt idx="48">
                  <c:v>-6.4837285910158045</c:v>
                </c:pt>
                <c:pt idx="49">
                  <c:v>-6.414800979171507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D-4F16-9C18-7D808E689A70}"/>
            </c:ext>
          </c:extLst>
        </c:ser>
        <c:ser>
          <c:idx val="3"/>
          <c:order val="3"/>
          <c:tx>
            <c:strRef>
              <c:f>Theta!$B$48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Theta!$C$48:$AZ$48</c:f>
              <c:numCache>
                <c:formatCode>General</c:formatCode>
                <c:ptCount val="50"/>
                <c:pt idx="0">
                  <c:v>-4.1873661372726332</c:v>
                </c:pt>
                <c:pt idx="1">
                  <c:v>-10.783235760832367</c:v>
                </c:pt>
                <c:pt idx="2">
                  <c:v>-13.536503081939685</c:v>
                </c:pt>
                <c:pt idx="3">
                  <c:v>-14.526452782887358</c:v>
                </c:pt>
                <c:pt idx="4">
                  <c:v>-14.768196082177488</c:v>
                </c:pt>
                <c:pt idx="5">
                  <c:v>-14.675507332665523</c:v>
                </c:pt>
                <c:pt idx="6">
                  <c:v>-14.429161205899431</c:v>
                </c:pt>
                <c:pt idx="7">
                  <c:v>-14.113972033561282</c:v>
                </c:pt>
                <c:pt idx="8">
                  <c:v>-13.771878854738464</c:v>
                </c:pt>
                <c:pt idx="9">
                  <c:v>-13.424295066054123</c:v>
                </c:pt>
                <c:pt idx="10">
                  <c:v>-13.082261128255285</c:v>
                </c:pt>
                <c:pt idx="11">
                  <c:v>-12.751357630893521</c:v>
                </c:pt>
                <c:pt idx="12">
                  <c:v>-12.434208211673939</c:v>
                </c:pt>
                <c:pt idx="13">
                  <c:v>-12.131808416400263</c:v>
                </c:pt>
                <c:pt idx="14">
                  <c:v>-11.844254620695123</c:v>
                </c:pt>
                <c:pt idx="15">
                  <c:v>-11.571153933702572</c:v>
                </c:pt>
                <c:pt idx="16">
                  <c:v>-11.311858766449806</c:v>
                </c:pt>
                <c:pt idx="17">
                  <c:v>-11.065602382559657</c:v>
                </c:pt>
                <c:pt idx="18">
                  <c:v>-10.83157729495548</c:v>
                </c:pt>
                <c:pt idx="19">
                  <c:v>-10.608980111472453</c:v>
                </c:pt>
                <c:pt idx="20">
                  <c:v>-10.397036449613291</c:v>
                </c:pt>
                <c:pt idx="21">
                  <c:v>-10.195013934274993</c:v>
                </c:pt>
                <c:pt idx="22">
                  <c:v>-10.002228068931329</c:v>
                </c:pt>
                <c:pt idx="23">
                  <c:v>-9.8180438795006246</c:v>
                </c:pt>
                <c:pt idx="24">
                  <c:v>-9.6418751009203572</c:v>
                </c:pt>
                <c:pt idx="25">
                  <c:v>-9.4731819922012406</c:v>
                </c:pt>
                <c:pt idx="26">
                  <c:v>-9.3114684460296058</c:v>
                </c:pt>
                <c:pt idx="27">
                  <c:v>-9.1562787990746166</c:v>
                </c:pt>
                <c:pt idx="28">
                  <c:v>-9.0071945870991073</c:v>
                </c:pt>
                <c:pt idx="29">
                  <c:v>-8.8638313875484176</c:v>
                </c:pt>
                <c:pt idx="30">
                  <c:v>-8.7258358288057227</c:v>
                </c:pt>
                <c:pt idx="31">
                  <c:v>-8.5928828057395155</c:v>
                </c:pt>
                <c:pt idx="32">
                  <c:v>-8.46467291677512</c:v>
                </c:pt>
                <c:pt idx="33">
                  <c:v>-8.3409301229774346</c:v>
                </c:pt>
                <c:pt idx="34">
                  <c:v>-8.2213996210266505</c:v>
                </c:pt>
                <c:pt idx="35">
                  <c:v>-8.1058459172571151</c:v>
                </c:pt>
                <c:pt idx="36">
                  <c:v>-7.9940510876679021</c:v>
                </c:pt>
                <c:pt idx="37">
                  <c:v>-7.8858132080711449</c:v>
                </c:pt>
                <c:pt idx="38">
                  <c:v>-7.7809449387207161</c:v>
                </c:pt>
                <c:pt idx="39">
                  <c:v>-7.6792722484729277</c:v>
                </c:pt>
                <c:pt idx="40">
                  <c:v>-7.5806332645253658</c:v>
                </c:pt>
                <c:pt idx="41">
                  <c:v>-7.4848772349037764</c:v>
                </c:pt>
                <c:pt idx="42">
                  <c:v>-7.3918635920225855</c:v>
                </c:pt>
                <c:pt idx="43">
                  <c:v>-7.3014611067737976</c:v>
                </c:pt>
                <c:pt idx="44">
                  <c:v>-7.2135471236682305</c:v>
                </c:pt>
                <c:pt idx="45">
                  <c:v>-7.1280068685445235</c:v>
                </c:pt>
                <c:pt idx="46">
                  <c:v>-7.0447328212682994</c:v>
                </c:pt>
                <c:pt idx="47">
                  <c:v>-6.9636241466648796</c:v>
                </c:pt>
                <c:pt idx="48">
                  <c:v>-6.8845861776672876</c:v>
                </c:pt>
                <c:pt idx="49">
                  <c:v>-6.8075299453217202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1D-4F16-9C18-7D808E689A70}"/>
            </c:ext>
          </c:extLst>
        </c:ser>
        <c:ser>
          <c:idx val="4"/>
          <c:order val="4"/>
          <c:tx>
            <c:strRef>
              <c:f>Theta!$B$49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Theta!$C$49:$AZ$49</c:f>
              <c:numCache>
                <c:formatCode>General</c:formatCode>
                <c:ptCount val="50"/>
                <c:pt idx="0">
                  <c:v>-12.073826179949494</c:v>
                </c:pt>
                <c:pt idx="1">
                  <c:v>-18.579872054340804</c:v>
                </c:pt>
                <c:pt idx="2">
                  <c:v>-19.646987669596626</c:v>
                </c:pt>
                <c:pt idx="3">
                  <c:v>-19.351354755097841</c:v>
                </c:pt>
                <c:pt idx="4">
                  <c:v>-18.687192970972117</c:v>
                </c:pt>
                <c:pt idx="5">
                  <c:v>-17.94418934688078</c:v>
                </c:pt>
                <c:pt idx="6">
                  <c:v>-17.216368544264213</c:v>
                </c:pt>
                <c:pt idx="7">
                  <c:v>-16.534025398114874</c:v>
                </c:pt>
                <c:pt idx="8">
                  <c:v>-15.90463758225401</c:v>
                </c:pt>
                <c:pt idx="9">
                  <c:v>-15.327230531986578</c:v>
                </c:pt>
                <c:pt idx="10">
                  <c:v>-14.797847376412999</c:v>
                </c:pt>
                <c:pt idx="11">
                  <c:v>-14.311725369479682</c:v>
                </c:pt>
                <c:pt idx="12">
                  <c:v>-13.864163937202974</c:v>
                </c:pt>
                <c:pt idx="13">
                  <c:v>-13.450848873246763</c:v>
                </c:pt>
                <c:pt idx="14">
                  <c:v>-13.067945945573674</c:v>
                </c:pt>
                <c:pt idx="15">
                  <c:v>-12.712098032993625</c:v>
                </c:pt>
                <c:pt idx="16">
                  <c:v>-12.380384755028716</c:v>
                </c:pt>
                <c:pt idx="17">
                  <c:v>-12.070270687569471</c:v>
                </c:pt>
                <c:pt idx="18">
                  <c:v>-11.779553458051947</c:v>
                </c:pt>
                <c:pt idx="19">
                  <c:v>-11.506316248155974</c:v>
                </c:pt>
                <c:pt idx="20">
                  <c:v>-11.248886143660853</c:v>
                </c:pt>
                <c:pt idx="21">
                  <c:v>-11.00579839936683</c:v>
                </c:pt>
                <c:pt idx="22">
                  <c:v>-10.775766123202594</c:v>
                </c:pt>
                <c:pt idx="23">
                  <c:v>-10.557654697524956</c:v>
                </c:pt>
                <c:pt idx="24">
                  <c:v>-10.350460240736547</c:v>
                </c:pt>
                <c:pt idx="25">
                  <c:v>-10.153291469324582</c:v>
                </c:pt>
                <c:pt idx="26">
                  <c:v>-9.9653544019165796</c:v>
                </c:pt>
                <c:pt idx="27">
                  <c:v>-9.785939431125124</c:v>
                </c:pt>
                <c:pt idx="28">
                  <c:v>-9.6144103664863696</c:v>
                </c:pt>
                <c:pt idx="29">
                  <c:v>-9.4501951194088569</c:v>
                </c:pt>
                <c:pt idx="30">
                  <c:v>-9.2927777582942888</c:v>
                </c:pt>
                <c:pt idx="31">
                  <c:v>-9.1416917096524237</c:v>
                </c:pt>
                <c:pt idx="32">
                  <c:v>-8.9965139203339941</c:v>
                </c:pt>
                <c:pt idx="33">
                  <c:v>-8.8568598282448345</c:v>
                </c:pt>
                <c:pt idx="34">
                  <c:v>-8.7223790152854246</c:v>
                </c:pt>
                <c:pt idx="35">
                  <c:v>-8.5927514378335381</c:v>
                </c:pt>
                <c:pt idx="36">
                  <c:v>-8.4676841477400817</c:v>
                </c:pt>
                <c:pt idx="37">
                  <c:v>-8.3469084312730253</c:v>
                </c:pt>
                <c:pt idx="38">
                  <c:v>-8.2301773053207103</c:v>
                </c:pt>
                <c:pt idx="39">
                  <c:v>-8.1172633199407027</c:v>
                </c:pt>
                <c:pt idx="40">
                  <c:v>-8.0079566244066616</c:v>
                </c:pt>
                <c:pt idx="41">
                  <c:v>-7.9020632605812509</c:v>
                </c:pt>
                <c:pt idx="42">
                  <c:v>-7.7994036529839015</c:v>
                </c:pt>
                <c:pt idx="43">
                  <c:v>-7.6998112695347753</c:v>
                </c:pt>
                <c:pt idx="44">
                  <c:v>-7.6031314308081237</c:v>
                </c:pt>
                <c:pt idx="45">
                  <c:v>-7.5092202488539774</c:v>
                </c:pt>
                <c:pt idx="46">
                  <c:v>-7.4179436793572489</c:v>
                </c:pt>
                <c:pt idx="47">
                  <c:v>-7.3291766731864527</c:v>
                </c:pt>
                <c:pt idx="48">
                  <c:v>-7.2428024153137134</c:v>
                </c:pt>
                <c:pt idx="49">
                  <c:v>-7.1587116407226805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1D-4F16-9C18-7D808E689A70}"/>
            </c:ext>
          </c:extLst>
        </c:ser>
        <c:ser>
          <c:idx val="5"/>
          <c:order val="5"/>
          <c:tx>
            <c:strRef>
              <c:f>Theta!$B$50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Theta!$C$50:$AZ$50</c:f>
              <c:numCache>
                <c:formatCode>General</c:formatCode>
                <c:ptCount val="50"/>
                <c:pt idx="0">
                  <c:v>-25.760857213486961</c:v>
                </c:pt>
                <c:pt idx="1">
                  <c:v>-27.51780644102854</c:v>
                </c:pt>
                <c:pt idx="2">
                  <c:v>-25.766066533005393</c:v>
                </c:pt>
                <c:pt idx="3">
                  <c:v>-23.881721945707039</c:v>
                </c:pt>
                <c:pt idx="4">
                  <c:v>-22.236430906152794</c:v>
                </c:pt>
                <c:pt idx="5">
                  <c:v>-20.839734755578309</c:v>
                </c:pt>
                <c:pt idx="6">
                  <c:v>-19.650508771726095</c:v>
                </c:pt>
                <c:pt idx="7">
                  <c:v>-18.627715439039598</c:v>
                </c:pt>
                <c:pt idx="8">
                  <c:v>-17.738208937953065</c:v>
                </c:pt>
                <c:pt idx="9">
                  <c:v>-16.956407583705278</c:v>
                </c:pt>
                <c:pt idx="10">
                  <c:v>-16.262680831430362</c:v>
                </c:pt>
                <c:pt idx="11">
                  <c:v>-15.641859779293421</c:v>
                </c:pt>
                <c:pt idx="12">
                  <c:v>-15.082091023656167</c:v>
                </c:pt>
                <c:pt idx="13">
                  <c:v>-14.573997008105559</c:v>
                </c:pt>
                <c:pt idx="14">
                  <c:v>-14.110067696082009</c:v>
                </c:pt>
                <c:pt idx="15">
                  <c:v>-13.684218495265023</c:v>
                </c:pt>
                <c:pt idx="16">
                  <c:v>-13.291466158634185</c:v>
                </c:pt>
                <c:pt idx="17">
                  <c:v>-12.927688528608495</c:v>
                </c:pt>
                <c:pt idx="18">
                  <c:v>-12.589444320537932</c:v>
                </c:pt>
                <c:pt idx="19">
                  <c:v>-12.273836342607138</c:v>
                </c:pt>
                <c:pt idx="20">
                  <c:v>-11.978406496322346</c:v>
                </c:pt>
                <c:pt idx="21">
                  <c:v>-11.701054297520102</c:v>
                </c:pt>
                <c:pt idx="22">
                  <c:v>-11.439973001602054</c:v>
                </c:pt>
                <c:pt idx="23">
                  <c:v>-11.19359904832954</c:v>
                </c:pt>
                <c:pt idx="24">
                  <c:v>-10.960571688832554</c:v>
                </c:pt>
                <c:pt idx="25">
                  <c:v>-10.739700472848726</c:v>
                </c:pt>
                <c:pt idx="26">
                  <c:v>-10.529938859880156</c:v>
                </c:pt>
                <c:pt idx="27">
                  <c:v>-10.330362643086183</c:v>
                </c:pt>
                <c:pt idx="28">
                  <c:v>-10.140152186484436</c:v>
                </c:pt>
                <c:pt idx="29">
                  <c:v>-9.9585777068946832</c:v>
                </c:pt>
                <c:pt idx="30">
                  <c:v>-9.7849870046266254</c:v>
                </c:pt>
                <c:pt idx="31">
                  <c:v>-9.6187951770589759</c:v>
                </c:pt>
                <c:pt idx="32">
                  <c:v>-9.4594759482467996</c:v>
                </c:pt>
                <c:pt idx="33">
                  <c:v>-9.3065543235945665</c:v>
                </c:pt>
                <c:pt idx="34">
                  <c:v>-9.1596003372765065</c:v>
                </c:pt>
                <c:pt idx="35">
                  <c:v>-9.0182237057271468</c:v>
                </c:pt>
                <c:pt idx="36">
                  <c:v>-8.8820692362927556</c:v>
                </c:pt>
                <c:pt idx="37">
                  <c:v>-8.750812868348941</c:v>
                </c:pt>
                <c:pt idx="38">
                  <c:v>-8.6241582465856279</c:v>
                </c:pt>
                <c:pt idx="39">
                  <c:v>-8.5018337440435978</c:v>
                </c:pt>
                <c:pt idx="40">
                  <c:v>-8.383589866847359</c:v>
                </c:pt>
                <c:pt idx="41">
                  <c:v>-8.2691969841733712</c:v>
                </c:pt>
                <c:pt idx="42">
                  <c:v>-8.1584433364018683</c:v>
                </c:pt>
                <c:pt idx="43">
                  <c:v>-8.0511332820739216</c:v>
                </c:pt>
                <c:pt idx="44">
                  <c:v>-7.9470857505628985</c:v>
                </c:pt>
                <c:pt idx="45">
                  <c:v>-7.8461328725442581</c:v>
                </c:pt>
                <c:pt idx="46">
                  <c:v>-7.7481187646253558</c:v>
                </c:pt>
                <c:pt idx="47">
                  <c:v>-7.6528984480472362</c:v>
                </c:pt>
                <c:pt idx="48">
                  <c:v>-7.5603368843291188</c:v>
                </c:pt>
                <c:pt idx="49">
                  <c:v>-7.470308113200903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1D-4F16-9C18-7D808E689A70}"/>
            </c:ext>
          </c:extLst>
        </c:ser>
        <c:ser>
          <c:idx val="6"/>
          <c:order val="6"/>
          <c:tx>
            <c:strRef>
              <c:f>Theta!$B$51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Theta!$C$51:$AZ$51</c:f>
              <c:numCache>
                <c:formatCode>General</c:formatCode>
                <c:ptCount val="50"/>
                <c:pt idx="0">
                  <c:v>-42.659189010820356</c:v>
                </c:pt>
                <c:pt idx="1">
                  <c:v>-35.882057413076936</c:v>
                </c:pt>
                <c:pt idx="2">
                  <c:v>-31.026846982490408</c:v>
                </c:pt>
                <c:pt idx="3">
                  <c:v>-27.636031104300724</c:v>
                </c:pt>
                <c:pt idx="4">
                  <c:v>-25.125250421574712</c:v>
                </c:pt>
                <c:pt idx="5">
                  <c:v>-23.175487406837636</c:v>
                </c:pt>
                <c:pt idx="6">
                  <c:v>-21.606087695219326</c:v>
                </c:pt>
                <c:pt idx="7">
                  <c:v>-20.307719503413566</c:v>
                </c:pt>
                <c:pt idx="8">
                  <c:v>-19.210237984369421</c:v>
                </c:pt>
                <c:pt idx="9">
                  <c:v>-18.266429362128555</c:v>
                </c:pt>
                <c:pt idx="10">
                  <c:v>-17.443241869618522</c:v>
                </c:pt>
                <c:pt idx="11">
                  <c:v>-16.716773867799791</c:v>
                </c:pt>
                <c:pt idx="12">
                  <c:v>-16.069263859192208</c:v>
                </c:pt>
                <c:pt idx="13">
                  <c:v>-15.487204901129376</c:v>
                </c:pt>
                <c:pt idx="14">
                  <c:v>-14.960120009657974</c:v>
                </c:pt>
                <c:pt idx="15">
                  <c:v>-14.479741738689986</c:v>
                </c:pt>
                <c:pt idx="16">
                  <c:v>-14.039447493401147</c:v>
                </c:pt>
                <c:pt idx="17">
                  <c:v>-13.633861561151415</c:v>
                </c:pt>
                <c:pt idx="18">
                  <c:v>-13.258568723463835</c:v>
                </c:pt>
                <c:pt idx="19">
                  <c:v>-12.909904306994965</c:v>
                </c:pt>
                <c:pt idx="20">
                  <c:v>-12.584797698110449</c:v>
                </c:pt>
                <c:pt idx="21">
                  <c:v>-12.280653954379238</c:v>
                </c:pt>
                <c:pt idx="22">
                  <c:v>-11.995263022754314</c:v>
                </c:pt>
                <c:pt idx="23">
                  <c:v>-11.72672926947236</c:v>
                </c:pt>
                <c:pt idx="24">
                  <c:v>-11.473416162776065</c:v>
                </c:pt>
                <c:pt idx="25">
                  <c:v>-11.233902403840798</c:v>
                </c:pt>
                <c:pt idx="26">
                  <c:v>-11.00694680803017</c:v>
                </c:pt>
                <c:pt idx="27">
                  <c:v>-10.791459946272768</c:v>
                </c:pt>
                <c:pt idx="28">
                  <c:v>-10.586481060840926</c:v>
                </c:pt>
                <c:pt idx="29">
                  <c:v>-10.391159134160587</c:v>
                </c:pt>
                <c:pt idx="30">
                  <c:v>-10.204737255603614</c:v>
                </c:pt>
                <c:pt idx="31">
                  <c:v>-10.026539628071948</c:v>
                </c:pt>
                <c:pt idx="32">
                  <c:v>-9.8559607032171375</c:v>
                </c:pt>
                <c:pt idx="33">
                  <c:v>-9.6924560450313884</c:v>
                </c:pt>
                <c:pt idx="34">
                  <c:v>-9.5355346059447612</c:v>
                </c:pt>
                <c:pt idx="35">
                  <c:v>-9.384752164347022</c:v>
                </c:pt>
                <c:pt idx="36">
                  <c:v>-9.2397057225804158</c:v>
                </c:pt>
                <c:pt idx="37">
                  <c:v>-9.1000287035300662</c:v>
                </c:pt>
                <c:pt idx="38">
                  <c:v>-8.9653868146238995</c:v>
                </c:pt>
                <c:pt idx="39">
                  <c:v>-8.8354744723097092</c:v>
                </c:pt>
                <c:pt idx="40">
                  <c:v>-8.710011699372231</c:v>
                </c:pt>
                <c:pt idx="41">
                  <c:v>-8.5887414228952732</c:v>
                </c:pt>
                <c:pt idx="42">
                  <c:v>-8.4714271131030205</c:v>
                </c:pt>
                <c:pt idx="43">
                  <c:v>-8.3578507133728284</c:v>
                </c:pt>
                <c:pt idx="44">
                  <c:v>-8.2478108198937985</c:v>
                </c:pt>
                <c:pt idx="45">
                  <c:v>-8.1411210761334658</c:v>
                </c:pt>
                <c:pt idx="46">
                  <c:v>-8.0376087527680777</c:v>
                </c:pt>
                <c:pt idx="47">
                  <c:v>-7.9371134882632131</c:v>
                </c:pt>
                <c:pt idx="48">
                  <c:v>-7.8394861690459443</c:v>
                </c:pt>
                <c:pt idx="49">
                  <c:v>-7.7445879313329113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1D-4F16-9C18-7D808E689A70}"/>
            </c:ext>
          </c:extLst>
        </c:ser>
        <c:ser>
          <c:idx val="7"/>
          <c:order val="7"/>
          <c:tx>
            <c:strRef>
              <c:f>Theta!$B$52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Theta!$C$52:$AZ$52</c:f>
              <c:numCache>
                <c:formatCode>General</c:formatCode>
                <c:ptCount val="50"/>
                <c:pt idx="0">
                  <c:v>-56.988797295714171</c:v>
                </c:pt>
                <c:pt idx="1">
                  <c:v>-42.002232199350964</c:v>
                </c:pt>
                <c:pt idx="2">
                  <c:v>-34.754930584318473</c:v>
                </c:pt>
                <c:pt idx="3">
                  <c:v>-30.282971482866447</c:v>
                </c:pt>
                <c:pt idx="4">
                  <c:v>-27.170624072175883</c:v>
                </c:pt>
                <c:pt idx="5">
                  <c:v>-24.842484220414807</c:v>
                </c:pt>
                <c:pt idx="6">
                  <c:v>-23.01498345971493</c:v>
                </c:pt>
                <c:pt idx="7">
                  <c:v>-21.530103128320984</c:v>
                </c:pt>
                <c:pt idx="8">
                  <c:v>-20.291901895751916</c:v>
                </c:pt>
                <c:pt idx="9">
                  <c:v>-19.238311230412023</c:v>
                </c:pt>
                <c:pt idx="10">
                  <c:v>-18.32716079733666</c:v>
                </c:pt>
                <c:pt idx="11">
                  <c:v>-17.528660555547631</c:v>
                </c:pt>
                <c:pt idx="12">
                  <c:v>-16.821086556881475</c:v>
                </c:pt>
                <c:pt idx="13">
                  <c:v>-16.188172713460919</c:v>
                </c:pt>
                <c:pt idx="14">
                  <c:v>-15.617464610070501</c:v>
                </c:pt>
                <c:pt idx="15">
                  <c:v>-15.099242266540807</c:v>
                </c:pt>
                <c:pt idx="16">
                  <c:v>-14.625793150155747</c:v>
                </c:pt>
                <c:pt idx="17">
                  <c:v>-14.190908335734292</c:v>
                </c:pt>
                <c:pt idx="18">
                  <c:v>-13.789525124969931</c:v>
                </c:pt>
                <c:pt idx="19">
                  <c:v>-13.417468324076356</c:v>
                </c:pt>
                <c:pt idx="20">
                  <c:v>-13.071259522299954</c:v>
                </c:pt>
                <c:pt idx="21">
                  <c:v>-12.74797420639214</c:v>
                </c:pt>
                <c:pt idx="22">
                  <c:v>-12.445133145924315</c:v>
                </c:pt>
                <c:pt idx="23">
                  <c:v>-12.160618738128898</c:v>
                </c:pt>
                <c:pt idx="24">
                  <c:v>-11.892609803455848</c:v>
                </c:pt>
                <c:pt idx="25">
                  <c:v>-11.63953020633959</c:v>
                </c:pt>
                <c:pt idx="26">
                  <c:v>-11.400007964249276</c:v>
                </c:pt>
                <c:pt idx="27">
                  <c:v>-11.172842404350531</c:v>
                </c:pt>
                <c:pt idx="28">
                  <c:v>-10.956977559936339</c:v>
                </c:pt>
                <c:pt idx="29">
                  <c:v>-10.75148045183958</c:v>
                </c:pt>
                <c:pt idx="30">
                  <c:v>-10.555523228558826</c:v>
                </c:pt>
                <c:pt idx="31">
                  <c:v>-10.368368379877936</c:v>
                </c:pt>
                <c:pt idx="32">
                  <c:v>-10.189356417580287</c:v>
                </c:pt>
                <c:pt idx="33">
                  <c:v>-10.017895550878048</c:v>
                </c:pt>
                <c:pt idx="34">
                  <c:v>-9.8534529855824378</c:v>
                </c:pt>
                <c:pt idx="35">
                  <c:v>-9.6955475534573434</c:v>
                </c:pt>
                <c:pt idx="36">
                  <c:v>-9.5437434377975574</c:v>
                </c:pt>
                <c:pt idx="37">
                  <c:v>-9.3976448075172581</c:v>
                </c:pt>
                <c:pt idx="38">
                  <c:v>-9.2568912081832018</c:v>
                </c:pt>
                <c:pt idx="39">
                  <c:v>-9.1211535868822882</c:v>
                </c:pt>
                <c:pt idx="40">
                  <c:v>-8.990130850360373</c:v>
                </c:pt>
                <c:pt idx="41">
                  <c:v>-8.8635468738469054</c:v>
                </c:pt>
                <c:pt idx="42">
                  <c:v>-8.7411478923992547</c:v>
                </c:pt>
                <c:pt idx="43">
                  <c:v>-8.6227002182307402</c:v>
                </c:pt>
                <c:pt idx="44">
                  <c:v>-8.5079882369174271</c:v>
                </c:pt>
                <c:pt idx="45">
                  <c:v>-8.3968126430647221</c:v>
                </c:pt>
                <c:pt idx="46">
                  <c:v>-8.2889888823098463</c:v>
                </c:pt>
                <c:pt idx="47">
                  <c:v>-8.1843457717150088</c:v>
                </c:pt>
                <c:pt idx="48">
                  <c:v>-8.0827242748859671</c:v>
                </c:pt>
                <c:pt idx="49">
                  <c:v>-7.9839764117022733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1D-4F16-9C18-7D808E689A70}"/>
            </c:ext>
          </c:extLst>
        </c:ser>
        <c:ser>
          <c:idx val="8"/>
          <c:order val="8"/>
          <c:tx>
            <c:strRef>
              <c:f>Theta!$B$53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Theta!$C$53:$AZ$53</c:f>
              <c:numCache>
                <c:formatCode>General</c:formatCode>
                <c:ptCount val="50"/>
                <c:pt idx="0">
                  <c:v>-63.39630413768927</c:v>
                </c:pt>
                <c:pt idx="1">
                  <c:v>-44.845743285436221</c:v>
                </c:pt>
                <c:pt idx="2">
                  <c:v>-36.603212972555227</c:v>
                </c:pt>
                <c:pt idx="3">
                  <c:v>-31.675548818110336</c:v>
                </c:pt>
                <c:pt idx="4">
                  <c:v>-28.303213701530066</c:v>
                </c:pt>
                <c:pt idx="5">
                  <c:v>-25.806884060072665</c:v>
                </c:pt>
                <c:pt idx="6">
                  <c:v>-23.86135768484684</c:v>
                </c:pt>
                <c:pt idx="7">
                  <c:v>-22.288808038805563</c:v>
                </c:pt>
                <c:pt idx="8">
                  <c:v>-20.982699995118882</c:v>
                </c:pt>
                <c:pt idx="9">
                  <c:v>-19.874795275875112</c:v>
                </c:pt>
                <c:pt idx="10">
                  <c:v>-18.919089230156349</c:v>
                </c:pt>
                <c:pt idx="11">
                  <c:v>-18.083283727500348</c:v>
                </c:pt>
                <c:pt idx="12">
                  <c:v>-17.343944863620592</c:v>
                </c:pt>
                <c:pt idx="13">
                  <c:v>-16.683600183340044</c:v>
                </c:pt>
                <c:pt idx="14">
                  <c:v>-16.088919388282225</c:v>
                </c:pt>
                <c:pt idx="15">
                  <c:v>-15.549530820174439</c:v>
                </c:pt>
                <c:pt idx="16">
                  <c:v>-15.057226756954382</c:v>
                </c:pt>
                <c:pt idx="17">
                  <c:v>-14.605415029476507</c:v>
                </c:pt>
                <c:pt idx="18">
                  <c:v>-14.188731517456521</c:v>
                </c:pt>
                <c:pt idx="19">
                  <c:v>-13.802760554434039</c:v>
                </c:pt>
                <c:pt idx="20">
                  <c:v>-13.443829429286133</c:v>
                </c:pt>
                <c:pt idx="21">
                  <c:v>-13.108854836989757</c:v>
                </c:pt>
                <c:pt idx="22">
                  <c:v>-12.795226435345137</c:v>
                </c:pt>
                <c:pt idx="23">
                  <c:v>-12.500717352967783</c:v>
                </c:pt>
                <c:pt idx="24">
                  <c:v>-12.223414571556798</c:v>
                </c:pt>
                <c:pt idx="25">
                  <c:v>-11.961664166875455</c:v>
                </c:pt>
                <c:pt idx="26">
                  <c:v>-11.714027799114449</c:v>
                </c:pt>
                <c:pt idx="27">
                  <c:v>-11.479247818730913</c:v>
                </c:pt>
                <c:pt idx="28">
                  <c:v>-11.256219040863904</c:v>
                </c:pt>
                <c:pt idx="29">
                  <c:v>-11.043965732139476</c:v>
                </c:pt>
                <c:pt idx="30">
                  <c:v>-10.841622708749757</c:v>
                </c:pt>
                <c:pt idx="31">
                  <c:v>-10.648419704710784</c:v>
                </c:pt>
                <c:pt idx="32">
                  <c:v>-10.463668361746777</c:v>
                </c:pt>
                <c:pt idx="33">
                  <c:v>-10.286751336307949</c:v>
                </c:pt>
                <c:pt idx="34">
                  <c:v>-10.11711312805893</c:v>
                </c:pt>
                <c:pt idx="35">
                  <c:v>-9.9542523171360848</c:v>
                </c:pt>
                <c:pt idx="36">
                  <c:v>-9.7977149612512715</c:v>
                </c:pt>
                <c:pt idx="37">
                  <c:v>-9.6470889531428661</c:v>
                </c:pt>
                <c:pt idx="38">
                  <c:v>-9.5019991774613146</c:v>
                </c:pt>
                <c:pt idx="39">
                  <c:v>-9.3621033365154904</c:v>
                </c:pt>
                <c:pt idx="40">
                  <c:v>-9.2270883383194811</c:v>
                </c:pt>
                <c:pt idx="41">
                  <c:v>-9.0966671595066249</c:v>
                </c:pt>
                <c:pt idx="42">
                  <c:v>-8.970576111003659</c:v>
                </c:pt>
                <c:pt idx="43">
                  <c:v>-8.8485724467080065</c:v>
                </c:pt>
                <c:pt idx="44">
                  <c:v>-8.7304322654170985</c:v>
                </c:pt>
                <c:pt idx="45">
                  <c:v>-8.6159486644065009</c:v>
                </c:pt>
                <c:pt idx="46">
                  <c:v>-8.5049301097213377</c:v>
                </c:pt>
                <c:pt idx="47">
                  <c:v>-8.3971989937268319</c:v>
                </c:pt>
                <c:pt idx="48">
                  <c:v>-8.2925903549903985</c:v>
                </c:pt>
                <c:pt idx="49">
                  <c:v>-8.1909507393213747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1D-4F16-9C18-7D808E689A70}"/>
            </c:ext>
          </c:extLst>
        </c:ser>
        <c:ser>
          <c:idx val="9"/>
          <c:order val="9"/>
          <c:tx>
            <c:strRef>
              <c:f>Theta!$B$54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Theta!$C$54:$AZ$54</c:f>
              <c:numCache>
                <c:formatCode>General</c:formatCode>
                <c:ptCount val="50"/>
                <c:pt idx="0">
                  <c:v>-60.297148595007229</c:v>
                </c:pt>
                <c:pt idx="1">
                  <c:v>-44.256004503766889</c:v>
                </c:pt>
                <c:pt idx="2">
                  <c:v>-36.567083566374897</c:v>
                </c:pt>
                <c:pt idx="3">
                  <c:v>-31.83797598572885</c:v>
                </c:pt>
                <c:pt idx="4">
                  <c:v>-28.552294599414282</c:v>
                </c:pt>
                <c:pt idx="5">
                  <c:v>-26.09711907291674</c:v>
                </c:pt>
                <c:pt idx="6">
                  <c:v>-24.171313747800138</c:v>
                </c:pt>
                <c:pt idx="7">
                  <c:v>-22.607399948822071</c:v>
                </c:pt>
                <c:pt idx="8">
                  <c:v>-21.303832645306084</c:v>
                </c:pt>
                <c:pt idx="9">
                  <c:v>-20.194985180203791</c:v>
                </c:pt>
                <c:pt idx="10">
                  <c:v>-19.236305022200263</c:v>
                </c:pt>
                <c:pt idx="11">
                  <c:v>-18.396339140700768</c:v>
                </c:pt>
                <c:pt idx="12">
                  <c:v>-17.652162693585176</c:v>
                </c:pt>
                <c:pt idx="13">
                  <c:v>-16.986617774857127</c:v>
                </c:pt>
                <c:pt idx="14">
                  <c:v>-16.386571905591165</c:v>
                </c:pt>
                <c:pt idx="15">
                  <c:v>-15.841779108769648</c:v>
                </c:pt>
                <c:pt idx="16">
                  <c:v>-15.344111686669144</c:v>
                </c:pt>
                <c:pt idx="17">
                  <c:v>-14.88702803913182</c:v>
                </c:pt>
                <c:pt idx="18">
                  <c:v>-14.465195325552072</c:v>
                </c:pt>
                <c:pt idx="19">
                  <c:v>-14.074216387417575</c:v>
                </c:pt>
                <c:pt idx="20">
                  <c:v>-13.710428505360934</c:v>
                </c:pt>
                <c:pt idx="21">
                  <c:v>-13.370752671671081</c:v>
                </c:pt>
                <c:pt idx="22">
                  <c:v>-13.052579042216765</c:v>
                </c:pt>
                <c:pt idx="23">
                  <c:v>-12.753678730648165</c:v>
                </c:pt>
                <c:pt idx="24">
                  <c:v>-12.472135070623986</c:v>
                </c:pt>
                <c:pt idx="25">
                  <c:v>-12.206289462217581</c:v>
                </c:pt>
                <c:pt idx="26">
                  <c:v>-11.954698280095952</c:v>
                </c:pt>
                <c:pt idx="27">
                  <c:v>-11.716098267735001</c:v>
                </c:pt>
                <c:pt idx="28">
                  <c:v>-11.489378510189926</c:v>
                </c:pt>
                <c:pt idx="29">
                  <c:v>-11.27355755624448</c:v>
                </c:pt>
                <c:pt idx="30">
                  <c:v>-11.06776460751634</c:v>
                </c:pt>
                <c:pt idx="31">
                  <c:v>-10.871223946473163</c:v>
                </c:pt>
                <c:pt idx="32">
                  <c:v>-10.683241963986941</c:v>
                </c:pt>
                <c:pt idx="33">
                  <c:v>-10.5031962884336</c:v>
                </c:pt>
                <c:pt idx="34">
                  <c:v>-10.330526625302015</c:v>
                </c:pt>
                <c:pt idx="35">
                  <c:v>-10.164726997918931</c:v>
                </c:pt>
                <c:pt idx="36">
                  <c:v>-10.005339142739745</c:v>
                </c:pt>
                <c:pt idx="37">
                  <c:v>-9.8519468614105286</c:v>
                </c:pt>
                <c:pt idx="38">
                  <c:v>-9.7041711699135522</c:v>
                </c:pt>
                <c:pt idx="39">
                  <c:v>-9.5616661151017581</c:v>
                </c:pt>
                <c:pt idx="40">
                  <c:v>-9.4241151526905664</c:v>
                </c:pt>
                <c:pt idx="41">
                  <c:v>-9.2912279997207978</c:v>
                </c:pt>
                <c:pt idx="42">
                  <c:v>-9.1627378897001233</c:v>
                </c:pt>
                <c:pt idx="43">
                  <c:v>-9.0383991708842757</c:v>
                </c:pt>
                <c:pt idx="44">
                  <c:v>-8.9179851980948346</c:v>
                </c:pt>
                <c:pt idx="45">
                  <c:v>-8.8012864765672845</c:v>
                </c:pt>
                <c:pt idx="46">
                  <c:v>-8.6881090229536309</c:v>
                </c:pt>
                <c:pt idx="47">
                  <c:v>-8.5782729140586014</c:v>
                </c:pt>
                <c:pt idx="48">
                  <c:v>-8.471610998395871</c:v>
                </c:pt>
                <c:pt idx="49">
                  <c:v>-8.367967749390985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1D-4F16-9C18-7D808E689A70}"/>
            </c:ext>
          </c:extLst>
        </c:ser>
        <c:ser>
          <c:idx val="10"/>
          <c:order val="10"/>
          <c:tx>
            <c:strRef>
              <c:f>Theta!$B$55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Theta!$C$55:$AZ$55</c:f>
              <c:numCache>
                <c:formatCode>General</c:formatCode>
                <c:ptCount val="50"/>
                <c:pt idx="0">
                  <c:v>-50.142753606296324</c:v>
                </c:pt>
                <c:pt idx="1">
                  <c:v>-40.819060655402289</c:v>
                </c:pt>
                <c:pt idx="2">
                  <c:v>-34.910452571598853</c:v>
                </c:pt>
                <c:pt idx="3">
                  <c:v>-30.923294645965072</c:v>
                </c:pt>
                <c:pt idx="4">
                  <c:v>-28.019398712540877</c:v>
                </c:pt>
                <c:pt idx="5">
                  <c:v>-25.786367144633598</c:v>
                </c:pt>
                <c:pt idx="6">
                  <c:v>-24.000622822467601</c:v>
                </c:pt>
                <c:pt idx="7">
                  <c:v>-22.530120311050585</c:v>
                </c:pt>
                <c:pt idx="8">
                  <c:v>-21.29146528439157</c:v>
                </c:pt>
                <c:pt idx="9">
                  <c:v>-20.229142168719267</c:v>
                </c:pt>
                <c:pt idx="10">
                  <c:v>-19.304604615384939</c:v>
                </c:pt>
                <c:pt idx="11">
                  <c:v>-18.490153408458156</c:v>
                </c:pt>
                <c:pt idx="12">
                  <c:v>-17.765308571531641</c:v>
                </c:pt>
                <c:pt idx="13">
                  <c:v>-17.114559817089432</c:v>
                </c:pt>
                <c:pt idx="14">
                  <c:v>-16.525917337130625</c:v>
                </c:pt>
                <c:pt idx="15">
                  <c:v>-15.989947250682926</c:v>
                </c:pt>
                <c:pt idx="16">
                  <c:v>-15.499111311348734</c:v>
                </c:pt>
                <c:pt idx="17">
                  <c:v>-15.047303684995875</c:v>
                </c:pt>
                <c:pt idx="18">
                  <c:v>-14.629518905731945</c:v>
                </c:pt>
                <c:pt idx="19">
                  <c:v>-14.241609278967548</c:v>
                </c:pt>
                <c:pt idx="20">
                  <c:v>-13.880104595512325</c:v>
                </c:pt>
                <c:pt idx="21">
                  <c:v>-13.542076091696579</c:v>
                </c:pt>
                <c:pt idx="22">
                  <c:v>-13.225032373286775</c:v>
                </c:pt>
                <c:pt idx="23">
                  <c:v>-12.926838792551255</c:v>
                </c:pt>
                <c:pt idx="24">
                  <c:v>-12.645654278926534</c:v>
                </c:pt>
                <c:pt idx="25">
                  <c:v>-12.379881327173152</c:v>
                </c:pt>
                <c:pt idx="26">
                  <c:v>-12.128126022344405</c:v>
                </c:pt>
                <c:pt idx="27">
                  <c:v>-11.889165804749853</c:v>
                </c:pt>
                <c:pt idx="28">
                  <c:v>-11.661923263882665</c:v>
                </c:pt>
                <c:pt idx="29">
                  <c:v>-11.445444672340516</c:v>
                </c:pt>
                <c:pt idx="30">
                  <c:v>-11.23888227861074</c:v>
                </c:pt>
                <c:pt idx="31">
                  <c:v>-11.041479604687584</c:v>
                </c:pt>
                <c:pt idx="32">
                  <c:v>-10.852559163800564</c:v>
                </c:pt>
                <c:pt idx="33">
                  <c:v>-10.67151214101259</c:v>
                </c:pt>
                <c:pt idx="34">
                  <c:v>-10.497789676318185</c:v>
                </c:pt>
                <c:pt idx="35">
                  <c:v>-10.330895464123314</c:v>
                </c:pt>
                <c:pt idx="36">
                  <c:v>-10.170379440364316</c:v>
                </c:pt>
                <c:pt idx="37">
                  <c:v>-10.01583237319878</c:v>
                </c:pt>
                <c:pt idx="38">
                  <c:v>-9.8668812082382118</c:v>
                </c:pt>
                <c:pt idx="39">
                  <c:v>-9.7231850469576777</c:v>
                </c:pt>
                <c:pt idx="40">
                  <c:v>-9.5844316589024174</c:v>
                </c:pt>
                <c:pt idx="41">
                  <c:v>-9.4503344458890677</c:v>
                </c:pt>
                <c:pt idx="42">
                  <c:v>-9.3206297905338982</c:v>
                </c:pt>
                <c:pt idx="43">
                  <c:v>-9.1950747328692604</c:v>
                </c:pt>
                <c:pt idx="44">
                  <c:v>-9.0734449280986098</c:v>
                </c:pt>
                <c:pt idx="45">
                  <c:v>-8.9555328461277401</c:v>
                </c:pt>
                <c:pt idx="46">
                  <c:v>-8.8411461797368887</c:v>
                </c:pt>
                <c:pt idx="47">
                  <c:v>-8.7301064333915566</c:v>
                </c:pt>
                <c:pt idx="48">
                  <c:v>-8.6222476689401457</c:v>
                </c:pt>
                <c:pt idx="49">
                  <c:v>-8.5174153879798649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A1D-4F16-9C18-7D808E689A70}"/>
            </c:ext>
          </c:extLst>
        </c:ser>
        <c:ser>
          <c:idx val="11"/>
          <c:order val="11"/>
          <c:tx>
            <c:strRef>
              <c:f>Theta!$B$56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Theta!$C$56:$AZ$56</c:f>
              <c:numCache>
                <c:formatCode>General</c:formatCode>
                <c:ptCount val="50"/>
                <c:pt idx="0">
                  <c:v>-37.179611538369791</c:v>
                </c:pt>
                <c:pt idx="1">
                  <c:v>-35.524768873390926</c:v>
                </c:pt>
                <c:pt idx="2">
                  <c:v>-32.051987164436682</c:v>
                </c:pt>
                <c:pt idx="3">
                  <c:v>-29.160643035246085</c:v>
                </c:pt>
                <c:pt idx="4">
                  <c:v>-26.849218654464391</c:v>
                </c:pt>
                <c:pt idx="5">
                  <c:v>-24.974648625225402</c:v>
                </c:pt>
                <c:pt idx="6">
                  <c:v>-23.422855075226487</c:v>
                </c:pt>
                <c:pt idx="7">
                  <c:v>-22.11358020416958</c:v>
                </c:pt>
                <c:pt idx="8">
                  <c:v>-20.990671802522918</c:v>
                </c:pt>
                <c:pt idx="9">
                  <c:v>-20.014124086157256</c:v>
                </c:pt>
                <c:pt idx="10">
                  <c:v>-19.15477827558173</c:v>
                </c:pt>
                <c:pt idx="11">
                  <c:v>-18.390901400786429</c:v>
                </c:pt>
                <c:pt idx="12">
                  <c:v>-17.705959527074931</c:v>
                </c:pt>
                <c:pt idx="13">
                  <c:v>-17.087140296083405</c:v>
                </c:pt>
                <c:pt idx="14">
                  <c:v>-16.524350952909458</c:v>
                </c:pt>
                <c:pt idx="15">
                  <c:v>-16.009523961549462</c:v>
                </c:pt>
                <c:pt idx="16">
                  <c:v>-15.536125866613002</c:v>
                </c:pt>
                <c:pt idx="17">
                  <c:v>-15.098803306256048</c:v>
                </c:pt>
                <c:pt idx="18">
                  <c:v>-14.693123438880427</c:v>
                </c:pt>
                <c:pt idx="19">
                  <c:v>-14.315380581948105</c:v>
                </c:pt>
                <c:pt idx="20">
                  <c:v>-13.96245008889832</c:v>
                </c:pt>
                <c:pt idx="21">
                  <c:v>-13.631676464221403</c:v>
                </c:pt>
                <c:pt idx="22">
                  <c:v>-13.320786657810714</c:v>
                </c:pt>
                <c:pt idx="23">
                  <c:v>-13.02782212613654</c:v>
                </c:pt>
                <c:pt idx="24">
                  <c:v>-12.751085054606481</c:v>
                </c:pt>
                <c:pt idx="25">
                  <c:v>-12.48909538832423</c:v>
                </c:pt>
                <c:pt idx="26">
                  <c:v>-12.240556199809197</c:v>
                </c:pt>
                <c:pt idx="27">
                  <c:v>-12.004325550641733</c:v>
                </c:pt>
                <c:pt idx="28">
                  <c:v>-11.779393457699104</c:v>
                </c:pt>
                <c:pt idx="29">
                  <c:v>-11.564862906067749</c:v>
                </c:pt>
                <c:pt idx="30">
                  <c:v>-11.35993409547417</c:v>
                </c:pt>
                <c:pt idx="31">
                  <c:v>-11.163891289689605</c:v>
                </c:pt>
                <c:pt idx="32">
                  <c:v>-10.976091775922889</c:v>
                </c:pt>
                <c:pt idx="33">
                  <c:v>-10.795956545773718</c:v>
                </c:pt>
                <c:pt idx="34">
                  <c:v>-10.622962389467148</c:v>
                </c:pt>
                <c:pt idx="35">
                  <c:v>-10.456635157019448</c:v>
                </c:pt>
                <c:pt idx="36">
                  <c:v>-10.29654398819792</c:v>
                </c:pt>
                <c:pt idx="37">
                  <c:v>-10.142296350938341</c:v>
                </c:pt>
                <c:pt idx="38">
                  <c:v>-9.9935337577213215</c:v>
                </c:pt>
                <c:pt idx="39">
                  <c:v>-9.8499280531109576</c:v>
                </c:pt>
                <c:pt idx="40">
                  <c:v>-9.7111781846012253</c:v>
                </c:pt>
                <c:pt idx="41">
                  <c:v>-9.5770073841403622</c:v>
                </c:pt>
                <c:pt idx="42">
                  <c:v>-9.4471607000076538</c:v>
                </c:pt>
                <c:pt idx="43">
                  <c:v>-9.3214028287120225</c:v>
                </c:pt>
                <c:pt idx="44">
                  <c:v>-9.1995162047418244</c:v>
                </c:pt>
                <c:pt idx="45">
                  <c:v>-9.0812993126879107</c:v>
                </c:pt>
                <c:pt idx="46">
                  <c:v>-8.9665651917767413</c:v>
                </c:pt>
                <c:pt idx="47">
                  <c:v>-8.8551401074132041</c:v>
                </c:pt>
                <c:pt idx="48">
                  <c:v>-8.7468623681244839</c:v>
                </c:pt>
                <c:pt idx="49">
                  <c:v>-8.6415812694589675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A1D-4F16-9C18-7D808E689A70}"/>
            </c:ext>
          </c:extLst>
        </c:ser>
        <c:ser>
          <c:idx val="12"/>
          <c:order val="12"/>
          <c:tx>
            <c:strRef>
              <c:f>Theta!$B$57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Theta!$C$57:$AZ$57</c:f>
              <c:numCache>
                <c:formatCode>General</c:formatCode>
                <c:ptCount val="50"/>
                <c:pt idx="0">
                  <c:v>-25.031009743961881</c:v>
                </c:pt>
                <c:pt idx="1">
                  <c:v>-29.416601338679808</c:v>
                </c:pt>
                <c:pt idx="2">
                  <c:v>-28.454424288344111</c:v>
                </c:pt>
                <c:pt idx="3">
                  <c:v>-26.806299936344924</c:v>
                </c:pt>
                <c:pt idx="4">
                  <c:v>-25.203545355676024</c:v>
                </c:pt>
                <c:pt idx="5">
                  <c:v>-23.773232610165483</c:v>
                </c:pt>
                <c:pt idx="6">
                  <c:v>-22.519272061863322</c:v>
                </c:pt>
                <c:pt idx="7">
                  <c:v>-21.419816724109509</c:v>
                </c:pt>
                <c:pt idx="8">
                  <c:v>-20.450449852132799</c:v>
                </c:pt>
                <c:pt idx="9">
                  <c:v>-19.589681622437613</c:v>
                </c:pt>
                <c:pt idx="10">
                  <c:v>-18.819780985547371</c:v>
                </c:pt>
                <c:pt idx="11">
                  <c:v>-18.126395793008371</c:v>
                </c:pt>
                <c:pt idx="12">
                  <c:v>-17.497941157818328</c:v>
                </c:pt>
                <c:pt idx="13">
                  <c:v>-16.925029129455559</c:v>
                </c:pt>
                <c:pt idx="14">
                  <c:v>-16.400000599086255</c:v>
                </c:pt>
                <c:pt idx="15">
                  <c:v>-15.916557824985999</c:v>
                </c:pt>
                <c:pt idx="16">
                  <c:v>-15.469480401357789</c:v>
                </c:pt>
                <c:pt idx="17">
                  <c:v>-15.054406413619335</c:v>
                </c:pt>
                <c:pt idx="18">
                  <c:v>-14.667663361239585</c:v>
                </c:pt>
                <c:pt idx="19">
                  <c:v>-14.306136797937674</c:v>
                </c:pt>
                <c:pt idx="20">
                  <c:v>-13.967167560980085</c:v>
                </c:pt>
                <c:pt idx="21">
                  <c:v>-13.648470756736174</c:v>
                </c:pt>
                <c:pt idx="22">
                  <c:v>-13.34807140148485</c:v>
                </c:pt>
                <c:pt idx="23">
                  <c:v>-13.064252901169976</c:v>
                </c:pt>
                <c:pt idx="24">
                  <c:v>-12.795515501395581</c:v>
                </c:pt>
                <c:pt idx="25">
                  <c:v>-12.540542538004702</c:v>
                </c:pt>
                <c:pt idx="26">
                  <c:v>-12.298172836035805</c:v>
                </c:pt>
                <c:pt idx="27">
                  <c:v>-12.067377989870016</c:v>
                </c:pt>
                <c:pt idx="28">
                  <c:v>-11.847243545642444</c:v>
                </c:pt>
                <c:pt idx="29">
                  <c:v>-11.636953324259768</c:v>
                </c:pt>
                <c:pt idx="30">
                  <c:v>-11.435776288265139</c:v>
                </c:pt>
                <c:pt idx="31">
                  <c:v>-11.243055481817516</c:v>
                </c:pt>
                <c:pt idx="32">
                  <c:v>-11.058198670034947</c:v>
                </c:pt>
                <c:pt idx="33">
                  <c:v>-10.880670379087807</c:v>
                </c:pt>
                <c:pt idx="34">
                  <c:v>-10.709985097021901</c:v>
                </c:pt>
                <c:pt idx="35">
                  <c:v>-10.545701441275074</c:v>
                </c:pt>
                <c:pt idx="36">
                  <c:v>-10.387417135159254</c:v>
                </c:pt>
                <c:pt idx="37">
                  <c:v>-10.234764664417828</c:v>
                </c:pt>
                <c:pt idx="38">
                  <c:v>-10.087407508002123</c:v>
                </c:pt>
                <c:pt idx="39">
                  <c:v>-9.9450368557090769</c:v>
                </c:pt>
                <c:pt idx="40">
                  <c:v>-9.8073687402551872</c:v>
                </c:pt>
                <c:pt idx="41">
                  <c:v>-9.6741415234772887</c:v>
                </c:pt>
                <c:pt idx="42">
                  <c:v>-9.5451136862271149</c:v>
                </c:pt>
                <c:pt idx="43">
                  <c:v>-9.4200618796149946</c:v>
                </c:pt>
                <c:pt idx="44">
                  <c:v>-9.2987792019114028</c:v>
                </c:pt>
                <c:pt idx="45">
                  <c:v>-9.1810736709110472</c:v>
                </c:pt>
                <c:pt idx="46">
                  <c:v>-9.0667668661228102</c:v>
                </c:pt>
                <c:pt idx="47">
                  <c:v>-8.9556927189446895</c:v>
                </c:pt>
                <c:pt idx="48">
                  <c:v>-8.8476964321553329</c:v>
                </c:pt>
                <c:pt idx="49">
                  <c:v>-8.7426335127152388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A1D-4F16-9C18-7D808E689A70}"/>
            </c:ext>
          </c:extLst>
        </c:ser>
        <c:ser>
          <c:idx val="13"/>
          <c:order val="13"/>
          <c:tx>
            <c:strRef>
              <c:f>Theta!$B$58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Theta!$C$58:$AZ$58</c:f>
              <c:numCache>
                <c:formatCode>General</c:formatCode>
                <c:ptCount val="50"/>
                <c:pt idx="0">
                  <c:v>-15.590626428252394</c:v>
                </c:pt>
                <c:pt idx="1">
                  <c:v>-23.350865930149737</c:v>
                </c:pt>
                <c:pt idx="2">
                  <c:v>-24.541966166284343</c:v>
                </c:pt>
                <c:pt idx="3">
                  <c:v>-24.106221782218732</c:v>
                </c:pt>
                <c:pt idx="4">
                  <c:v>-23.241177866799891</c:v>
                </c:pt>
                <c:pt idx="5">
                  <c:v>-22.29261162849717</c:v>
                </c:pt>
                <c:pt idx="6">
                  <c:v>-21.37105221109379</c:v>
                </c:pt>
                <c:pt idx="7">
                  <c:v>-20.510973091767799</c:v>
                </c:pt>
                <c:pt idx="8">
                  <c:v>-19.719919071065551</c:v>
                </c:pt>
                <c:pt idx="9">
                  <c:v>-18.995646941140482</c:v>
                </c:pt>
                <c:pt idx="10">
                  <c:v>-18.332595374331166</c:v>
                </c:pt>
                <c:pt idx="11">
                  <c:v>-17.724425364021762</c:v>
                </c:pt>
                <c:pt idx="12">
                  <c:v>-17.165010906361335</c:v>
                </c:pt>
                <c:pt idx="13">
                  <c:v>-16.648791994805467</c:v>
                </c:pt>
                <c:pt idx="14">
                  <c:v>-16.170861346350339</c:v>
                </c:pt>
                <c:pt idx="15">
                  <c:v>-15.726942579192396</c:v>
                </c:pt>
                <c:pt idx="16">
                  <c:v>-15.313328389546093</c:v>
                </c:pt>
                <c:pt idx="17">
                  <c:v>-14.92680854099507</c:v>
                </c:pt>
                <c:pt idx="18">
                  <c:v>-14.564600199920898</c:v>
                </c:pt>
                <c:pt idx="19">
                  <c:v>-14.224285350952288</c:v>
                </c:pt>
                <c:pt idx="20">
                  <c:v>-13.903756533912599</c:v>
                </c:pt>
                <c:pt idx="21">
                  <c:v>-13.60117064175374</c:v>
                </c:pt>
                <c:pt idx="22">
                  <c:v>-13.314909940703757</c:v>
                </c:pt>
                <c:pt idx="23">
                  <c:v>-13.043549318377602</c:v>
                </c:pt>
                <c:pt idx="24">
                  <c:v>-12.785828795177865</c:v>
                </c:pt>
                <c:pt idx="25">
                  <c:v>-12.540630436247614</c:v>
                </c:pt>
                <c:pt idx="26">
                  <c:v>-12.306958923058673</c:v>
                </c:pt>
                <c:pt idx="27">
                  <c:v>-12.083925162130527</c:v>
                </c:pt>
                <c:pt idx="28">
                  <c:v>-11.870732414150437</c:v>
                </c:pt>
                <c:pt idx="29">
                  <c:v>-11.666664517318097</c:v>
                </c:pt>
                <c:pt idx="30">
                  <c:v>-11.471075854464759</c:v>
                </c:pt>
                <c:pt idx="31">
                  <c:v>-11.283382775989121</c:v>
                </c:pt>
                <c:pt idx="32">
                  <c:v>-11.103056241842586</c:v>
                </c:pt>
                <c:pt idx="33">
                  <c:v>-10.92961548757123</c:v>
                </c:pt>
                <c:pt idx="34">
                  <c:v>-10.762622553463615</c:v>
                </c:pt>
                <c:pt idx="35">
                  <c:v>-10.601677543597267</c:v>
                </c:pt>
                <c:pt idx="36">
                  <c:v>-10.446414504213447</c:v>
                </c:pt>
                <c:pt idx="37">
                  <c:v>-10.296497829354273</c:v>
                </c:pt>
                <c:pt idx="38">
                  <c:v>-10.151619116858223</c:v>
                </c:pt>
                <c:pt idx="39">
                  <c:v>-10.01149441026657</c:v>
                </c:pt>
                <c:pt idx="40">
                  <c:v>-9.8758617724565596</c:v>
                </c:pt>
                <c:pt idx="41">
                  <c:v>-9.7444791452990476</c:v>
                </c:pt>
                <c:pt idx="42">
                  <c:v>-9.6171224566696338</c:v>
                </c:pt>
                <c:pt idx="43">
                  <c:v>-9.4935839419893515</c:v>
                </c:pt>
                <c:pt idx="44">
                  <c:v>-9.3736706523487037</c:v>
                </c:pt>
                <c:pt idx="45">
                  <c:v>-9.2572031253501876</c:v>
                </c:pt>
                <c:pt idx="46">
                  <c:v>-9.1440141982305043</c:v>
                </c:pt>
                <c:pt idx="47">
                  <c:v>-9.0339479457077498</c:v>
                </c:pt>
                <c:pt idx="48">
                  <c:v>-8.9268587274346203</c:v>
                </c:pt>
                <c:pt idx="49">
                  <c:v>-8.8226103320011529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A1D-4F16-9C18-7D808E689A70}"/>
            </c:ext>
          </c:extLst>
        </c:ser>
        <c:ser>
          <c:idx val="14"/>
          <c:order val="14"/>
          <c:tx>
            <c:strRef>
              <c:f>Theta!$B$59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Theta!$C$59:$AZ$59</c:f>
              <c:numCache>
                <c:formatCode>General</c:formatCode>
                <c:ptCount val="50"/>
                <c:pt idx="0">
                  <c:v>-9.1887743747451296</c:v>
                </c:pt>
                <c:pt idx="1">
                  <c:v>-17.894676280314222</c:v>
                </c:pt>
                <c:pt idx="2">
                  <c:v>-20.653164577005441</c:v>
                </c:pt>
                <c:pt idx="3">
                  <c:v>-21.272314050199732</c:v>
                </c:pt>
                <c:pt idx="4">
                  <c:v>-21.104545901392527</c:v>
                </c:pt>
                <c:pt idx="5">
                  <c:v>-20.634273550891546</c:v>
                </c:pt>
                <c:pt idx="6">
                  <c:v>-20.053886639686645</c:v>
                </c:pt>
                <c:pt idx="7">
                  <c:v>-19.445565881742905</c:v>
                </c:pt>
                <c:pt idx="8">
                  <c:v>-18.845638847862453</c:v>
                </c:pt>
                <c:pt idx="9">
                  <c:v>-18.269944293028711</c:v>
                </c:pt>
                <c:pt idx="10">
                  <c:v>-17.724717561123061</c:v>
                </c:pt>
                <c:pt idx="11">
                  <c:v>-17.211577575410026</c:v>
                </c:pt>
                <c:pt idx="12">
                  <c:v>-16.729925850254141</c:v>
                </c:pt>
                <c:pt idx="13">
                  <c:v>-16.278140883355501</c:v>
                </c:pt>
                <c:pt idx="14">
                  <c:v>-15.854185016188429</c:v>
                </c:pt>
                <c:pt idx="15">
                  <c:v>-15.455914169926055</c:v>
                </c:pt>
                <c:pt idx="16">
                  <c:v>-15.0812332556314</c:v>
                </c:pt>
                <c:pt idx="17">
                  <c:v>-14.728170029668988</c:v>
                </c:pt>
                <c:pt idx="18">
                  <c:v>-14.394905552958663</c:v>
                </c:pt>
                <c:pt idx="19">
                  <c:v>-14.079781705868829</c:v>
                </c:pt>
                <c:pt idx="20">
                  <c:v>-13.781296888421087</c:v>
                </c:pt>
                <c:pt idx="21">
                  <c:v>-13.498096010827467</c:v>
                </c:pt>
                <c:pt idx="22">
                  <c:v>-13.228958120178136</c:v>
                </c:pt>
                <c:pt idx="23">
                  <c:v>-12.972783473034063</c:v>
                </c:pt>
                <c:pt idx="24">
                  <c:v>-12.728581001348065</c:v>
                </c:pt>
                <c:pt idx="25">
                  <c:v>-12.495456634000112</c:v>
                </c:pt>
                <c:pt idx="26">
                  <c:v>-12.272602664925712</c:v>
                </c:pt>
                <c:pt idx="27">
                  <c:v>-12.059288209760899</c:v>
                </c:pt>
                <c:pt idx="28">
                  <c:v>-11.854850714037429</c:v>
                </c:pt>
                <c:pt idx="29">
                  <c:v>-11.658688437268248</c:v>
                </c:pt>
                <c:pt idx="30">
                  <c:v>-11.470253821378344</c:v>
                </c:pt>
                <c:pt idx="31">
                  <c:v>-11.289047648721221</c:v>
                </c:pt>
                <c:pt idx="32">
                  <c:v>-11.114613898461862</c:v>
                </c:pt>
                <c:pt idx="33">
                  <c:v>-10.946535216967959</c:v>
                </c:pt>
                <c:pt idx="34">
                  <c:v>-10.784428926062706</c:v>
                </c:pt>
                <c:pt idx="35">
                  <c:v>-10.627943501451165</c:v>
                </c:pt>
                <c:pt idx="36">
                  <c:v>-10.476755461747068</c:v>
                </c:pt>
                <c:pt idx="37">
                  <c:v>-10.330566616007383</c:v>
                </c:pt>
                <c:pt idx="38">
                  <c:v>-10.189101624411457</c:v>
                </c:pt>
                <c:pt idx="39">
                  <c:v>-10.052105832680864</c:v>
                </c:pt>
                <c:pt idx="40">
                  <c:v>-9.9193433460593479</c:v>
                </c:pt>
                <c:pt idx="41">
                  <c:v>-9.7905953132186987</c:v>
                </c:pt>
                <c:pt idx="42">
                  <c:v>-9.665658394396079</c:v>
                </c:pt>
                <c:pt idx="43">
                  <c:v>-9.5443433914722018</c:v>
                </c:pt>
                <c:pt idx="44">
                  <c:v>-9.4264740206359434</c:v>
                </c:pt>
                <c:pt idx="45">
                  <c:v>-9.3118858108113471</c:v>
                </c:pt>
                <c:pt idx="46">
                  <c:v>-9.200425113203563</c:v>
                </c:pt>
                <c:pt idx="47">
                  <c:v>-9.0919482091995807</c:v>
                </c:pt>
                <c:pt idx="48">
                  <c:v>-8.9863205054806716</c:v>
                </c:pt>
                <c:pt idx="49">
                  <c:v>-8.8834158066028728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A1D-4F16-9C18-7D808E689A70}"/>
            </c:ext>
          </c:extLst>
        </c:ser>
        <c:ser>
          <c:idx val="15"/>
          <c:order val="15"/>
          <c:tx>
            <c:strRef>
              <c:f>Theta!$B$60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Theta!$C$60:$AZ$60</c:f>
              <c:numCache>
                <c:formatCode>General</c:formatCode>
                <c:ptCount val="50"/>
                <c:pt idx="0">
                  <c:v>-5.2890439377254577</c:v>
                </c:pt>
                <c:pt idx="1">
                  <c:v>-13.332205374942728</c:v>
                </c:pt>
                <c:pt idx="2">
                  <c:v>-17.024967162006188</c:v>
                </c:pt>
                <c:pt idx="3">
                  <c:v>-18.471121643499174</c:v>
                </c:pt>
                <c:pt idx="4">
                  <c:v>-18.912408009557282</c:v>
                </c:pt>
                <c:pt idx="5">
                  <c:v>-18.885878161990789</c:v>
                </c:pt>
                <c:pt idx="6">
                  <c:v>-18.634672880701537</c:v>
                </c:pt>
                <c:pt idx="7">
                  <c:v>-18.276137797145815</c:v>
                </c:pt>
                <c:pt idx="8">
                  <c:v>-17.869890472751703</c:v>
                </c:pt>
                <c:pt idx="9">
                  <c:v>-17.447299887840931</c:v>
                </c:pt>
                <c:pt idx="10">
                  <c:v>-17.025166827316227</c:v>
                </c:pt>
                <c:pt idx="11">
                  <c:v>-16.612464114094333</c:v>
                </c:pt>
                <c:pt idx="12">
                  <c:v>-16.21382736124907</c:v>
                </c:pt>
                <c:pt idx="13">
                  <c:v>-15.831438459246291</c:v>
                </c:pt>
                <c:pt idx="14">
                  <c:v>-15.466076210869891</c:v>
                </c:pt>
                <c:pt idx="15">
                  <c:v>-15.117718098288195</c:v>
                </c:pt>
                <c:pt idx="16">
                  <c:v>-14.785891984201413</c:v>
                </c:pt>
                <c:pt idx="17">
                  <c:v>-14.469884575995174</c:v>
                </c:pt>
                <c:pt idx="18">
                  <c:v>-14.168865930641164</c:v>
                </c:pt>
                <c:pt idx="19">
                  <c:v>-13.881963815425213</c:v>
                </c:pt>
                <c:pt idx="20">
                  <c:v>-13.608307679095178</c:v>
                </c:pt>
                <c:pt idx="21">
                  <c:v>-13.347054011372595</c:v>
                </c:pt>
                <c:pt idx="22">
                  <c:v>-13.097400234942182</c:v>
                </c:pt>
                <c:pt idx="23">
                  <c:v>-12.858591525510109</c:v>
                </c:pt>
                <c:pt idx="24">
                  <c:v>-12.629923295302648</c:v>
                </c:pt>
                <c:pt idx="25">
                  <c:v>-12.410741056550959</c:v>
                </c:pt>
                <c:pt idx="26">
                  <c:v>-12.20043874774229</c:v>
                </c:pt>
                <c:pt idx="27">
                  <c:v>-11.998456206655939</c:v>
                </c:pt>
                <c:pt idx="28">
                  <c:v>-11.804276220970079</c:v>
                </c:pt>
                <c:pt idx="29">
                  <c:v>-11.617421425276268</c:v>
                </c:pt>
                <c:pt idx="30">
                  <c:v>-11.437451209287607</c:v>
                </c:pt>
                <c:pt idx="31">
                  <c:v>-11.263958735049146</c:v>
                </c:pt>
                <c:pt idx="32">
                  <c:v>-11.096568117907164</c:v>
                </c:pt>
                <c:pt idx="33">
                  <c:v>-10.934931798477079</c:v>
                </c:pt>
                <c:pt idx="34">
                  <c:v>-10.778728115462652</c:v>
                </c:pt>
                <c:pt idx="35">
                  <c:v>-10.62765907841157</c:v>
                </c:pt>
                <c:pt idx="36">
                  <c:v>-10.481448333049137</c:v>
                </c:pt>
                <c:pt idx="37">
                  <c:v>-10.339839308203356</c:v>
                </c:pt>
                <c:pt idx="38">
                  <c:v>-10.202593531525398</c:v>
                </c:pt>
                <c:pt idx="39">
                  <c:v>-10.069489100560011</c:v>
                </c:pt>
                <c:pt idx="40">
                  <c:v>-9.9403192957948416</c:v>
                </c:pt>
                <c:pt idx="41">
                  <c:v>-9.8148913228279362</c:v>
                </c:pt>
                <c:pt idx="42">
                  <c:v>-9.693025171549067</c:v>
                </c:pt>
                <c:pt idx="43">
                  <c:v>-9.5745525811100674</c:v>
                </c:pt>
                <c:pt idx="44">
                  <c:v>-9.4593161003826225</c:v>
                </c:pt>
                <c:pt idx="45">
                  <c:v>-9.3471682345189411</c:v>
                </c:pt>
                <c:pt idx="46">
                  <c:v>-9.2379706691118653</c:v>
                </c:pt>
                <c:pt idx="47">
                  <c:v>-9.1315935642788695</c:v>
                </c:pt>
                <c:pt idx="48">
                  <c:v>-9.0279149117605026</c:v>
                </c:pt>
                <c:pt idx="49">
                  <c:v>-8.9268199488255018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A1D-4F16-9C18-7D808E689A70}"/>
            </c:ext>
          </c:extLst>
        </c:ser>
        <c:ser>
          <c:idx val="16"/>
          <c:order val="16"/>
          <c:tx>
            <c:strRef>
              <c:f>Theta!$B$61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Theta!$C$44:$AZ$44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Theta!$C$61:$AZ$61</c:f>
              <c:numCache>
                <c:formatCode>General</c:formatCode>
                <c:ptCount val="50"/>
                <c:pt idx="0">
                  <c:v>-3.1137977089811937</c:v>
                </c:pt>
                <c:pt idx="1">
                  <c:v>-9.7292738362349063</c:v>
                </c:pt>
                <c:pt idx="2">
                  <c:v>-13.798421926487569</c:v>
                </c:pt>
                <c:pt idx="3">
                  <c:v>-15.821932820036531</c:v>
                </c:pt>
                <c:pt idx="4">
                  <c:v>-16.75732723017083</c:v>
                </c:pt>
                <c:pt idx="5">
                  <c:v>-17.119153950835486</c:v>
                </c:pt>
                <c:pt idx="6">
                  <c:v>-17.169894868486839</c:v>
                </c:pt>
                <c:pt idx="7">
                  <c:v>-17.04802510814012</c:v>
                </c:pt>
                <c:pt idx="8">
                  <c:v>-16.829733710768746</c:v>
                </c:pt>
                <c:pt idx="9">
                  <c:v>-16.558511439780549</c:v>
                </c:pt>
                <c:pt idx="10">
                  <c:v>-16.259912854994347</c:v>
                </c:pt>
                <c:pt idx="11">
                  <c:v>-15.949266238010781</c:v>
                </c:pt>
                <c:pt idx="12">
                  <c:v>-15.635876096492584</c:v>
                </c:pt>
                <c:pt idx="13">
                  <c:v>-15.325402014990074</c:v>
                </c:pt>
                <c:pt idx="14">
                  <c:v>-15.021250010114995</c:v>
                </c:pt>
                <c:pt idx="15">
                  <c:v>-14.725409501687867</c:v>
                </c:pt>
                <c:pt idx="16">
                  <c:v>-14.438969000463024</c:v>
                </c:pt>
                <c:pt idx="17">
                  <c:v>-14.162440340450717</c:v>
                </c:pt>
                <c:pt idx="18">
                  <c:v>-13.895966004276337</c:v>
                </c:pt>
                <c:pt idx="19">
                  <c:v>-13.639453524384995</c:v>
                </c:pt>
                <c:pt idx="20">
                  <c:v>-13.392663542696521</c:v>
                </c:pt>
                <c:pt idx="21">
                  <c:v>-13.15526794325468</c:v>
                </c:pt>
                <c:pt idx="22">
                  <c:v>-12.92688838911973</c:v>
                </c:pt>
                <c:pt idx="23">
                  <c:v>-12.707121877350209</c:v>
                </c:pt>
                <c:pt idx="24">
                  <c:v>-12.495557610462907</c:v>
                </c:pt>
                <c:pt idx="25">
                  <c:v>-12.291788015448429</c:v>
                </c:pt>
                <c:pt idx="26">
                  <c:v>-12.095415796988318</c:v>
                </c:pt>
                <c:pt idx="27">
                  <c:v>-11.906058295033837</c:v>
                </c:pt>
                <c:pt idx="28">
                  <c:v>-11.723350009359041</c:v>
                </c:pt>
                <c:pt idx="29">
                  <c:v>-11.546943881192634</c:v>
                </c:pt>
                <c:pt idx="30">
                  <c:v>-11.376511737953306</c:v>
                </c:pt>
                <c:pt idx="31">
                  <c:v>-11.211744181636522</c:v>
                </c:pt>
                <c:pt idx="32">
                  <c:v>-11.052350115187325</c:v>
                </c:pt>
                <c:pt idx="33">
                  <c:v>-10.898056041549461</c:v>
                </c:pt>
                <c:pt idx="34">
                  <c:v>-10.74860522857837</c:v>
                </c:pt>
                <c:pt idx="35">
                  <c:v>-10.603756803991503</c:v>
                </c:pt>
                <c:pt idx="36">
                  <c:v>-10.463284824175362</c:v>
                </c:pt>
                <c:pt idx="37">
                  <c:v>-10.326977346358611</c:v>
                </c:pt>
                <c:pt idx="38">
                  <c:v>-10.194635523592744</c:v>
                </c:pt>
                <c:pt idx="39">
                  <c:v>-10.066072734905676</c:v>
                </c:pt>
                <c:pt idx="40">
                  <c:v>-9.9411137580356552</c:v>
                </c:pt>
                <c:pt idx="41">
                  <c:v>-9.8195939886990562</c:v>
                </c:pt>
                <c:pt idx="42">
                  <c:v>-9.7013587079622958</c:v>
                </c:pt>
                <c:pt idx="43">
                  <c:v>-9.5862623976665287</c:v>
                </c:pt>
                <c:pt idx="44">
                  <c:v>-9.4741681027752289</c:v>
                </c:pt>
                <c:pt idx="45">
                  <c:v>-9.3649468388211261</c:v>
                </c:pt>
                <c:pt idx="46">
                  <c:v>-9.2584770422082361</c:v>
                </c:pt>
                <c:pt idx="47">
                  <c:v>-9.1546440608955262</c:v>
                </c:pt>
                <c:pt idx="48">
                  <c:v>-9.0533396828929291</c:v>
                </c:pt>
                <c:pt idx="49">
                  <c:v>-8.954461699996104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A1D-4F16-9C18-7D808E689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62794784"/>
        <c:axId val="1062788064"/>
        <c:axId val="950475824"/>
      </c:surface3DChart>
      <c:catAx>
        <c:axId val="1062794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788064"/>
        <c:crosses val="autoZero"/>
        <c:auto val="1"/>
        <c:lblAlgn val="ctr"/>
        <c:lblOffset val="100"/>
        <c:noMultiLvlLbl val="0"/>
      </c:catAx>
      <c:valAx>
        <c:axId val="106278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794784"/>
        <c:crosses val="autoZero"/>
        <c:crossBetween val="midCat"/>
      </c:valAx>
      <c:serAx>
        <c:axId val="9504758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78806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Vega,</a:t>
            </a:r>
            <a:r>
              <a:rPr lang="en-US" baseline="0"/>
              <a:t> vol=10%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5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Vega!$B$3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Vega!$C$3:$AZ$3</c:f>
              <c:numCache>
                <c:formatCode>General</c:formatCode>
                <c:ptCount val="50"/>
                <c:pt idx="0">
                  <c:v>3.5345400505313543E-56</c:v>
                </c:pt>
                <c:pt idx="1">
                  <c:v>1.0711882489098271E-27</c:v>
                </c:pt>
                <c:pt idx="2">
                  <c:v>3.6413157535063631E-18</c:v>
                </c:pt>
                <c:pt idx="3">
                  <c:v>2.2138942538625636E-13</c:v>
                </c:pt>
                <c:pt idx="4">
                  <c:v>1.6837357993007972E-10</c:v>
                </c:pt>
                <c:pt idx="5">
                  <c:v>1.4260773627185529E-8</c:v>
                </c:pt>
                <c:pt idx="6">
                  <c:v>3.4375360039163328E-7</c:v>
                </c:pt>
                <c:pt idx="7">
                  <c:v>3.7721952577593393E-6</c:v>
                </c:pt>
                <c:pt idx="8">
                  <c:v>2.4471925152833624E-5</c:v>
                </c:pt>
                <c:pt idx="9">
                  <c:v>1.0981137573304781E-4</c:v>
                </c:pt>
                <c:pt idx="10">
                  <c:v>3.7668072126906602E-4</c:v>
                </c:pt>
                <c:pt idx="11">
                  <c:v>1.0559524012726841E-3</c:v>
                </c:pt>
                <c:pt idx="12">
                  <c:v>2.533735381146692E-3</c:v>
                </c:pt>
                <c:pt idx="13">
                  <c:v>5.3789839988035914E-3</c:v>
                </c:pt>
                <c:pt idx="14">
                  <c:v>1.0351830539978344E-2</c:v>
                </c:pt>
                <c:pt idx="15">
                  <c:v>1.8392417715814631E-2</c:v>
                </c:pt>
                <c:pt idx="16">
                  <c:v>3.0593883627805806E-2</c:v>
                </c:pt>
                <c:pt idx="17">
                  <c:v>4.8164944690727185E-2</c:v>
                </c:pt>
                <c:pt idx="18">
                  <c:v>7.2387629846212637E-2</c:v>
                </c:pt>
                <c:pt idx="19">
                  <c:v>0.10457482945948265</c:v>
                </c:pt>
                <c:pt idx="20">
                  <c:v>0.1460310368668967</c:v>
                </c:pt>
                <c:pt idx="21">
                  <c:v>0.19801837616203033</c:v>
                </c:pt>
                <c:pt idx="22">
                  <c:v>0.26172893026267446</c:v>
                </c:pt>
                <c:pt idx="23">
                  <c:v>0.3382635773263587</c:v>
                </c:pt>
                <c:pt idx="24">
                  <c:v>0.42861700231113781</c:v>
                </c:pt>
                <c:pt idx="25">
                  <c:v>0.53366822948548565</c:v>
                </c:pt>
                <c:pt idx="26">
                  <c:v>0.65417586672553374</c:v>
                </c:pt>
                <c:pt idx="27">
                  <c:v>0.7907772128173437</c:v>
                </c:pt>
                <c:pt idx="28">
                  <c:v>0.94399041311091147</c:v>
                </c:pt>
                <c:pt idx="29">
                  <c:v>1.1142189253647152</c:v>
                </c:pt>
                <c:pt idx="30">
                  <c:v>1.3017576543094442</c:v>
                </c:pt>
                <c:pt idx="31">
                  <c:v>1.5068002156379492</c:v>
                </c:pt>
                <c:pt idx="32">
                  <c:v>1.729446888698172</c:v>
                </c:pt>
                <c:pt idx="33">
                  <c:v>1.9697129070248935</c:v>
                </c:pt>
                <c:pt idx="34">
                  <c:v>2.2275368146000707</c:v>
                </c:pt>
                <c:pt idx="35">
                  <c:v>2.5027886827280579</c:v>
                </c:pt>
                <c:pt idx="36">
                  <c:v>2.7952780380507138</c:v>
                </c:pt>
                <c:pt idx="37">
                  <c:v>3.1047613974873522</c:v>
                </c:pt>
                <c:pt idx="38">
                  <c:v>3.4309493420110035</c:v>
                </c:pt>
                <c:pt idx="39">
                  <c:v>3.7735130894815958</c:v>
                </c:pt>
                <c:pt idx="40">
                  <c:v>4.1320905485187893</c:v>
                </c:pt>
                <c:pt idx="41">
                  <c:v>4.5062918517724926</c:v>
                </c:pt>
                <c:pt idx="42">
                  <c:v>4.8957043789614625</c:v>
                </c:pt>
                <c:pt idx="43">
                  <c:v>5.2998972885783813</c:v>
                </c:pt>
                <c:pt idx="44">
                  <c:v>5.7184255829416593</c:v>
                </c:pt>
                <c:pt idx="45">
                  <c:v>6.1508337349242321</c:v>
                </c:pt>
                <c:pt idx="46">
                  <c:v>6.5966589067051205</c:v>
                </c:pt>
                <c:pt idx="47">
                  <c:v>7.0554337916766299</c:v>
                </c:pt>
                <c:pt idx="48">
                  <c:v>7.5266891105192117</c:v>
                </c:pt>
                <c:pt idx="49">
                  <c:v>8.009955791682934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5-4C10-AE47-A0BA131557B2}"/>
            </c:ext>
          </c:extLst>
        </c:ser>
        <c:ser>
          <c:idx val="1"/>
          <c:order val="1"/>
          <c:tx>
            <c:strRef>
              <c:f>Vega!$B$4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Vega!$C$4:$AZ$4</c:f>
              <c:numCache>
                <c:formatCode>General</c:formatCode>
                <c:ptCount val="50"/>
                <c:pt idx="0">
                  <c:v>7.890416213822757E-40</c:v>
                </c:pt>
                <c:pt idx="1">
                  <c:v>1.5687681949729988E-19</c:v>
                </c:pt>
                <c:pt idx="2">
                  <c:v>9.9829747601651496E-13</c:v>
                </c:pt>
                <c:pt idx="3">
                  <c:v>2.6261095230764527E-9</c:v>
                </c:pt>
                <c:pt idx="4">
                  <c:v>3.0347470957467801E-7</c:v>
                </c:pt>
                <c:pt idx="5">
                  <c:v>7.3190274501949438E-6</c:v>
                </c:pt>
                <c:pt idx="6">
                  <c:v>7.1926239310786793E-5</c:v>
                </c:pt>
                <c:pt idx="7">
                  <c:v>4.0269999011754239E-4</c:v>
                </c:pt>
                <c:pt idx="8">
                  <c:v>1.547918097964676E-3</c:v>
                </c:pt>
                <c:pt idx="9">
                  <c:v>4.5696305078151925E-3</c:v>
                </c:pt>
                <c:pt idx="10">
                  <c:v>1.1128175902153254E-2</c:v>
                </c:pt>
                <c:pt idx="11">
                  <c:v>2.344817034846838E-2</c:v>
                </c:pt>
                <c:pt idx="12">
                  <c:v>4.4189050398302128E-2</c:v>
                </c:pt>
                <c:pt idx="13">
                  <c:v>7.6265790277428275E-2</c:v>
                </c:pt>
                <c:pt idx="14">
                  <c:v>0.12266273335695645</c:v>
                </c:pt>
                <c:pt idx="15">
                  <c:v>0.18626961730491334</c:v>
                </c:pt>
                <c:pt idx="16">
                  <c:v>0.26975415881413228</c:v>
                </c:pt>
                <c:pt idx="17">
                  <c:v>0.37547451110104479</c:v>
                </c:pt>
                <c:pt idx="18">
                  <c:v>0.50542825590500062</c:v>
                </c:pt>
                <c:pt idx="19">
                  <c:v>0.66123147004512139</c:v>
                </c:pt>
                <c:pt idx="20">
                  <c:v>0.84412060096864827</c:v>
                </c:pt>
                <c:pt idx="21">
                  <c:v>1.054970370802609</c:v>
                </c:pt>
                <c:pt idx="22">
                  <c:v>1.294321995946109</c:v>
                </c:pt>
                <c:pt idx="23">
                  <c:v>1.562417231783213</c:v>
                </c:pt>
                <c:pt idx="24">
                  <c:v>1.8592349033660567</c:v>
                </c:pt>
                <c:pt idx="25">
                  <c:v>2.1845275638357218</c:v>
                </c:pt>
                <c:pt idx="26">
                  <c:v>2.5378567065527999</c:v>
                </c:pt>
                <c:pt idx="27">
                  <c:v>2.9186255551821909</c:v>
                </c:pt>
                <c:pt idx="28">
                  <c:v>3.3261088949697699</c:v>
                </c:pt>
                <c:pt idx="29">
                  <c:v>3.7594797189649576</c:v>
                </c:pt>
                <c:pt idx="30">
                  <c:v>4.2178326741048249</c:v>
                </c:pt>
                <c:pt idx="31">
                  <c:v>4.7002044288847795</c:v>
                </c:pt>
                <c:pt idx="32">
                  <c:v>5.2055911670601072</c:v>
                </c:pt>
                <c:pt idx="33">
                  <c:v>5.7329634562431675</c:v>
                </c:pt>
                <c:pt idx="34">
                  <c:v>6.2812787583328804</c:v>
                </c:pt>
                <c:pt idx="35">
                  <c:v>6.8494918492692074</c:v>
                </c:pt>
                <c:pt idx="36">
                  <c:v>7.4365634050344038</c:v>
                </c:pt>
                <c:pt idx="37">
                  <c:v>8.0414669936561367</c:v>
                </c:pt>
                <c:pt idx="38">
                  <c:v>8.6631946923459608</c:v>
                </c:pt>
                <c:pt idx="39">
                  <c:v>9.3007615269544939</c:v>
                </c:pt>
                <c:pt idx="40">
                  <c:v>9.9532089090341174</c:v>
                </c:pt>
                <c:pt idx="41">
                  <c:v>10.619607224839591</c:v>
                </c:pt>
                <c:pt idx="42">
                  <c:v>11.299057711074672</c:v>
                </c:pt>
                <c:pt idx="43">
                  <c:v>11.99069373436682</c:v>
                </c:pt>
                <c:pt idx="44">
                  <c:v>12.693681575412446</c:v>
                </c:pt>
                <c:pt idx="45">
                  <c:v>13.407220804469231</c:v>
                </c:pt>
                <c:pt idx="46">
                  <c:v>14.130544322293829</c:v>
                </c:pt>
                <c:pt idx="47">
                  <c:v>14.862918129616855</c:v>
                </c:pt>
                <c:pt idx="48">
                  <c:v>15.60364087866923</c:v>
                </c:pt>
                <c:pt idx="49">
                  <c:v>16.352043251983773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5-4C10-AE47-A0BA131557B2}"/>
            </c:ext>
          </c:extLst>
        </c:ser>
        <c:ser>
          <c:idx val="2"/>
          <c:order val="2"/>
          <c:tx>
            <c:strRef>
              <c:f>Vega!$B$5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Vega!$C$5:$AZ$5</c:f>
              <c:numCache>
                <c:formatCode>General</c:formatCode>
                <c:ptCount val="50"/>
                <c:pt idx="0">
                  <c:v>3.5731275340966639E-27</c:v>
                </c:pt>
                <c:pt idx="1">
                  <c:v>3.2770789744139771E-13</c:v>
                </c:pt>
                <c:pt idx="2">
                  <c:v>1.611318080490904E-8</c:v>
                </c:pt>
                <c:pt idx="3">
                  <c:v>3.7258960102381347E-6</c:v>
                </c:pt>
                <c:pt idx="4">
                  <c:v>1.001009852637357E-4</c:v>
                </c:pt>
                <c:pt idx="5">
                  <c:v>9.1278366359240934E-4</c:v>
                </c:pt>
                <c:pt idx="6">
                  <c:v>4.4780256387178217E-3</c:v>
                </c:pt>
                <c:pt idx="7">
                  <c:v>1.4889989640669957E-2</c:v>
                </c:pt>
                <c:pt idx="8">
                  <c:v>3.8164553510493908E-2</c:v>
                </c:pt>
                <c:pt idx="9">
                  <c:v>8.1469084911896736E-2</c:v>
                </c:pt>
                <c:pt idx="10">
                  <c:v>0.15217221515352261</c:v>
                </c:pt>
                <c:pt idx="11">
                  <c:v>0.25705143405843867</c:v>
                </c:pt>
                <c:pt idx="12">
                  <c:v>0.40178591467787333</c:v>
                </c:pt>
                <c:pt idx="13">
                  <c:v>0.59072209476208237</c:v>
                </c:pt>
                <c:pt idx="14">
                  <c:v>0.82684294691926774</c:v>
                </c:pt>
                <c:pt idx="15">
                  <c:v>1.1118654616929486</c:v>
                </c:pt>
                <c:pt idx="16">
                  <c:v>1.4464052203927722</c:v>
                </c:pt>
                <c:pt idx="17">
                  <c:v>1.8301656234561896</c:v>
                </c:pt>
                <c:pt idx="18">
                  <c:v>2.2621255201846759</c:v>
                </c:pt>
                <c:pt idx="19">
                  <c:v>2.7407108585812248</c:v>
                </c:pt>
                <c:pt idx="20">
                  <c:v>3.2639438508979706</c:v>
                </c:pt>
                <c:pt idx="21">
                  <c:v>3.8295679692905704</c:v>
                </c:pt>
                <c:pt idx="22">
                  <c:v>4.4351497905479444</c:v>
                </c:pt>
                <c:pt idx="23">
                  <c:v>5.0781600498016317</c:v>
                </c:pt>
                <c:pt idx="24">
                  <c:v>5.7560367751484227</c:v>
                </c:pt>
                <c:pt idx="25">
                  <c:v>6.4662334144269735</c:v>
                </c:pt>
                <c:pt idx="26">
                  <c:v>7.2062546576848074</c:v>
                </c:pt>
                <c:pt idx="27">
                  <c:v>7.9736823409372839</c:v>
                </c:pt>
                <c:pt idx="28">
                  <c:v>8.7661934675947304</c:v>
                </c:pt>
                <c:pt idx="29">
                  <c:v>9.5815720461128837</c:v>
                </c:pt>
                <c:pt idx="30">
                  <c:v>10.417716136752871</c:v>
                </c:pt>
                <c:pt idx="31">
                  <c:v>11.272641234781178</c:v>
                </c:pt>
                <c:pt idx="32">
                  <c:v>12.144480892869904</c:v>
                </c:pt>
                <c:pt idx="33">
                  <c:v>13.031485299108935</c:v>
                </c:pt>
                <c:pt idx="34">
                  <c:v>13.932018374543206</c:v>
                </c:pt>
                <c:pt idx="35">
                  <c:v>14.844553830664207</c:v>
                </c:pt>
                <c:pt idx="36">
                  <c:v>15.767670528127569</c:v>
                </c:pt>
                <c:pt idx="37">
                  <c:v>16.700047398889886</c:v>
                </c:pt>
                <c:pt idx="38">
                  <c:v>17.640458131262058</c:v>
                </c:pt>
                <c:pt idx="39">
                  <c:v>18.587765767931</c:v>
                </c:pt>
                <c:pt idx="40">
                  <c:v>19.540917328202259</c:v>
                </c:pt>
                <c:pt idx="41">
                  <c:v>20.498938535422127</c:v>
                </c:pt>
                <c:pt idx="42">
                  <c:v>21.460928707010098</c:v>
                </c:pt>
                <c:pt idx="43">
                  <c:v>22.426055846367113</c:v>
                </c:pt>
                <c:pt idx="44">
                  <c:v>23.393551961991388</c:v>
                </c:pt>
                <c:pt idx="45">
                  <c:v>24.362708628535</c:v>
                </c:pt>
                <c:pt idx="46">
                  <c:v>25.332872796547392</c:v>
                </c:pt>
                <c:pt idx="47">
                  <c:v>26.303442851711882</c:v>
                </c:pt>
                <c:pt idx="48">
                  <c:v>27.273864920031389</c:v>
                </c:pt>
                <c:pt idx="49">
                  <c:v>28.243629412307225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A5-4C10-AE47-A0BA131557B2}"/>
            </c:ext>
          </c:extLst>
        </c:ser>
        <c:ser>
          <c:idx val="3"/>
          <c:order val="3"/>
          <c:tx>
            <c:strRef>
              <c:f>Vega!$B$6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Vega!$C$6:$AZ$6</c:f>
              <c:numCache>
                <c:formatCode>General</c:formatCode>
                <c:ptCount val="50"/>
                <c:pt idx="0">
                  <c:v>1.5544383929947457E-17</c:v>
                </c:pt>
                <c:pt idx="1">
                  <c:v>2.1245091218449448E-8</c:v>
                </c:pt>
                <c:pt idx="2">
                  <c:v>2.5706041526295668E-5</c:v>
                </c:pt>
                <c:pt idx="3">
                  <c:v>9.3245046528342434E-4</c:v>
                </c:pt>
                <c:pt idx="4">
                  <c:v>8.2443811591708625E-3</c:v>
                </c:pt>
                <c:pt idx="5">
                  <c:v>3.5834719979831717E-2</c:v>
                </c:pt>
                <c:pt idx="6">
                  <c:v>0.10355649356059825</c:v>
                </c:pt>
                <c:pt idx="7">
                  <c:v>0.23152671506101979</c:v>
                </c:pt>
                <c:pt idx="8">
                  <c:v>0.43580320477807988</c:v>
                </c:pt>
                <c:pt idx="9">
                  <c:v>0.7267112565693663</c:v>
                </c:pt>
                <c:pt idx="10">
                  <c:v>1.1090350218555134</c:v>
                </c:pt>
                <c:pt idx="11">
                  <c:v>1.5830597373487616</c:v>
                </c:pt>
                <c:pt idx="12">
                  <c:v>2.1458063564000582</c:v>
                </c:pt>
                <c:pt idx="13">
                  <c:v>2.7921438532895584</c:v>
                </c:pt>
                <c:pt idx="14">
                  <c:v>3.5156733889745202</c:v>
                </c:pt>
                <c:pt idx="15">
                  <c:v>4.3093799937730362</c:v>
                </c:pt>
                <c:pt idx="16">
                  <c:v>5.1660867994536339</c:v>
                </c:pt>
                <c:pt idx="17">
                  <c:v>6.0787559071853297</c:v>
                </c:pt>
                <c:pt idx="18">
                  <c:v>7.0406763806705985</c:v>
                </c:pt>
                <c:pt idx="19">
                  <c:v>8.0455722498671669</c:v>
                </c:pt>
                <c:pt idx="20">
                  <c:v>9.08765556363422</c:v>
                </c:pt>
                <c:pt idx="21">
                  <c:v>10.161642815378089</c:v>
                </c:pt>
                <c:pt idx="22">
                  <c:v>11.262747791632322</c:v>
                </c:pt>
                <c:pt idx="23">
                  <c:v>12.386659943151603</c:v>
                </c:pt>
                <c:pt idx="24">
                  <c:v>13.529514505776332</c:v>
                </c:pt>
                <c:pt idx="25">
                  <c:v>14.687858551677197</c:v>
                </c:pt>
                <c:pt idx="26">
                  <c:v>15.858615715165172</c:v>
                </c:pt>
                <c:pt idx="27">
                  <c:v>17.039051341745182</c:v>
                </c:pt>
                <c:pt idx="28">
                  <c:v>18.226739127328027</c:v>
                </c:pt>
                <c:pt idx="29">
                  <c:v>19.419529853530495</c:v>
                </c:pt>
                <c:pt idx="30">
                  <c:v>20.615522518002901</c:v>
                </c:pt>
                <c:pt idx="31">
                  <c:v>21.813037958306698</c:v>
                </c:pt>
                <c:pt idx="32">
                  <c:v>23.010594940630973</c:v>
                </c:pt>
                <c:pt idx="33">
                  <c:v>24.206888607220748</c:v>
                </c:pt>
                <c:pt idx="34">
                  <c:v>25.400771132527318</c:v>
                </c:pt>
                <c:pt idx="35">
                  <c:v>26.591234416517153</c:v>
                </c:pt>
                <c:pt idx="36">
                  <c:v>27.777394636526687</c:v>
                </c:pt>
                <c:pt idx="37">
                  <c:v>28.958478481210001</c:v>
                </c:pt>
                <c:pt idx="38">
                  <c:v>30.133810897880316</c:v>
                </c:pt>
                <c:pt idx="39">
                  <c:v>31.302804195460357</c:v>
                </c:pt>
                <c:pt idx="40">
                  <c:v>32.464948357718306</c:v>
                </c:pt>
                <c:pt idx="41">
                  <c:v>33.619802434420507</c:v>
                </c:pt>
                <c:pt idx="42">
                  <c:v>34.766986890812753</c:v>
                </c:pt>
                <c:pt idx="43">
                  <c:v>35.906176808047675</c:v>
                </c:pt>
                <c:pt idx="44">
                  <c:v>37.037095838571666</c:v>
                </c:pt>
                <c:pt idx="45">
                  <c:v>38.159510830970149</c:v>
                </c:pt>
                <c:pt idx="46">
                  <c:v>39.273227048299738</c:v>
                </c:pt>
                <c:pt idx="47">
                  <c:v>40.378083912534478</c:v>
                </c:pt>
                <c:pt idx="48">
                  <c:v>41.473951215457284</c:v>
                </c:pt>
                <c:pt idx="49">
                  <c:v>42.56072574319996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A5-4C10-AE47-A0BA131557B2}"/>
            </c:ext>
          </c:extLst>
        </c:ser>
        <c:ser>
          <c:idx val="4"/>
          <c:order val="4"/>
          <c:tx>
            <c:strRef>
              <c:f>Vega!$B$7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Vega!$C$7:$AZ$7</c:f>
              <c:numCache>
                <c:formatCode>General</c:formatCode>
                <c:ptCount val="50"/>
                <c:pt idx="0">
                  <c:v>2.1699726533395633E-10</c:v>
                </c:pt>
                <c:pt idx="1">
                  <c:v>7.8107330033859321E-5</c:v>
                </c:pt>
                <c:pt idx="2">
                  <c:v>6.0578597213752057E-3</c:v>
                </c:pt>
                <c:pt idx="3">
                  <c:v>5.5633346565513928E-2</c:v>
                </c:pt>
                <c:pt idx="4">
                  <c:v>0.21573604959593176</c:v>
                </c:pt>
                <c:pt idx="5">
                  <c:v>0.54130101077600301</c:v>
                </c:pt>
                <c:pt idx="6">
                  <c:v>1.0564824233400865</c:v>
                </c:pt>
                <c:pt idx="7">
                  <c:v>1.7597405298560349</c:v>
                </c:pt>
                <c:pt idx="8">
                  <c:v>2.6345645732472471</c:v>
                </c:pt>
                <c:pt idx="9">
                  <c:v>3.6579438640896007</c:v>
                </c:pt>
                <c:pt idx="10">
                  <c:v>4.8055106625940036</c:v>
                </c:pt>
                <c:pt idx="11">
                  <c:v>6.0542107375036078</c:v>
                </c:pt>
                <c:pt idx="12">
                  <c:v>7.3834681318007167</c:v>
                </c:pt>
                <c:pt idx="13">
                  <c:v>8.7755244078076231</c:v>
                </c:pt>
                <c:pt idx="14">
                  <c:v>10.215363705976863</c:v>
                </c:pt>
                <c:pt idx="15">
                  <c:v>11.690453898423167</c:v>
                </c:pt>
                <c:pt idx="16">
                  <c:v>13.190425761886248</c:v>
                </c:pt>
                <c:pt idx="17">
                  <c:v>14.706750941484534</c:v>
                </c:pt>
                <c:pt idx="18">
                  <c:v>16.232446270376744</c:v>
                </c:pt>
                <c:pt idx="19">
                  <c:v>17.761814611091616</c:v>
                </c:pt>
                <c:pt idx="20">
                  <c:v>19.290223678106393</c:v>
                </c:pt>
                <c:pt idx="21">
                  <c:v>20.813920267769092</c:v>
                </c:pt>
                <c:pt idx="22">
                  <c:v>22.329875735574909</c:v>
                </c:pt>
                <c:pt idx="23">
                  <c:v>23.835658209134973</c:v>
                </c:pt>
                <c:pt idx="24">
                  <c:v>25.329327256841214</c:v>
                </c:pt>
                <c:pt idx="25">
                  <c:v>26.809347204871688</c:v>
                </c:pt>
                <c:pt idx="26">
                  <c:v>28.274515834476112</c:v>
                </c:pt>
                <c:pt idx="27">
                  <c:v>29.723905713547193</c:v>
                </c:pt>
                <c:pt idx="28">
                  <c:v>31.156815885262642</c:v>
                </c:pt>
                <c:pt idx="29">
                  <c:v>32.572732040617637</c:v>
                </c:pt>
                <c:pt idx="30">
                  <c:v>33.971293641529726</c:v>
                </c:pt>
                <c:pt idx="31">
                  <c:v>35.352266742804268</c:v>
                </c:pt>
                <c:pt idx="32">
                  <c:v>36.71552149238866</c:v>
                </c:pt>
                <c:pt idx="33">
                  <c:v>38.061013477952898</c:v>
                </c:pt>
                <c:pt idx="34">
                  <c:v>39.388768241210734</c:v>
                </c:pt>
                <c:pt idx="35">
                  <c:v>40.698868405898288</c:v>
                </c:pt>
                <c:pt idx="36">
                  <c:v>41.991442966330723</c:v>
                </c:pt>
                <c:pt idx="37">
                  <c:v>43.266658365415772</c:v>
                </c:pt>
                <c:pt idx="38">
                  <c:v>44.52471105756284</c:v>
                </c:pt>
                <c:pt idx="39">
                  <c:v>45.765821306048551</c:v>
                </c:pt>
                <c:pt idx="40">
                  <c:v>46.990228008479185</c:v>
                </c:pt>
                <c:pt idx="41">
                  <c:v>48.198184379954562</c:v>
                </c:pt>
                <c:pt idx="42">
                  <c:v>49.389954352938304</c:v>
                </c:pt>
                <c:pt idx="43">
                  <c:v>50.565809576925197</c:v>
                </c:pt>
                <c:pt idx="44">
                  <c:v>51.726026920767062</c:v>
                </c:pt>
                <c:pt idx="45">
                  <c:v>52.870886396786894</c:v>
                </c:pt>
                <c:pt idx="46">
                  <c:v>54.000669439221248</c:v>
                </c:pt>
                <c:pt idx="47">
                  <c:v>55.115657480614558</c:v>
                </c:pt>
                <c:pt idx="48">
                  <c:v>56.216130778964526</c:v>
                </c:pt>
                <c:pt idx="49">
                  <c:v>57.302367456033565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A5-4C10-AE47-A0BA131557B2}"/>
            </c:ext>
          </c:extLst>
        </c:ser>
        <c:ser>
          <c:idx val="5"/>
          <c:order val="5"/>
          <c:tx>
            <c:strRef>
              <c:f>Vega!$B$8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Vega!$C$8:$AZ$8</c:f>
              <c:numCache>
                <c:formatCode>General</c:formatCode>
                <c:ptCount val="50"/>
                <c:pt idx="0">
                  <c:v>2.5138056835713343E-5</c:v>
                </c:pt>
                <c:pt idx="1">
                  <c:v>2.6184740803568227E-2</c:v>
                </c:pt>
                <c:pt idx="2">
                  <c:v>0.28940234587731306</c:v>
                </c:pt>
                <c:pt idx="3">
                  <c:v>1.0033008819090707</c:v>
                </c:pt>
                <c:pt idx="4">
                  <c:v>2.1685359940348929</c:v>
                </c:pt>
                <c:pt idx="5">
                  <c:v>3.6850893362287698</c:v>
                </c:pt>
                <c:pt idx="6">
                  <c:v>5.4448949916165557</c:v>
                </c:pt>
                <c:pt idx="7">
                  <c:v>7.3606201526075647</c:v>
                </c:pt>
                <c:pt idx="8">
                  <c:v>9.3682861219506925</c:v>
                </c:pt>
                <c:pt idx="9">
                  <c:v>11.422910084499065</c:v>
                </c:pt>
                <c:pt idx="10">
                  <c:v>13.493491524955594</c:v>
                </c:pt>
                <c:pt idx="11">
                  <c:v>15.558935866720065</c:v>
                </c:pt>
                <c:pt idx="12">
                  <c:v>17.605064516370977</c:v>
                </c:pt>
                <c:pt idx="13">
                  <c:v>19.622505523714572</c:v>
                </c:pt>
                <c:pt idx="14">
                  <c:v>21.605226580724796</c:v>
                </c:pt>
                <c:pt idx="15">
                  <c:v>23.549518060852794</c:v>
                </c:pt>
                <c:pt idx="16">
                  <c:v>25.453286673382276</c:v>
                </c:pt>
                <c:pt idx="17">
                  <c:v>27.315562761401633</c:v>
                </c:pt>
                <c:pt idx="18">
                  <c:v>29.136154869722606</c:v>
                </c:pt>
                <c:pt idx="19">
                  <c:v>30.91540633935762</c:v>
                </c:pt>
                <c:pt idx="20">
                  <c:v>32.654023031188579</c:v>
                </c:pt>
                <c:pt idx="21">
                  <c:v>34.352950973590559</c:v>
                </c:pt>
                <c:pt idx="22">
                  <c:v>36.013289285217944</c:v>
                </c:pt>
                <c:pt idx="23">
                  <c:v>37.636228179922504</c:v>
                </c:pt>
                <c:pt idx="24">
                  <c:v>39.223004908309086</c:v>
                </c:pt>
                <c:pt idx="25">
                  <c:v>40.774872590025311</c:v>
                </c:pt>
                <c:pt idx="26">
                  <c:v>42.293078348475902</c:v>
                </c:pt>
                <c:pt idx="27">
                  <c:v>43.778848179358882</c:v>
                </c:pt>
                <c:pt idx="28">
                  <c:v>45.233376703178656</c:v>
                </c:pt>
                <c:pt idx="29">
                  <c:v>46.657820462206047</c:v>
                </c:pt>
                <c:pt idx="30">
                  <c:v>48.053293787181111</c:v>
                </c:pt>
                <c:pt idx="31">
                  <c:v>49.420866521565671</c:v>
                </c:pt>
                <c:pt idx="32">
                  <c:v>50.761563081184711</c:v>
                </c:pt>
                <c:pt idx="33">
                  <c:v>52.076362465427458</c:v>
                </c:pt>
                <c:pt idx="34">
                  <c:v>53.366198937387779</c:v>
                </c:pt>
                <c:pt idx="35">
                  <c:v>54.631963164708807</c:v>
                </c:pt>
                <c:pt idx="36">
                  <c:v>55.874503667787209</c:v>
                </c:pt>
                <c:pt idx="37">
                  <c:v>57.094628462638489</c:v>
                </c:pt>
                <c:pt idx="38">
                  <c:v>58.293106815906789</c:v>
                </c:pt>
                <c:pt idx="39">
                  <c:v>59.470671051964622</c:v>
                </c:pt>
                <c:pt idx="40">
                  <c:v>60.628018368789895</c:v>
                </c:pt>
                <c:pt idx="41">
                  <c:v>61.765812631792826</c:v>
                </c:pt>
                <c:pt idx="42">
                  <c:v>62.884686124075138</c:v>
                </c:pt>
                <c:pt idx="43">
                  <c:v>63.98524123853732</c:v>
                </c:pt>
                <c:pt idx="44">
                  <c:v>65.068052102396592</c:v>
                </c:pt>
                <c:pt idx="45">
                  <c:v>66.133666128488088</c:v>
                </c:pt>
                <c:pt idx="46">
                  <c:v>67.18260549051783</c:v>
                </c:pt>
                <c:pt idx="47">
                  <c:v>68.215368521475582</c:v>
                </c:pt>
                <c:pt idx="48">
                  <c:v>69.232431035879785</c:v>
                </c:pt>
                <c:pt idx="49">
                  <c:v>70.234247577560907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A5-4C10-AE47-A0BA131557B2}"/>
            </c:ext>
          </c:extLst>
        </c:ser>
        <c:ser>
          <c:idx val="6"/>
          <c:order val="6"/>
          <c:tx>
            <c:strRef>
              <c:f>Vega!$B$9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Vega!$C$9:$AZ$9</c:f>
              <c:numCache>
                <c:formatCode>General</c:formatCode>
                <c:ptCount val="50"/>
                <c:pt idx="0">
                  <c:v>5.161593864477447E-2</c:v>
                </c:pt>
                <c:pt idx="1">
                  <c:v>1.1696837223341141</c:v>
                </c:pt>
                <c:pt idx="2">
                  <c:v>3.6089280836016511</c:v>
                </c:pt>
                <c:pt idx="3">
                  <c:v>6.6105163163659935</c:v>
                </c:pt>
                <c:pt idx="4">
                  <c:v>9.7437835238203103</c:v>
                </c:pt>
                <c:pt idx="5">
                  <c:v>12.828628098948192</c:v>
                </c:pt>
                <c:pt idx="6">
                  <c:v>15.796405593882863</c:v>
                </c:pt>
                <c:pt idx="7">
                  <c:v>18.625614252560368</c:v>
                </c:pt>
                <c:pt idx="8">
                  <c:v>21.314624132838873</c:v>
                </c:pt>
                <c:pt idx="9">
                  <c:v>23.869941692283714</c:v>
                </c:pt>
                <c:pt idx="10">
                  <c:v>26.30103897762735</c:v>
                </c:pt>
                <c:pt idx="11">
                  <c:v>28.618053545414767</c:v>
                </c:pt>
                <c:pt idx="12">
                  <c:v>30.830785659159925</c:v>
                </c:pt>
                <c:pt idx="13">
                  <c:v>32.948295168271379</c:v>
                </c:pt>
                <c:pt idx="14">
                  <c:v>34.978777578326621</c:v>
                </c:pt>
                <c:pt idx="15">
                  <c:v>36.929567949432844</c:v>
                </c:pt>
                <c:pt idx="16">
                  <c:v>38.807199875330056</c:v>
                </c:pt>
                <c:pt idx="17">
                  <c:v>40.61748442388604</c:v>
                </c:pt>
                <c:pt idx="18">
                  <c:v>42.365592327205121</c:v>
                </c:pt>
                <c:pt idx="19">
                  <c:v>44.056131835136</c:v>
                </c:pt>
                <c:pt idx="20">
                  <c:v>45.693219181893703</c:v>
                </c:pt>
                <c:pt idx="21">
                  <c:v>47.280540842203052</c:v>
                </c:pt>
                <c:pt idx="22">
                  <c:v>48.821407806139739</c:v>
                </c:pt>
                <c:pt idx="23">
                  <c:v>50.318802556941918</c:v>
                </c:pt>
                <c:pt idx="24">
                  <c:v>51.775419590136742</c:v>
                </c:pt>
                <c:pt idx="25">
                  <c:v>53.193700319340437</c:v>
                </c:pt>
                <c:pt idx="26">
                  <c:v>54.575863154025932</c:v>
                </c:pt>
                <c:pt idx="27">
                  <c:v>55.923929448570632</c:v>
                </c:pt>
                <c:pt idx="28">
                  <c:v>57.239745930653008</c:v>
                </c:pt>
                <c:pt idx="29">
                  <c:v>58.525004130384147</c:v>
                </c:pt>
                <c:pt idx="30">
                  <c:v>59.781257253580584</c:v>
                </c:pt>
                <c:pt idx="31">
                  <c:v>61.009934874535865</c:v>
                </c:pt>
                <c:pt idx="32">
                  <c:v>62.21235576532419</c:v>
                </c:pt>
                <c:pt idx="33">
                  <c:v>63.389739129222136</c:v>
                </c:pt>
                <c:pt idx="34">
                  <c:v>64.543214464183336</c:v>
                </c:pt>
                <c:pt idx="35">
                  <c:v>65.673830247346118</c:v>
                </c:pt>
                <c:pt idx="36">
                  <c:v>66.782561602269311</c:v>
                </c:pt>
                <c:pt idx="37">
                  <c:v>67.870317086069704</c:v>
                </c:pt>
                <c:pt idx="38">
                  <c:v>68.937944713090332</c:v>
                </c:pt>
                <c:pt idx="39">
                  <c:v>69.986237314498325</c:v>
                </c:pt>
                <c:pt idx="40">
                  <c:v>71.015937318738565</c:v>
                </c:pt>
                <c:pt idx="41">
                  <c:v>72.027741025587659</c:v>
                </c:pt>
                <c:pt idx="42">
                  <c:v>73.022302436280611</c:v>
                </c:pt>
                <c:pt idx="43">
                  <c:v>74.000236693499573</c:v>
                </c:pt>
                <c:pt idx="44">
                  <c:v>74.962123177655172</c:v>
                </c:pt>
                <c:pt idx="45">
                  <c:v>75.908508299643842</c:v>
                </c:pt>
                <c:pt idx="46">
                  <c:v>76.839908024941792</c:v>
                </c:pt>
                <c:pt idx="47">
                  <c:v>77.756810159356135</c:v>
                </c:pt>
                <c:pt idx="48">
                  <c:v>78.659676422865985</c:v>
                </c:pt>
                <c:pt idx="49">
                  <c:v>79.548944334653157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A5-4C10-AE47-A0BA131557B2}"/>
            </c:ext>
          </c:extLst>
        </c:ser>
        <c:ser>
          <c:idx val="7"/>
          <c:order val="7"/>
          <c:tx>
            <c:strRef>
              <c:f>Vega!$B$10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Vega!$C$10:$AZ$10</c:f>
              <c:numCache>
                <c:formatCode>General</c:formatCode>
                <c:ptCount val="50"/>
                <c:pt idx="0">
                  <c:v>3.4693238841801244</c:v>
                </c:pt>
                <c:pt idx="1">
                  <c:v>9.4608178373498504</c:v>
                </c:pt>
                <c:pt idx="2">
                  <c:v>14.411356711779723</c:v>
                </c:pt>
                <c:pt idx="3">
                  <c:v>18.547920454659685</c:v>
                </c:pt>
                <c:pt idx="4">
                  <c:v>22.122153003014301</c:v>
                </c:pt>
                <c:pt idx="5">
                  <c:v>25.291422770740375</c:v>
                </c:pt>
                <c:pt idx="6">
                  <c:v>28.155342127741203</c:v>
                </c:pt>
                <c:pt idx="7">
                  <c:v>30.780115974298614</c:v>
                </c:pt>
                <c:pt idx="8">
                  <c:v>33.21183411449131</c:v>
                </c:pt>
                <c:pt idx="9">
                  <c:v>35.483868952949415</c:v>
                </c:pt>
                <c:pt idx="10">
                  <c:v>37.621187447894798</c:v>
                </c:pt>
                <c:pt idx="11">
                  <c:v>39.642984351545465</c:v>
                </c:pt>
                <c:pt idx="12">
                  <c:v>41.564359019562545</c:v>
                </c:pt>
                <c:pt idx="13">
                  <c:v>43.397422910043034</c:v>
                </c:pt>
                <c:pt idx="14">
                  <c:v>45.152054636509035</c:v>
                </c:pt>
                <c:pt idx="15">
                  <c:v>46.83642914048496</c:v>
                </c:pt>
                <c:pt idx="16">
                  <c:v>48.457397618149542</c:v>
                </c:pt>
                <c:pt idx="17">
                  <c:v>50.020766148463288</c:v>
                </c:pt>
                <c:pt idx="18">
                  <c:v>51.531503909205441</c:v>
                </c:pt>
                <c:pt idx="19">
                  <c:v>52.993901401176288</c:v>
                </c:pt>
                <c:pt idx="20">
                  <c:v>54.411692499018621</c:v>
                </c:pt>
                <c:pt idx="21">
                  <c:v>55.788149877248394</c:v>
                </c:pt>
                <c:pt idx="22">
                  <c:v>57.126160535308848</c:v>
                </c:pt>
                <c:pt idx="23">
                  <c:v>58.428286238036669</c:v>
                </c:pt>
                <c:pt idx="24">
                  <c:v>59.696812375732556</c:v>
                </c:pt>
                <c:pt idx="25">
                  <c:v>60.933787829846494</c:v>
                </c:pt>
                <c:pt idx="26">
                  <c:v>62.141057777732406</c:v>
                </c:pt>
                <c:pt idx="27">
                  <c:v>63.320290899475886</c:v>
                </c:pt>
                <c:pt idx="28">
                  <c:v>64.473002106134402</c:v>
                </c:pt>
                <c:pt idx="29">
                  <c:v>65.600571654605972</c:v>
                </c:pt>
                <c:pt idx="30">
                  <c:v>66.704261324296979</c:v>
                </c:pt>
                <c:pt idx="31">
                  <c:v>67.785228187134834</c:v>
                </c:pt>
                <c:pt idx="32">
                  <c:v>68.84453639286275</c:v>
                </c:pt>
                <c:pt idx="33">
                  <c:v>69.883167307136887</c:v>
                </c:pt>
                <c:pt idx="34">
                  <c:v>70.90202827437426</c:v>
                </c:pt>
                <c:pt idx="35">
                  <c:v>71.901960225955406</c:v>
                </c:pt>
                <c:pt idx="36">
                  <c:v>72.883744313878196</c:v>
                </c:pt>
                <c:pt idx="37">
                  <c:v>73.848107717774937</c:v>
                </c:pt>
                <c:pt idx="38">
                  <c:v>74.795728747460444</c:v>
                </c:pt>
                <c:pt idx="39">
                  <c:v>75.727241342456978</c:v>
                </c:pt>
                <c:pt idx="40">
                  <c:v>76.643239053162489</c:v>
                </c:pt>
                <c:pt idx="41">
                  <c:v>77.544278574663721</c:v>
                </c:pt>
                <c:pt idx="42">
                  <c:v>78.430882893008302</c:v>
                </c:pt>
                <c:pt idx="43">
                  <c:v>79.303544094544449</c:v>
                </c:pt>
                <c:pt idx="44">
                  <c:v>80.162725881323198</c:v>
                </c:pt>
                <c:pt idx="45">
                  <c:v>81.00886582923556</c:v>
                </c:pt>
                <c:pt idx="46">
                  <c:v>81.842377420278837</c:v>
                </c:pt>
                <c:pt idx="47">
                  <c:v>82.663651875926917</c:v>
                </c:pt>
                <c:pt idx="48">
                  <c:v>83.473059814858161</c:v>
                </c:pt>
                <c:pt idx="49">
                  <c:v>84.27095275515498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A5-4C10-AE47-A0BA131557B2}"/>
            </c:ext>
          </c:extLst>
        </c:ser>
        <c:ser>
          <c:idx val="8"/>
          <c:order val="8"/>
          <c:tx>
            <c:strRef>
              <c:f>Vega!$B$11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Vega!$C$11:$AZ$11</c:f>
              <c:numCache>
                <c:formatCode>General</c:formatCode>
                <c:ptCount val="50"/>
                <c:pt idx="0">
                  <c:v>12.60147797002052</c:v>
                </c:pt>
                <c:pt idx="1">
                  <c:v>17.80114349570453</c:v>
                </c:pt>
                <c:pt idx="2">
                  <c:v>21.777345900985232</c:v>
                </c:pt>
                <c:pt idx="3">
                  <c:v>25.118039341108513</c:v>
                </c:pt>
                <c:pt idx="4">
                  <c:v>28.051246304186257</c:v>
                </c:pt>
                <c:pt idx="5">
                  <c:v>30.694050496199523</c:v>
                </c:pt>
                <c:pt idx="6">
                  <c:v>33.116087146110289</c:v>
                </c:pt>
                <c:pt idx="7">
                  <c:v>35.362780796997576</c:v>
                </c:pt>
                <c:pt idx="8">
                  <c:v>37.465720501521851</c:v>
                </c:pt>
                <c:pt idx="9">
                  <c:v>39.447933090788894</c:v>
                </c:pt>
                <c:pt idx="10">
                  <c:v>41.326822430469605</c:v>
                </c:pt>
                <c:pt idx="11">
                  <c:v>43.115925549986159</c:v>
                </c:pt>
                <c:pt idx="12">
                  <c:v>44.826020476317296</c:v>
                </c:pt>
                <c:pt idx="13">
                  <c:v>46.465856361778023</c:v>
                </c:pt>
                <c:pt idx="14">
                  <c:v>48.04265234363627</c:v>
                </c:pt>
                <c:pt idx="15">
                  <c:v>49.562448852082476</c:v>
                </c:pt>
                <c:pt idx="16">
                  <c:v>51.030361458947127</c:v>
                </c:pt>
                <c:pt idx="17">
                  <c:v>52.450768418698225</c:v>
                </c:pt>
                <c:pt idx="18">
                  <c:v>53.827451925573257</c:v>
                </c:pt>
                <c:pt idx="19">
                  <c:v>55.163706332541203</c:v>
                </c:pt>
                <c:pt idx="20">
                  <c:v>56.462422317104412</c:v>
                </c:pt>
                <c:pt idx="21">
                  <c:v>57.726153225694702</c:v>
                </c:pt>
                <c:pt idx="22">
                  <c:v>58.957168005184727</c:v>
                </c:pt>
                <c:pt idx="23">
                  <c:v>60.157493896018295</c:v>
                </c:pt>
                <c:pt idx="24">
                  <c:v>61.32895120970376</c:v>
                </c:pt>
                <c:pt idx="25">
                  <c:v>62.47318191499771</c:v>
                </c:pt>
                <c:pt idx="26">
                  <c:v>63.591673329863738</c:v>
                </c:pt>
                <c:pt idx="27">
                  <c:v>64.685777906754865</c:v>
                </c:pt>
                <c:pt idx="28">
                  <c:v>65.756729871476693</c:v>
                </c:pt>
                <c:pt idx="29">
                  <c:v>66.805659306916709</c:v>
                </c:pt>
                <c:pt idx="30">
                  <c:v>67.833604145869359</c:v>
                </c:pt>
                <c:pt idx="31">
                  <c:v>68.841520440637069</c:v>
                </c:pt>
                <c:pt idx="32">
                  <c:v>69.83029120299814</c:v>
                </c:pt>
                <c:pt idx="33">
                  <c:v>70.800734050757285</c:v>
                </c:pt>
                <c:pt idx="34">
                  <c:v>71.753607852285924</c:v>
                </c:pt>
                <c:pt idx="35">
                  <c:v>72.689618525182638</c:v>
                </c:pt>
                <c:pt idx="36">
                  <c:v>73.609424117207041</c:v>
                </c:pt>
                <c:pt idx="37">
                  <c:v>74.513639275293571</c:v>
                </c:pt>
                <c:pt idx="38">
                  <c:v>75.40283919048666</c:v>
                </c:pt>
                <c:pt idx="39">
                  <c:v>76.277563092104828</c:v>
                </c:pt>
                <c:pt idx="40">
                  <c:v>77.138317352614195</c:v>
                </c:pt>
                <c:pt idx="41">
                  <c:v>77.985578255014715</c:v>
                </c:pt>
                <c:pt idx="42">
                  <c:v>78.819794466581271</c:v>
                </c:pt>
                <c:pt idx="43">
                  <c:v>79.641389256221743</c:v>
                </c:pt>
                <c:pt idx="44">
                  <c:v>80.450762487246323</c:v>
                </c:pt>
                <c:pt idx="45">
                  <c:v>81.248292412783059</c:v>
                </c:pt>
                <c:pt idx="46">
                  <c:v>82.034337297250886</c:v>
                </c:pt>
                <c:pt idx="47">
                  <c:v>82.809236884086985</c:v>
                </c:pt>
                <c:pt idx="48">
                  <c:v>83.573313727207818</c:v>
                </c:pt>
                <c:pt idx="49">
                  <c:v>84.326874401380636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A5-4C10-AE47-A0BA131557B2}"/>
            </c:ext>
          </c:extLst>
        </c:ser>
        <c:ser>
          <c:idx val="9"/>
          <c:order val="9"/>
          <c:tx>
            <c:strRef>
              <c:f>Vega!$B$12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Vega!$C$12:$AZ$12</c:f>
              <c:numCache>
                <c:formatCode>General</c:formatCode>
                <c:ptCount val="50"/>
                <c:pt idx="0">
                  <c:v>3.7403491562746805</c:v>
                </c:pt>
                <c:pt idx="1">
                  <c:v>9.5806705523719611</c:v>
                </c:pt>
                <c:pt idx="2">
                  <c:v>14.29240792467272</c:v>
                </c:pt>
                <c:pt idx="3">
                  <c:v>18.203815041877494</c:v>
                </c:pt>
                <c:pt idx="4">
                  <c:v>21.576180864022362</c:v>
                </c:pt>
                <c:pt idx="5">
                  <c:v>24.564453432089614</c:v>
                </c:pt>
                <c:pt idx="6">
                  <c:v>27.264617640732549</c:v>
                </c:pt>
                <c:pt idx="7">
                  <c:v>29.739757516778266</c:v>
                </c:pt>
                <c:pt idx="8">
                  <c:v>32.033505994229877</c:v>
                </c:pt>
                <c:pt idx="9">
                  <c:v>34.177330202865704</c:v>
                </c:pt>
                <c:pt idx="10">
                  <c:v>36.194711565080681</c:v>
                </c:pt>
                <c:pt idx="11">
                  <c:v>38.103672838318381</c:v>
                </c:pt>
                <c:pt idx="12">
                  <c:v>39.918376239486889</c:v>
                </c:pt>
                <c:pt idx="13">
                  <c:v>41.650173816850952</c:v>
                </c:pt>
                <c:pt idx="14">
                  <c:v>43.30832099928277</c:v>
                </c:pt>
                <c:pt idx="15">
                  <c:v>44.900475351333995</c:v>
                </c:pt>
                <c:pt idx="16">
                  <c:v>46.433053942256869</c:v>
                </c:pt>
                <c:pt idx="17">
                  <c:v>47.911495030242243</c:v>
                </c:pt>
                <c:pt idx="18">
                  <c:v>49.340453387732701</c:v>
                </c:pt>
                <c:pt idx="19">
                  <c:v>50.723948597035545</c:v>
                </c:pt>
                <c:pt idx="20">
                  <c:v>52.065479364344668</c:v>
                </c:pt>
                <c:pt idx="21">
                  <c:v>53.368112850587266</c:v>
                </c:pt>
                <c:pt idx="22">
                  <c:v>54.634555345268737</c:v>
                </c:pt>
                <c:pt idx="23">
                  <c:v>55.867208808878146</c:v>
                </c:pt>
                <c:pt idx="24">
                  <c:v>57.068216572877994</c:v>
                </c:pt>
                <c:pt idx="25">
                  <c:v>58.239500622328421</c:v>
                </c:pt>
                <c:pt idx="26">
                  <c:v>59.382792272920554</c:v>
                </c:pt>
                <c:pt idx="27">
                  <c:v>60.499657612518391</c:v>
                </c:pt>
                <c:pt idx="28">
                  <c:v>61.591518754945547</c:v>
                </c:pt>
                <c:pt idx="29">
                  <c:v>62.659671715556563</c:v>
                </c:pt>
                <c:pt idx="30">
                  <c:v>63.705301540107264</c:v>
                </c:pt>
                <c:pt idx="31">
                  <c:v>64.729495183969419</c:v>
                </c:pt>
                <c:pt idx="32">
                  <c:v>65.733252536157295</c:v>
                </c:pt>
                <c:pt idx="33">
                  <c:v>66.717495903661558</c:v>
                </c:pt>
                <c:pt idx="34">
                  <c:v>67.683078210262011</c:v>
                </c:pt>
                <c:pt idx="35">
                  <c:v>68.630790115984411</c:v>
                </c:pt>
                <c:pt idx="36">
                  <c:v>69.561366225500592</c:v>
                </c:pt>
                <c:pt idx="37">
                  <c:v>70.475490523690794</c:v>
                </c:pt>
                <c:pt idx="38">
                  <c:v>71.373801152528742</c:v>
                </c:pt>
                <c:pt idx="39">
                  <c:v>72.256894624086911</c:v>
                </c:pt>
                <c:pt idx="40">
                  <c:v>73.125329548782361</c:v>
                </c:pt>
                <c:pt idx="41">
                  <c:v>73.979629945215763</c:v>
                </c:pt>
                <c:pt idx="42">
                  <c:v>74.820288187504744</c:v>
                </c:pt>
                <c:pt idx="43">
                  <c:v>75.647767637412372</c:v>
                </c:pt>
                <c:pt idx="44">
                  <c:v>76.462505001458112</c:v>
                </c:pt>
                <c:pt idx="45">
                  <c:v>77.264912447292318</c:v>
                </c:pt>
                <c:pt idx="46">
                  <c:v>78.055379508683174</c:v>
                </c:pt>
                <c:pt idx="47">
                  <c:v>78.834274804336602</c:v>
                </c:pt>
                <c:pt idx="48">
                  <c:v>79.601947592292063</c:v>
                </c:pt>
                <c:pt idx="49">
                  <c:v>80.358729178703996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8A5-4C10-AE47-A0BA131557B2}"/>
            </c:ext>
          </c:extLst>
        </c:ser>
        <c:ser>
          <c:idx val="10"/>
          <c:order val="10"/>
          <c:tx>
            <c:strRef>
              <c:f>Vega!$B$13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Vega!$C$13:$AZ$13</c:f>
              <c:numCache>
                <c:formatCode>General</c:formatCode>
                <c:ptCount val="50"/>
                <c:pt idx="0">
                  <c:v>0.12798321316875713</c:v>
                </c:pt>
                <c:pt idx="1">
                  <c:v>1.7517232418946884</c:v>
                </c:pt>
                <c:pt idx="2">
                  <c:v>4.5686150128548206</c:v>
                </c:pt>
                <c:pt idx="3">
                  <c:v>7.6938968689493707</c:v>
                </c:pt>
                <c:pt idx="4">
                  <c:v>10.783044375026945</c:v>
                </c:pt>
                <c:pt idx="5">
                  <c:v>13.727638643411781</c:v>
                </c:pt>
                <c:pt idx="6">
                  <c:v>16.502382731650936</c:v>
                </c:pt>
                <c:pt idx="7">
                  <c:v>19.11078602147531</c:v>
                </c:pt>
                <c:pt idx="8">
                  <c:v>21.56567544412437</c:v>
                </c:pt>
                <c:pt idx="9">
                  <c:v>23.882000168449917</c:v>
                </c:pt>
                <c:pt idx="10">
                  <c:v>26.07419638964485</c:v>
                </c:pt>
                <c:pt idx="11">
                  <c:v>28.155313000155548</c:v>
                </c:pt>
                <c:pt idx="12">
                  <c:v>30.136826976248095</c:v>
                </c:pt>
                <c:pt idx="13">
                  <c:v>32.028720790413502</c:v>
                </c:pt>
                <c:pt idx="14">
                  <c:v>33.839647041150556</c:v>
                </c:pt>
                <c:pt idx="15">
                  <c:v>35.577109102568514</c:v>
                </c:pt>
                <c:pt idx="16">
                  <c:v>37.247630216817946</c:v>
                </c:pt>
                <c:pt idx="17">
                  <c:v>38.856901983503526</c:v>
                </c:pt>
                <c:pt idx="18">
                  <c:v>40.409910935390435</c:v>
                </c:pt>
                <c:pt idx="19">
                  <c:v>41.911044907526829</c:v>
                </c:pt>
                <c:pt idx="20">
                  <c:v>43.36418186738365</c:v>
                </c:pt>
                <c:pt idx="21">
                  <c:v>44.772763962619067</c:v>
                </c:pt>
                <c:pt idx="22">
                  <c:v>46.139859292688108</c:v>
                </c:pt>
                <c:pt idx="23">
                  <c:v>47.468213556957721</c:v>
                </c:pt>
                <c:pt idx="24">
                  <c:v>48.760293376081911</c:v>
                </c:pt>
                <c:pt idx="25">
                  <c:v>50.018322764053721</c:v>
                </c:pt>
                <c:pt idx="26">
                  <c:v>51.244313956671846</c:v>
                </c:pt>
                <c:pt idx="27">
                  <c:v>52.440093577336398</c:v>
                </c:pt>
                <c:pt idx="28">
                  <c:v>53.607324937792804</c:v>
                </c:pt>
                <c:pt idx="29">
                  <c:v>54.747527123167757</c:v>
                </c:pt>
                <c:pt idx="30">
                  <c:v>55.86209139112588</c:v>
                </c:pt>
                <c:pt idx="31">
                  <c:v>56.952295318731039</c:v>
                </c:pt>
                <c:pt idx="32">
                  <c:v>58.019315053034433</c:v>
                </c:pt>
                <c:pt idx="33">
                  <c:v>59.064235958786874</c:v>
                </c:pt>
                <c:pt idx="34">
                  <c:v>60.088061905980013</c:v>
                </c:pt>
                <c:pt idx="35">
                  <c:v>61.091723398757445</c:v>
                </c:pt>
                <c:pt idx="36">
                  <c:v>62.076084713700979</c:v>
                </c:pt>
                <c:pt idx="37">
                  <c:v>63.041950188075973</c:v>
                </c:pt>
                <c:pt idx="38">
                  <c:v>63.990069776117934</c:v>
                </c:pt>
                <c:pt idx="39">
                  <c:v>64.921143972907117</c:v>
                </c:pt>
                <c:pt idx="40">
                  <c:v>65.835828190055594</c:v>
                </c:pt>
                <c:pt idx="41">
                  <c:v>66.734736654716301</c:v>
                </c:pt>
                <c:pt idx="42">
                  <c:v>67.618445892834899</c:v>
                </c:pt>
                <c:pt idx="43">
                  <c:v>68.487497848717595</c:v>
                </c:pt>
                <c:pt idx="44">
                  <c:v>69.342402685565105</c:v>
                </c:pt>
                <c:pt idx="45">
                  <c:v>70.183641305380377</c:v>
                </c:pt>
                <c:pt idx="46">
                  <c:v>71.011667621383737</c:v>
                </c:pt>
                <c:pt idx="47">
                  <c:v>71.826910611605072</c:v>
                </c:pt>
                <c:pt idx="48">
                  <c:v>72.629776178527749</c:v>
                </c:pt>
                <c:pt idx="49">
                  <c:v>73.420648836426437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8A5-4C10-AE47-A0BA131557B2}"/>
            </c:ext>
          </c:extLst>
        </c:ser>
        <c:ser>
          <c:idx val="11"/>
          <c:order val="11"/>
          <c:tx>
            <c:strRef>
              <c:f>Vega!$B$14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Vega!$C$14:$AZ$14</c:f>
              <c:numCache>
                <c:formatCode>General</c:formatCode>
                <c:ptCount val="50"/>
                <c:pt idx="0">
                  <c:v>6.7367205338682626E-4</c:v>
                </c:pt>
                <c:pt idx="1">
                  <c:v>0.12568601723670436</c:v>
                </c:pt>
                <c:pt idx="2">
                  <c:v>0.78303531906443402</c:v>
                </c:pt>
                <c:pt idx="3">
                  <c:v>2.0381249613524028</c:v>
                </c:pt>
                <c:pt idx="4">
                  <c:v>3.7091844871351078</c:v>
                </c:pt>
                <c:pt idx="5">
                  <c:v>5.6204093069575212</c:v>
                </c:pt>
                <c:pt idx="6">
                  <c:v>7.6514510849957471</c:v>
                </c:pt>
                <c:pt idx="7">
                  <c:v>9.7273487048199279</c:v>
                </c:pt>
                <c:pt idx="8">
                  <c:v>11.803032678147581</c:v>
                </c:pt>
                <c:pt idx="9">
                  <c:v>13.852014243074303</c:v>
                </c:pt>
                <c:pt idx="10">
                  <c:v>15.859186604663719</c:v>
                </c:pt>
                <c:pt idx="11">
                  <c:v>17.816406940221793</c:v>
                </c:pt>
                <c:pt idx="12">
                  <c:v>19.71979942173666</c:v>
                </c:pt>
                <c:pt idx="13">
                  <c:v>21.568099589288472</c:v>
                </c:pt>
                <c:pt idx="14">
                  <c:v>23.361628867219324</c:v>
                </c:pt>
                <c:pt idx="15">
                  <c:v>25.101653725708925</c:v>
                </c:pt>
                <c:pt idx="16">
                  <c:v>26.78998240127396</c:v>
                </c:pt>
                <c:pt idx="17">
                  <c:v>28.428710132794841</c:v>
                </c:pt>
                <c:pt idx="18">
                  <c:v>30.02005830651083</c:v>
                </c:pt>
                <c:pt idx="19">
                  <c:v>31.566273567519069</c:v>
                </c:pt>
                <c:pt idx="20">
                  <c:v>33.069565522997095</c:v>
                </c:pt>
                <c:pt idx="21">
                  <c:v>34.532069413572508</c:v>
                </c:pt>
                <c:pt idx="22">
                  <c:v>35.9558249757835</c:v>
                </c:pt>
                <c:pt idx="23">
                  <c:v>37.342765788450286</c:v>
                </c:pt>
                <c:pt idx="24">
                  <c:v>38.6947153637593</c:v>
                </c:pt>
                <c:pt idx="25">
                  <c:v>40.013387519278972</c:v>
                </c:pt>
                <c:pt idx="26">
                  <c:v>41.300389401760327</c:v>
                </c:pt>
                <c:pt idx="27">
                  <c:v>42.557226084391417</c:v>
                </c:pt>
                <c:pt idx="28">
                  <c:v>43.785306025274295</c:v>
                </c:pt>
                <c:pt idx="29">
                  <c:v>44.985946919602924</c:v>
                </c:pt>
                <c:pt idx="30">
                  <c:v>46.160381642256802</c:v>
                </c:pt>
                <c:pt idx="31">
                  <c:v>47.309764088003746</c:v>
                </c:pt>
                <c:pt idx="32">
                  <c:v>48.435174790831724</c:v>
                </c:pt>
                <c:pt idx="33">
                  <c:v>49.537626253812817</c:v>
                </c:pt>
                <c:pt idx="34">
                  <c:v>50.61806795418557</c:v>
                </c:pt>
                <c:pt idx="35">
                  <c:v>51.677391010320413</c:v>
                </c:pt>
                <c:pt idx="36">
                  <c:v>52.716432511499939</c:v>
                </c:pt>
                <c:pt idx="37">
                  <c:v>53.735979520456866</c:v>
                </c:pt>
                <c:pt idx="38">
                  <c:v>54.736772764048467</c:v>
                </c:pt>
                <c:pt idx="39">
                  <c:v>55.719510030463624</c:v>
                </c:pt>
                <c:pt idx="40">
                  <c:v>56.684849292757477</c:v>
                </c:pt>
                <c:pt idx="41">
                  <c:v>57.63341157883518</c:v>
                </c:pt>
                <c:pt idx="42">
                  <c:v>58.565783607643269</c:v>
                </c:pt>
                <c:pt idx="43">
                  <c:v>59.482520210533906</c:v>
                </c:pt>
                <c:pt idx="44">
                  <c:v>60.384146555720676</c:v>
                </c:pt>
                <c:pt idx="45">
                  <c:v>61.271160192570157</c:v>
                </c:pt>
                <c:pt idx="46">
                  <c:v>62.144032931245839</c:v>
                </c:pt>
                <c:pt idx="47">
                  <c:v>63.003212572001203</c:v>
                </c:pt>
                <c:pt idx="48">
                  <c:v>63.849124497232545</c:v>
                </c:pt>
                <c:pt idx="49">
                  <c:v>64.682173138278301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8A5-4C10-AE47-A0BA131557B2}"/>
            </c:ext>
          </c:extLst>
        </c:ser>
        <c:ser>
          <c:idx val="12"/>
          <c:order val="12"/>
          <c:tx>
            <c:strRef>
              <c:f>Vega!$B$15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Vega!$C$15:$AZ$15</c:f>
              <c:numCache>
                <c:formatCode>General</c:formatCode>
                <c:ptCount val="50"/>
                <c:pt idx="0">
                  <c:v>6.9599615016725046E-7</c:v>
                </c:pt>
                <c:pt idx="1">
                  <c:v>3.9971023224294197E-3</c:v>
                </c:pt>
                <c:pt idx="2">
                  <c:v>7.8044023598122875E-2</c:v>
                </c:pt>
                <c:pt idx="3">
                  <c:v>0.3596160837798813</c:v>
                </c:pt>
                <c:pt idx="4">
                  <c:v>0.92196988092317333</c:v>
                </c:pt>
                <c:pt idx="5">
                  <c:v>1.7556027112756589</c:v>
                </c:pt>
                <c:pt idx="6">
                  <c:v>2.8136724172845149</c:v>
                </c:pt>
                <c:pt idx="7">
                  <c:v>4.0427583513910763</c:v>
                </c:pt>
                <c:pt idx="8">
                  <c:v>5.3953369730765104</c:v>
                </c:pt>
                <c:pt idx="9">
                  <c:v>6.8329969593104831</c:v>
                </c:pt>
                <c:pt idx="10">
                  <c:v>8.3260536913593359</c:v>
                </c:pt>
                <c:pt idx="11">
                  <c:v>9.8520911596772116</c:v>
                </c:pt>
                <c:pt idx="12">
                  <c:v>11.394402597818072</c:v>
                </c:pt>
                <c:pt idx="13">
                  <c:v>12.940644072043922</c:v>
                </c:pt>
                <c:pt idx="14">
                  <c:v>14.481762406610269</c:v>
                </c:pt>
                <c:pt idx="15">
                  <c:v>16.011172331267801</c:v>
                </c:pt>
                <c:pt idx="16">
                  <c:v>17.52413573270298</c:v>
                </c:pt>
                <c:pt idx="17">
                  <c:v>19.017296878528782</c:v>
                </c:pt>
                <c:pt idx="18">
                  <c:v>20.488335215587796</c:v>
                </c:pt>
                <c:pt idx="19">
                  <c:v>21.935705841356853</c:v>
                </c:pt>
                <c:pt idx="20">
                  <c:v>23.358445086374903</c:v>
                </c:pt>
                <c:pt idx="21">
                  <c:v>24.756024440177889</c:v>
                </c:pt>
                <c:pt idx="22">
                  <c:v>26.128240441765367</c:v>
                </c:pt>
                <c:pt idx="23">
                  <c:v>27.475131411731976</c:v>
                </c:pt>
                <c:pt idx="24">
                  <c:v>28.79691429560728</c:v>
                </c:pt>
                <c:pt idx="25">
                  <c:v>30.09393663919229</c:v>
                </c:pt>
                <c:pt idx="26">
                  <c:v>31.366639998343121</c:v>
                </c:pt>
                <c:pt idx="27">
                  <c:v>32.615532025490417</c:v>
                </c:pt>
                <c:pt idx="28">
                  <c:v>33.84116516662602</c:v>
                </c:pt>
                <c:pt idx="29">
                  <c:v>35.044120413266619</c:v>
                </c:pt>
                <c:pt idx="30">
                  <c:v>36.224994932937349</c:v>
                </c:pt>
                <c:pt idx="31">
                  <c:v>37.384392684336028</c:v>
                </c:pt>
                <c:pt idx="32">
                  <c:v>38.522917335092387</c:v>
                </c:pt>
                <c:pt idx="33">
                  <c:v>39.641166959466624</c:v>
                </c:pt>
                <c:pt idx="34">
                  <c:v>40.73973011393997</c:v>
                </c:pt>
                <c:pt idx="35">
                  <c:v>41.819182980312902</c:v>
                </c:pt>
                <c:pt idx="36">
                  <c:v>42.880087335902076</c:v>
                </c:pt>
                <c:pt idx="37">
                  <c:v>43.922989164075119</c:v>
                </c:pt>
                <c:pt idx="38">
                  <c:v>44.948417759659009</c:v>
                </c:pt>
                <c:pt idx="39">
                  <c:v>45.956885215668855</c:v>
                </c:pt>
                <c:pt idx="40">
                  <c:v>46.948886202551655</c:v>
                </c:pt>
                <c:pt idx="41">
                  <c:v>47.924897970395499</c:v>
                </c:pt>
                <c:pt idx="42">
                  <c:v>48.88538051958421</c:v>
                </c:pt>
                <c:pt idx="43">
                  <c:v>49.830776897143188</c:v>
                </c:pt>
                <c:pt idx="44">
                  <c:v>50.761513585252125</c:v>
                </c:pt>
                <c:pt idx="45">
                  <c:v>51.678000955664004</c:v>
                </c:pt>
                <c:pt idx="46">
                  <c:v>52.580633769490447</c:v>
                </c:pt>
                <c:pt idx="47">
                  <c:v>53.469791706333211</c:v>
                </c:pt>
                <c:pt idx="48">
                  <c:v>54.345839910310794</c:v>
                </c:pt>
                <c:pt idx="49">
                  <c:v>55.209129543356326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8A5-4C10-AE47-A0BA131557B2}"/>
            </c:ext>
          </c:extLst>
        </c:ser>
        <c:ser>
          <c:idx val="13"/>
          <c:order val="13"/>
          <c:tx>
            <c:strRef>
              <c:f>Vega!$B$16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Vega!$C$16:$AZ$16</c:f>
              <c:numCache>
                <c:formatCode>General</c:formatCode>
                <c:ptCount val="50"/>
                <c:pt idx="0">
                  <c:v>1.7359781226716246E-10</c:v>
                </c:pt>
                <c:pt idx="1">
                  <c:v>6.2485864027086947E-5</c:v>
                </c:pt>
                <c:pt idx="2">
                  <c:v>4.8462877771001354E-3</c:v>
                </c:pt>
                <c:pt idx="3">
                  <c:v>4.4506677252410989E-2</c:v>
                </c:pt>
                <c:pt idx="4">
                  <c:v>0.17258883967674485</c:v>
                </c:pt>
                <c:pt idx="5">
                  <c:v>0.43304080862080169</c:v>
                </c:pt>
                <c:pt idx="6">
                  <c:v>0.8451859386720677</c:v>
                </c:pt>
                <c:pt idx="7">
                  <c:v>1.4077924238848247</c:v>
                </c:pt>
                <c:pt idx="8">
                  <c:v>2.1076516585977934</c:v>
                </c:pt>
                <c:pt idx="9">
                  <c:v>2.9263550912716783</c:v>
                </c:pt>
                <c:pt idx="10">
                  <c:v>3.8444085300751998</c:v>
                </c:pt>
                <c:pt idx="11">
                  <c:v>4.8433685900028802</c:v>
                </c:pt>
                <c:pt idx="12">
                  <c:v>5.9067745054405689</c:v>
                </c:pt>
                <c:pt idx="13">
                  <c:v>7.0204195262460933</c:v>
                </c:pt>
                <c:pt idx="14">
                  <c:v>8.1722909647814852</c:v>
                </c:pt>
                <c:pt idx="15">
                  <c:v>9.352363118738527</c:v>
                </c:pt>
                <c:pt idx="16">
                  <c:v>10.55234060950899</c:v>
                </c:pt>
                <c:pt idx="17">
                  <c:v>11.765400753187622</c:v>
                </c:pt>
                <c:pt idx="18">
                  <c:v>12.98595701630139</c:v>
                </c:pt>
                <c:pt idx="19">
                  <c:v>14.20945168887329</c:v>
                </c:pt>
                <c:pt idx="20">
                  <c:v>15.432178942485105</c:v>
                </c:pt>
                <c:pt idx="21">
                  <c:v>16.651136214215271</c:v>
                </c:pt>
                <c:pt idx="22">
                  <c:v>17.863900588459924</c:v>
                </c:pt>
                <c:pt idx="23">
                  <c:v>19.06852656730797</c:v>
                </c:pt>
                <c:pt idx="24">
                  <c:v>20.263461805472964</c:v>
                </c:pt>
                <c:pt idx="25">
                  <c:v>21.447477763897343</c:v>
                </c:pt>
                <c:pt idx="26">
                  <c:v>22.619612667580878</c:v>
                </c:pt>
                <c:pt idx="27">
                  <c:v>23.779124570837745</c:v>
                </c:pt>
                <c:pt idx="28">
                  <c:v>24.925452708210102</c:v>
                </c:pt>
                <c:pt idx="29">
                  <c:v>26.058185632494091</c:v>
                </c:pt>
                <c:pt idx="30">
                  <c:v>27.177034913223771</c:v>
                </c:pt>
                <c:pt idx="31">
                  <c:v>28.281813394243404</c:v>
                </c:pt>
                <c:pt idx="32">
                  <c:v>29.372417193910913</c:v>
                </c:pt>
                <c:pt idx="33">
                  <c:v>30.448810782362322</c:v>
                </c:pt>
                <c:pt idx="34">
                  <c:v>31.511014592968571</c:v>
                </c:pt>
                <c:pt idx="35">
                  <c:v>32.559094724718612</c:v>
                </c:pt>
                <c:pt idx="36">
                  <c:v>33.593154373064571</c:v>
                </c:pt>
                <c:pt idx="37">
                  <c:v>34.613326692332606</c:v>
                </c:pt>
                <c:pt idx="38">
                  <c:v>35.619768846050256</c:v>
                </c:pt>
                <c:pt idx="39">
                  <c:v>36.612657044838834</c:v>
                </c:pt>
                <c:pt idx="40">
                  <c:v>37.59218240678333</c:v>
                </c:pt>
                <c:pt idx="41">
                  <c:v>38.558547503963645</c:v>
                </c:pt>
                <c:pt idx="42">
                  <c:v>39.51196348235063</c:v>
                </c:pt>
                <c:pt idx="43">
                  <c:v>40.452647661540155</c:v>
                </c:pt>
                <c:pt idx="44">
                  <c:v>41.380821536613631</c:v>
                </c:pt>
                <c:pt idx="45">
                  <c:v>42.296709117429508</c:v>
                </c:pt>
                <c:pt idx="46">
                  <c:v>43.200535551376994</c:v>
                </c:pt>
                <c:pt idx="47">
                  <c:v>44.09252598449163</c:v>
                </c:pt>
                <c:pt idx="48">
                  <c:v>44.972904623171615</c:v>
                </c:pt>
                <c:pt idx="49">
                  <c:v>45.841893964826845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8A5-4C10-AE47-A0BA131557B2}"/>
            </c:ext>
          </c:extLst>
        </c:ser>
        <c:ser>
          <c:idx val="14"/>
          <c:order val="14"/>
          <c:tx>
            <c:strRef>
              <c:f>Vega!$B$17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Vega!$C$17:$AZ$17</c:f>
              <c:numCache>
                <c:formatCode>General</c:formatCode>
                <c:ptCount val="50"/>
                <c:pt idx="0">
                  <c:v>1.2477221902307152E-14</c:v>
                </c:pt>
                <c:pt idx="1">
                  <c:v>5.2457823818334003E-7</c:v>
                </c:pt>
                <c:pt idx="2">
                  <c:v>1.9887917206308568E-4</c:v>
                </c:pt>
                <c:pt idx="3">
                  <c:v>4.0381373145575378E-3</c:v>
                </c:pt>
                <c:pt idx="4">
                  <c:v>2.5206590353608994E-2</c:v>
                </c:pt>
                <c:pt idx="5">
                  <c:v>8.6868143918896412E-2</c:v>
                </c:pt>
                <c:pt idx="6">
                  <c:v>0.21268370180965993</c:v>
                </c:pt>
                <c:pt idx="7">
                  <c:v>0.41991195969349748</c:v>
                </c:pt>
                <c:pt idx="8">
                  <c:v>0.71754270940931397</c:v>
                </c:pt>
                <c:pt idx="9">
                  <c:v>1.1074379087941753</c:v>
                </c:pt>
                <c:pt idx="10">
                  <c:v>1.5863973751921021</c:v>
                </c:pt>
                <c:pt idx="11">
                  <c:v>2.1481027185301191</c:v>
                </c:pt>
                <c:pt idx="12">
                  <c:v>2.7846059498378364</c:v>
                </c:pt>
                <c:pt idx="13">
                  <c:v>3.4873513482802201</c:v>
                </c:pt>
                <c:pt idx="14">
                  <c:v>4.2478239170198897</c:v>
                </c:pt>
                <c:pt idx="15">
                  <c:v>5.0579302494003882</c:v>
                </c:pt>
                <c:pt idx="16">
                  <c:v>5.9101996273475628</c:v>
                </c:pt>
                <c:pt idx="17">
                  <c:v>6.7978699314465025</c:v>
                </c:pt>
                <c:pt idx="18">
                  <c:v>7.7149029312157689</c:v>
                </c:pt>
                <c:pt idx="19">
                  <c:v>8.6559585117731039</c:v>
                </c:pt>
                <c:pt idx="20">
                  <c:v>9.6163468612222029</c:v>
                </c:pt>
                <c:pt idx="21">
                  <c:v>10.591970534557545</c:v>
                </c:pt>
                <c:pt idx="22">
                  <c:v>11.57926363222289</c:v>
                </c:pt>
                <c:pt idx="23">
                  <c:v>12.575132312224143</c:v>
                </c:pt>
                <c:pt idx="24">
                  <c:v>13.576898939667819</c:v>
                </c:pt>
                <c:pt idx="25">
                  <c:v>14.582250985790861</c:v>
                </c:pt>
                <c:pt idx="26">
                  <c:v>15.589195064513387</c:v>
                </c:pt>
                <c:pt idx="27">
                  <c:v>16.596016069657271</c:v>
                </c:pt>
                <c:pt idx="28">
                  <c:v>17.601241140088202</c:v>
                </c:pt>
                <c:pt idx="29">
                  <c:v>18.603608061799036</c:v>
                </c:pt>
                <c:pt idx="30">
                  <c:v>19.602037669459797</c:v>
                </c:pt>
                <c:pt idx="31">
                  <c:v>20.595609805918933</c:v>
                </c:pt>
                <c:pt idx="32">
                  <c:v>21.583542418028113</c:v>
                </c:pt>
                <c:pt idx="33">
                  <c:v>22.565173399415233</c:v>
                </c:pt>
                <c:pt idx="34">
                  <c:v>23.539944828357218</c:v>
                </c:pt>
                <c:pt idx="35">
                  <c:v>24.507389287473689</c:v>
                </c:pt>
                <c:pt idx="36">
                  <c:v>25.467117989157323</c:v>
                </c:pt>
                <c:pt idx="37">
                  <c:v>26.418810465194621</c:v>
                </c:pt>
                <c:pt idx="38">
                  <c:v>27.362205610331646</c:v>
                </c:pt>
                <c:pt idx="39">
                  <c:v>28.297093897443329</c:v>
                </c:pt>
                <c:pt idx="40">
                  <c:v>29.223310606559266</c:v>
                </c:pt>
                <c:pt idx="41">
                  <c:v>30.140729931498949</c:v>
                </c:pt>
                <c:pt idx="42">
                  <c:v>31.049259846557081</c:v>
                </c:pt>
                <c:pt idx="43">
                  <c:v>31.94883763185544</c:v>
                </c:pt>
                <c:pt idx="44">
                  <c:v>32.839425969937516</c:v>
                </c:pt>
                <c:pt idx="45">
                  <c:v>33.721009538208556</c:v>
                </c:pt>
                <c:pt idx="46">
                  <c:v>34.593592032166065</c:v>
                </c:pt>
                <c:pt idx="47">
                  <c:v>35.4571935632598</c:v>
                </c:pt>
                <c:pt idx="48">
                  <c:v>36.311848382860006</c:v>
                </c:pt>
                <c:pt idx="49">
                  <c:v>37.157602890379685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8A5-4C10-AE47-A0BA131557B2}"/>
            </c:ext>
          </c:extLst>
        </c:ser>
        <c:ser>
          <c:idx val="15"/>
          <c:order val="15"/>
          <c:tx>
            <c:strRef>
              <c:f>Vega!$B$18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Vega!$C$18:$AZ$18</c:f>
              <c:numCache>
                <c:formatCode>General</c:formatCode>
                <c:ptCount val="50"/>
                <c:pt idx="0">
                  <c:v>3.0086617304103603E-19</c:v>
                </c:pt>
                <c:pt idx="1">
                  <c:v>2.5517633623765734E-9</c:v>
                </c:pt>
                <c:pt idx="2">
                  <c:v>5.673847415003242E-6</c:v>
                </c:pt>
                <c:pt idx="3">
                  <c:v>2.7899636340967843E-4</c:v>
                </c:pt>
                <c:pt idx="4">
                  <c:v>2.9607997104108257E-3</c:v>
                </c:pt>
                <c:pt idx="5">
                  <c:v>1.4534734818581387E-2</c:v>
                </c:pt>
                <c:pt idx="6">
                  <c:v>4.5817559828766861E-2</c:v>
                </c:pt>
                <c:pt idx="7">
                  <c:v>0.10933755800638401</c:v>
                </c:pt>
                <c:pt idx="8">
                  <c:v>0.21651121661498729</c:v>
                </c:pt>
                <c:pt idx="9">
                  <c:v>0.3759838968894918</c:v>
                </c:pt>
                <c:pt idx="10">
                  <c:v>0.59315314239828842</c:v>
                </c:pt>
                <c:pt idx="11">
                  <c:v>0.87042373679435603</c:v>
                </c:pt>
                <c:pt idx="12">
                  <c:v>1.2077799647907281</c:v>
                </c:pt>
                <c:pt idx="13">
                  <c:v>1.6034188055297109</c:v>
                </c:pt>
                <c:pt idx="14">
                  <c:v>2.0543195973688433</c:v>
                </c:pt>
                <c:pt idx="15">
                  <c:v>2.5567060247164042</c:v>
                </c:pt>
                <c:pt idx="16">
                  <c:v>3.1063971677367914</c:v>
                </c:pt>
                <c:pt idx="17">
                  <c:v>3.6990616435204879</c:v>
                </c:pt>
                <c:pt idx="18">
                  <c:v>4.3303938633354155</c:v>
                </c:pt>
                <c:pt idx="19">
                  <c:v>4.9962307922047984</c:v>
                </c:pt>
                <c:pt idx="20">
                  <c:v>5.6926248309594163</c:v>
                </c:pt>
                <c:pt idx="21">
                  <c:v>6.4158852278226215</c:v>
                </c:pt>
                <c:pt idx="22">
                  <c:v>7.1625974800343037</c:v>
                </c:pt>
                <c:pt idx="23">
                  <c:v>7.9296277432243691</c:v>
                </c:pt>
                <c:pt idx="24">
                  <c:v>8.71411734878094</c:v>
                </c:pt>
                <c:pt idx="25">
                  <c:v>9.5134710738897823</c:v>
                </c:pt>
                <c:pt idx="26">
                  <c:v>10.325341728336111</c:v>
                </c:pt>
                <c:pt idx="27">
                  <c:v>11.147612832671498</c:v>
                </c:pt>
                <c:pt idx="28">
                  <c:v>11.978380592648342</c:v>
                </c:pt>
                <c:pt idx="29">
                  <c:v>12.815935968047906</c:v>
                </c:pt>
                <c:pt idx="30">
                  <c:v>13.65874734647465</c:v>
                </c:pt>
                <c:pt idx="31">
                  <c:v>14.505444131548403</c:v>
                </c:pt>
                <c:pt idx="32">
                  <c:v>15.354801415936322</c:v>
                </c:pt>
                <c:pt idx="33">
                  <c:v>16.205725815081035</c:v>
                </c:pt>
                <c:pt idx="34">
                  <c:v>17.057242474415357</c:v>
                </c:pt>
                <c:pt idx="35">
                  <c:v>17.90848322200749</c:v>
                </c:pt>
                <c:pt idx="36">
                  <c:v>18.758675813272102</c:v>
                </c:pt>
                <c:pt idx="37">
                  <c:v>19.607134199833613</c:v>
                </c:pt>
                <c:pt idx="38">
                  <c:v>20.453249747432885</c:v>
                </c:pt>
                <c:pt idx="39">
                  <c:v>21.296483325512209</c:v>
                </c:pt>
                <c:pt idx="40">
                  <c:v>22.136358192093887</c:v>
                </c:pt>
                <c:pt idx="41">
                  <c:v>22.972453600589866</c:v>
                </c:pt>
                <c:pt idx="42">
                  <c:v>23.804399059413846</c:v>
                </c:pt>
                <c:pt idx="43">
                  <c:v>24.631869180146499</c:v>
                </c:pt>
                <c:pt idx="44">
                  <c:v>25.454579055136705</c:v>
                </c:pt>
                <c:pt idx="45">
                  <c:v>26.272280110560548</c:v>
                </c:pt>
                <c:pt idx="46">
                  <c:v>27.08475638593254</c:v>
                </c:pt>
                <c:pt idx="47">
                  <c:v>27.891821195778448</c:v>
                </c:pt>
                <c:pt idx="48">
                  <c:v>28.693314133573928</c:v>
                </c:pt>
                <c:pt idx="49">
                  <c:v>29.489098382107919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8A5-4C10-AE47-A0BA131557B2}"/>
            </c:ext>
          </c:extLst>
        </c:ser>
        <c:ser>
          <c:idx val="16"/>
          <c:order val="16"/>
          <c:tx>
            <c:strRef>
              <c:f>Vega!$B$19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Vega!$C$2:$AZ$2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Vega!$C$19:$AZ$19</c:f>
              <c:numCache>
                <c:formatCode>General</c:formatCode>
                <c:ptCount val="50"/>
                <c:pt idx="0">
                  <c:v>2.775517486382491E-24</c:v>
                </c:pt>
                <c:pt idx="1">
                  <c:v>7.6802814218935164E-12</c:v>
                </c:pt>
                <c:pt idx="2">
                  <c:v>1.1756275778131188E-7</c:v>
                </c:pt>
                <c:pt idx="3">
                  <c:v>1.5167651578010572E-5</c:v>
                </c:pt>
                <c:pt idx="4">
                  <c:v>2.8713454403848714E-4</c:v>
                </c:pt>
                <c:pt idx="5">
                  <c:v>2.0732639788992959E-3</c:v>
                </c:pt>
                <c:pt idx="6">
                  <c:v>8.6094036586961634E-3</c:v>
                </c:pt>
                <c:pt idx="7">
                  <c:v>2.5262754622349434E-2</c:v>
                </c:pt>
                <c:pt idx="8">
                  <c:v>5.8750695962987917E-2</c:v>
                </c:pt>
                <c:pt idx="9">
                  <c:v>0.116026952425216</c:v>
                </c:pt>
                <c:pt idx="10">
                  <c:v>0.20335632192814179</c:v>
                </c:pt>
                <c:pt idx="11">
                  <c:v>0.3257661114972753</c:v>
                </c:pt>
                <c:pt idx="12">
                  <c:v>0.48684218832936027</c:v>
                </c:pt>
                <c:pt idx="13">
                  <c:v>0.68876165914736542</c:v>
                </c:pt>
                <c:pt idx="14">
                  <c:v>0.93245680955385046</c:v>
                </c:pt>
                <c:pt idx="15">
                  <c:v>1.217833439878055</c:v>
                </c:pt>
                <c:pt idx="16">
                  <c:v>1.5439960523041736</c:v>
                </c:pt>
                <c:pt idx="17">
                  <c:v>1.9094544799601063</c:v>
                </c:pt>
                <c:pt idx="18">
                  <c:v>2.3123009446115605</c:v>
                </c:pt>
                <c:pt idx="19">
                  <c:v>2.7503549451983313</c:v>
                </c:pt>
                <c:pt idx="20">
                  <c:v>3.2212777937511232</c:v>
                </c:pt>
                <c:pt idx="21">
                  <c:v>3.7226605838725733</c:v>
                </c:pt>
                <c:pt idx="22">
                  <c:v>4.2520899598047119</c:v>
                </c:pt>
                <c:pt idx="23">
                  <c:v>4.807195915935135</c:v>
                </c:pt>
                <c:pt idx="24">
                  <c:v>5.3856853896768113</c:v>
                </c:pt>
                <c:pt idx="25">
                  <c:v>5.9853648334585365</c:v>
                </c:pt>
                <c:pt idx="26">
                  <c:v>6.6041543774956892</c:v>
                </c:pt>
                <c:pt idx="27">
                  <c:v>7.2400956767669431</c:v>
                </c:pt>
                <c:pt idx="28">
                  <c:v>7.891355092386223</c:v>
                </c:pt>
                <c:pt idx="29">
                  <c:v>8.5562234911034274</c:v>
                </c:pt>
                <c:pt idx="30">
                  <c:v>9.2331136505373568</c:v>
                </c:pt>
                <c:pt idx="31">
                  <c:v>9.9205560223078901</c:v>
                </c:pt>
                <c:pt idx="32">
                  <c:v>10.617193420311686</c:v>
                </c:pt>
                <c:pt idx="33">
                  <c:v>11.321775057510788</c:v>
                </c:pt>
                <c:pt idx="34">
                  <c:v>12.033150243537415</c:v>
                </c:pt>
                <c:pt idx="35">
                  <c:v>12.750261970260983</c:v>
                </c:pt>
                <c:pt idx="36">
                  <c:v>13.472140547585303</c:v>
                </c:pt>
                <c:pt idx="37">
                  <c:v>14.197897402628854</c:v>
                </c:pt>
                <c:pt idx="38">
                  <c:v>14.926719118508881</c:v>
                </c:pt>
                <c:pt idx="39">
                  <c:v>15.657861761389585</c:v>
                </c:pt>
                <c:pt idx="40">
                  <c:v>16.390645524074944</c:v>
                </c:pt>
                <c:pt idx="41">
                  <c:v>17.124449699521453</c:v>
                </c:pt>
                <c:pt idx="42">
                  <c:v>17.858707986903486</c:v>
                </c:pt>
                <c:pt idx="43">
                  <c:v>18.592904125268181</c:v>
                </c:pt>
                <c:pt idx="44">
                  <c:v>19.326567844587149</c:v>
                </c:pt>
                <c:pt idx="45">
                  <c:v>20.059271120556957</c:v>
                </c:pt>
                <c:pt idx="46">
                  <c:v>20.790624717356469</c:v>
                </c:pt>
                <c:pt idx="47">
                  <c:v>21.520275001396129</c:v>
                </c:pt>
                <c:pt idx="48">
                  <c:v>22.247901008621341</c:v>
                </c:pt>
                <c:pt idx="49">
                  <c:v>22.973211747964488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8A5-4C10-AE47-A0BA131557B2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763875808"/>
        <c:axId val="763876288"/>
        <c:axId val="903771328"/>
      </c:surface3DChart>
      <c:catAx>
        <c:axId val="76387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876288"/>
        <c:crosses val="autoZero"/>
        <c:auto val="1"/>
        <c:lblAlgn val="ctr"/>
        <c:lblOffset val="100"/>
        <c:noMultiLvlLbl val="0"/>
      </c:catAx>
      <c:valAx>
        <c:axId val="76387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875808"/>
        <c:crosses val="autoZero"/>
        <c:crossBetween val="midCat"/>
      </c:valAx>
      <c:serAx>
        <c:axId val="9037713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87628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Vega, vol=20%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5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Vega!$B$24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Vega!$C$24:$AZ$24</c:f>
              <c:numCache>
                <c:formatCode>General</c:formatCode>
                <c:ptCount val="50"/>
                <c:pt idx="0">
                  <c:v>7.5719207361530399E-14</c:v>
                </c:pt>
                <c:pt idx="1">
                  <c:v>1.2945209838663301E-6</c:v>
                </c:pt>
                <c:pt idx="2">
                  <c:v>3.6360095554575423E-4</c:v>
                </c:pt>
                <c:pt idx="3">
                  <c:v>6.3545564110513127E-3</c:v>
                </c:pt>
                <c:pt idx="4">
                  <c:v>3.6252613967393113E-2</c:v>
                </c:pt>
                <c:pt idx="5">
                  <c:v>0.11766116464443548</c:v>
                </c:pt>
                <c:pt idx="6">
                  <c:v>0.27599282724645025</c:v>
                </c:pt>
                <c:pt idx="7">
                  <c:v>0.52767323580423287</c:v>
                </c:pt>
                <c:pt idx="8">
                  <c:v>0.87942603690305643</c:v>
                </c:pt>
                <c:pt idx="9">
                  <c:v>1.3304138019690321</c:v>
                </c:pt>
                <c:pt idx="10">
                  <c:v>1.8748825968944356</c:v>
                </c:pt>
                <c:pt idx="11">
                  <c:v>2.5043561414966375</c:v>
                </c:pt>
                <c:pt idx="12">
                  <c:v>3.2091843952606669</c:v>
                </c:pt>
                <c:pt idx="13">
                  <c:v>3.9795341981090879</c:v>
                </c:pt>
                <c:pt idx="14">
                  <c:v>4.8059720345238039</c:v>
                </c:pt>
                <c:pt idx="15">
                  <c:v>5.6797731675944894</c:v>
                </c:pt>
                <c:pt idx="16">
                  <c:v>6.5930573714195218</c:v>
                </c:pt>
                <c:pt idx="17">
                  <c:v>7.538820046281546</c:v>
                </c:pt>
                <c:pt idx="18">
                  <c:v>8.5109036588219933</c:v>
                </c:pt>
                <c:pt idx="19">
                  <c:v>9.503937869249075</c:v>
                </c:pt>
                <c:pt idx="20">
                  <c:v>10.513265705856911</c:v>
                </c:pt>
                <c:pt idx="21">
                  <c:v>11.534866059385207</c:v>
                </c:pt>
                <c:pt idx="22">
                  <c:v>12.565278302115333</c:v>
                </c:pt>
                <c:pt idx="23">
                  <c:v>13.601532075094449</c:v>
                </c:pt>
                <c:pt idx="24">
                  <c:v>14.64108361627944</c:v>
                </c:pt>
                <c:pt idx="25">
                  <c:v>15.681759019712322</c:v>
                </c:pt>
                <c:pt idx="26">
                  <c:v>16.721704261490761</c:v>
                </c:pt>
                <c:pt idx="27">
                  <c:v>17.759341536946337</c:v>
                </c:pt>
                <c:pt idx="28">
                  <c:v>18.793331320696328</c:v>
                </c:pt>
                <c:pt idx="29">
                  <c:v>19.822539521715424</c:v>
                </c:pt>
                <c:pt idx="30">
                  <c:v>20.846009118709055</c:v>
                </c:pt>
                <c:pt idx="31">
                  <c:v>21.862935701975683</c:v>
                </c:pt>
                <c:pt idx="32">
                  <c:v>22.872646401607753</c:v>
                </c:pt>
                <c:pt idx="33">
                  <c:v>23.874581739463569</c:v>
                </c:pt>
                <c:pt idx="34">
                  <c:v>24.868279998842571</c:v>
                </c:pt>
                <c:pt idx="35">
                  <c:v>25.853363758565663</c:v>
                </c:pt>
                <c:pt idx="36">
                  <c:v>26.829528285976657</c:v>
                </c:pt>
                <c:pt idx="37">
                  <c:v>27.796531525854977</c:v>
                </c:pt>
                <c:pt idx="38">
                  <c:v>28.754185459455467</c:v>
                </c:pt>
                <c:pt idx="39">
                  <c:v>29.702348640212861</c:v>
                </c:pt>
                <c:pt idx="40">
                  <c:v>30.640919740529409</c:v>
                </c:pt>
                <c:pt idx="41">
                  <c:v>31.569831968003299</c:v>
                </c:pt>
                <c:pt idx="42">
                  <c:v>32.489048229946164</c:v>
                </c:pt>
                <c:pt idx="43">
                  <c:v>33.398556942539614</c:v>
                </c:pt>
                <c:pt idx="44">
                  <c:v>34.298368395908859</c:v>
                </c:pt>
                <c:pt idx="45">
                  <c:v>35.188511599117916</c:v>
                </c:pt>
                <c:pt idx="46">
                  <c:v>36.06903153993381</c:v>
                </c:pt>
                <c:pt idx="47">
                  <c:v>36.93998680345117</c:v>
                </c:pt>
                <c:pt idx="48">
                  <c:v>37.80144750154809</c:v>
                </c:pt>
                <c:pt idx="49">
                  <c:v>38.653493471867854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AF-4654-B965-F729EB136808}"/>
            </c:ext>
          </c:extLst>
        </c:ser>
        <c:ser>
          <c:idx val="1"/>
          <c:order val="1"/>
          <c:tx>
            <c:strRef>
              <c:f>Vega!$B$25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Vega!$C$25:$AZ$25</c:f>
              <c:numCache>
                <c:formatCode>General</c:formatCode>
                <c:ptCount val="50"/>
                <c:pt idx="0">
                  <c:v>9.5374791219905339E-10</c:v>
                </c:pt>
                <c:pt idx="1">
                  <c:v>1.4674662728048757E-4</c:v>
                </c:pt>
                <c:pt idx="2">
                  <c:v>8.5735604439262144E-3</c:v>
                </c:pt>
                <c:pt idx="3">
                  <c:v>6.8337646766849849E-2</c:v>
                </c:pt>
                <c:pt idx="4">
                  <c:v>0.24340934965576361</c:v>
                </c:pt>
                <c:pt idx="5">
                  <c:v>0.57709392847973573</c:v>
                </c:pt>
                <c:pt idx="6">
                  <c:v>1.0816670734477618</c:v>
                </c:pt>
                <c:pt idx="7">
                  <c:v>1.7478240873614233</c:v>
                </c:pt>
                <c:pt idx="8">
                  <c:v>2.5556717355709901</c:v>
                </c:pt>
                <c:pt idx="9">
                  <c:v>3.4820176623168346</c:v>
                </c:pt>
                <c:pt idx="10">
                  <c:v>4.5042502866328498</c:v>
                </c:pt>
                <c:pt idx="11">
                  <c:v>5.6020635850180929</c:v>
                </c:pt>
                <c:pt idx="12">
                  <c:v>6.7580097629702482</c:v>
                </c:pt>
                <c:pt idx="13">
                  <c:v>7.9574773591914489</c:v>
                </c:pt>
                <c:pt idx="14">
                  <c:v>9.1884213071291327</c:v>
                </c:pt>
                <c:pt idx="15">
                  <c:v>10.441011681895494</c:v>
                </c:pt>
                <c:pt idx="16">
                  <c:v>11.707280646911745</c:v>
                </c:pt>
                <c:pt idx="17">
                  <c:v>12.980801690611436</c:v>
                </c:pt>
                <c:pt idx="18">
                  <c:v>14.256412549550996</c:v>
                </c:pt>
                <c:pt idx="19">
                  <c:v>15.529982480581038</c:v>
                </c:pt>
                <c:pt idx="20">
                  <c:v>16.79821993782414</c:v>
                </c:pt>
                <c:pt idx="21">
                  <c:v>18.058515144316484</c:v>
                </c:pt>
                <c:pt idx="22">
                  <c:v>19.3088119195125</c:v>
                </c:pt>
                <c:pt idx="23">
                  <c:v>20.547503614546901</c:v>
                </c:pt>
                <c:pt idx="24">
                  <c:v>21.773348711357155</c:v>
                </c:pt>
                <c:pt idx="25">
                  <c:v>22.985402367237597</c:v>
                </c:pt>
                <c:pt idx="26">
                  <c:v>24.182960849858414</c:v>
                </c:pt>
                <c:pt idx="27">
                  <c:v>25.365516380185209</c:v>
                </c:pt>
                <c:pt idx="28">
                  <c:v>26.532720378796991</c:v>
                </c:pt>
                <c:pt idx="29">
                  <c:v>27.684353502761887</c:v>
                </c:pt>
                <c:pt idx="30">
                  <c:v>28.820301177387346</c:v>
                </c:pt>
                <c:pt idx="31">
                  <c:v>29.940533582198725</c:v>
                </c:pt>
                <c:pt idx="32">
                  <c:v>31.045089254775352</c:v>
                </c:pt>
                <c:pt idx="33">
                  <c:v>32.134061639372852</c:v>
                </c:pt>
                <c:pt idx="34">
                  <c:v>33.207588037735881</c:v>
                </c:pt>
                <c:pt idx="35">
                  <c:v>34.265840523799298</c:v>
                </c:pt>
                <c:pt idx="36">
                  <c:v>35.309018467435116</c:v>
                </c:pt>
                <c:pt idx="37">
                  <c:v>36.337342379298605</c:v>
                </c:pt>
                <c:pt idx="38">
                  <c:v>37.351048842549083</c:v>
                </c:pt>
                <c:pt idx="39">
                  <c:v>38.350386340459224</c:v>
                </c:pt>
                <c:pt idx="40">
                  <c:v>39.335611823807682</c:v>
                </c:pt>
                <c:pt idx="41">
                  <c:v>40.306987890157572</c:v>
                </c:pt>
                <c:pt idx="42">
                  <c:v>41.264780469990392</c:v>
                </c:pt>
                <c:pt idx="43">
                  <c:v>42.209256933251318</c:v>
                </c:pt>
                <c:pt idx="44">
                  <c:v>43.14068454500223</c:v>
                </c:pt>
                <c:pt idx="45">
                  <c:v>44.059329211248674</c:v>
                </c:pt>
                <c:pt idx="46">
                  <c:v>44.965454466131249</c:v>
                </c:pt>
                <c:pt idx="47">
                  <c:v>45.859320659984178</c:v>
                </c:pt>
                <c:pt idx="48">
                  <c:v>46.741184314599202</c:v>
                </c:pt>
                <c:pt idx="49">
                  <c:v>47.611297617669926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AF-4654-B965-F729EB136808}"/>
            </c:ext>
          </c:extLst>
        </c:ser>
        <c:ser>
          <c:idx val="2"/>
          <c:order val="2"/>
          <c:tx>
            <c:strRef>
              <c:f>Vega!$B$26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Vega!$C$26:$AZ$26</c:f>
              <c:numCache>
                <c:formatCode>General</c:formatCode>
                <c:ptCount val="50"/>
                <c:pt idx="0">
                  <c:v>1.4305070674681115E-6</c:v>
                </c:pt>
                <c:pt idx="1">
                  <c:v>5.7361357105493501E-3</c:v>
                </c:pt>
                <c:pt idx="2">
                  <c:v>9.9359820227649873E-2</c:v>
                </c:pt>
                <c:pt idx="3">
                  <c:v>0.43122978474392237</c:v>
                </c:pt>
                <c:pt idx="4">
                  <c:v>1.0665604474636925</c:v>
                </c:pt>
                <c:pt idx="5">
                  <c:v>1.9828706392671891</c:v>
                </c:pt>
                <c:pt idx="6">
                  <c:v>3.124011842549157</c:v>
                </c:pt>
                <c:pt idx="7">
                  <c:v>4.4314430319658937</c:v>
                </c:pt>
                <c:pt idx="8">
                  <c:v>5.8553435054060303</c:v>
                </c:pt>
                <c:pt idx="9">
                  <c:v>7.3566173019582477</c:v>
                </c:pt>
                <c:pt idx="10">
                  <c:v>8.9057318877747544</c:v>
                </c:pt>
                <c:pt idx="11">
                  <c:v>10.480815062534839</c:v>
                </c:pt>
                <c:pt idx="12">
                  <c:v>12.065854413421338</c:v>
                </c:pt>
                <c:pt idx="13">
                  <c:v>13.649226100562165</c:v>
                </c:pt>
                <c:pt idx="14">
                  <c:v>15.222562068420235</c:v>
                </c:pt>
                <c:pt idx="15">
                  <c:v>16.779900926881471</c:v>
                </c:pt>
                <c:pt idx="16">
                  <c:v>18.31705896894757</c:v>
                </c:pt>
                <c:pt idx="17">
                  <c:v>19.831166221954575</c:v>
                </c:pt>
                <c:pt idx="18">
                  <c:v>21.320324287460689</c:v>
                </c:pt>
                <c:pt idx="19">
                  <c:v>22.783353493544926</c:v>
                </c:pt>
                <c:pt idx="20">
                  <c:v>24.219605468173892</c:v>
                </c:pt>
                <c:pt idx="21">
                  <c:v>25.628823716119584</c:v>
                </c:pt>
                <c:pt idx="22">
                  <c:v>27.011039536738156</c:v>
                </c:pt>
                <c:pt idx="23">
                  <c:v>28.366494069422391</c:v>
                </c:pt>
                <c:pt idx="24">
                  <c:v>29.69557974409884</c:v>
                </c:pt>
                <c:pt idx="25">
                  <c:v>30.998796211459091</c:v>
                </c:pt>
                <c:pt idx="26">
                  <c:v>32.276717127327771</c:v>
                </c:pt>
                <c:pt idx="27">
                  <c:v>33.529965108820782</c:v>
                </c:pt>
                <c:pt idx="28">
                  <c:v>34.759192867575116</c:v>
                </c:pt>
                <c:pt idx="29">
                  <c:v>35.965069029119618</c:v>
                </c:pt>
                <c:pt idx="30">
                  <c:v>37.148267518491366</c:v>
                </c:pt>
                <c:pt idx="31">
                  <c:v>38.309459666923864</c:v>
                </c:pt>
                <c:pt idx="32">
                  <c:v>39.449308398918156</c:v>
                </c:pt>
                <c:pt idx="33">
                  <c:v>40.56846401200216</c:v>
                </c:pt>
                <c:pt idx="34">
                  <c:v>41.667561176525147</c:v>
                </c:pt>
                <c:pt idx="35">
                  <c:v>42.747216869755398</c:v>
                </c:pt>
                <c:pt idx="36">
                  <c:v>43.808029024521524</c:v>
                </c:pt>
                <c:pt idx="37">
                  <c:v>44.850575722929094</c:v>
                </c:pt>
                <c:pt idx="38">
                  <c:v>45.875414804175861</c:v>
                </c:pt>
                <c:pt idx="39">
                  <c:v>46.883083785060741</c:v>
                </c:pt>
                <c:pt idx="40">
                  <c:v>47.874100014581792</c:v>
                </c:pt>
                <c:pt idx="41">
                  <c:v>48.848961001651752</c:v>
                </c:pt>
                <c:pt idx="42">
                  <c:v>49.80814486863796</c:v>
                </c:pt>
                <c:pt idx="43">
                  <c:v>50.752110894071684</c:v>
                </c:pt>
                <c:pt idx="44">
                  <c:v>51.681300116161317</c:v>
                </c:pt>
                <c:pt idx="45">
                  <c:v>52.596135975220548</c:v>
                </c:pt>
                <c:pt idx="46">
                  <c:v>53.497024978184079</c:v>
                </c:pt>
                <c:pt idx="47">
                  <c:v>54.384357372350145</c:v>
                </c:pt>
                <c:pt idx="48">
                  <c:v>55.258507818593969</c:v>
                </c:pt>
                <c:pt idx="49">
                  <c:v>56.119836056730868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AF-4654-B965-F729EB136808}"/>
            </c:ext>
          </c:extLst>
        </c:ser>
        <c:ser>
          <c:idx val="3"/>
          <c:order val="3"/>
          <c:tx>
            <c:strRef>
              <c:f>Vega!$B$27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Vega!$C$27:$AZ$27</c:f>
              <c:numCache>
                <c:formatCode>General</c:formatCode>
                <c:ptCount val="50"/>
                <c:pt idx="0">
                  <c:v>3.770139897571843E-4</c:v>
                </c:pt>
                <c:pt idx="1">
                  <c:v>9.3928751471449773E-2</c:v>
                </c:pt>
                <c:pt idx="2">
                  <c:v>0.64440735249376047</c:v>
                </c:pt>
                <c:pt idx="3">
                  <c:v>1.76012583898282</c:v>
                </c:pt>
                <c:pt idx="4">
                  <c:v>3.2972479768503953</c:v>
                </c:pt>
                <c:pt idx="5">
                  <c:v>5.0934802908825016</c:v>
                </c:pt>
                <c:pt idx="6">
                  <c:v>7.0302629740001548</c:v>
                </c:pt>
                <c:pt idx="7">
                  <c:v>9.0304222542602286</c:v>
                </c:pt>
                <c:pt idx="8">
                  <c:v>11.045773801093517</c:v>
                </c:pt>
                <c:pt idx="9">
                  <c:v>13.04687901912169</c:v>
                </c:pt>
                <c:pt idx="10">
                  <c:v>15.016139686175775</c:v>
                </c:pt>
                <c:pt idx="11">
                  <c:v>16.943400813190056</c:v>
                </c:pt>
                <c:pt idx="12">
                  <c:v>18.823190802535411</c:v>
                </c:pt>
                <c:pt idx="13">
                  <c:v>20.652987413754325</c:v>
                </c:pt>
                <c:pt idx="14">
                  <c:v>22.432120859181026</c:v>
                </c:pt>
                <c:pt idx="15">
                  <c:v>24.16107419010094</c:v>
                </c:pt>
                <c:pt idx="16">
                  <c:v>25.841033667205465</c:v>
                </c:pt>
                <c:pt idx="17">
                  <c:v>27.473598126491964</c:v>
                </c:pt>
                <c:pt idx="18">
                  <c:v>29.060590568531996</c:v>
                </c:pt>
                <c:pt idx="19">
                  <c:v>30.603936130050933</c:v>
                </c:pt>
                <c:pt idx="20">
                  <c:v>32.105583537073763</c:v>
                </c:pt>
                <c:pt idx="21">
                  <c:v>33.567455236646303</c:v>
                </c:pt>
                <c:pt idx="22">
                  <c:v>34.99141653519402</c:v>
                </c:pt>
                <c:pt idx="23">
                  <c:v>36.379257362797354</c:v>
                </c:pt>
                <c:pt idx="24">
                  <c:v>37.73268241841393</c:v>
                </c:pt>
                <c:pt idx="25">
                  <c:v>39.053306852092625</c:v>
                </c:pt>
                <c:pt idx="26">
                  <c:v>40.342655568408432</c:v>
                </c:pt>
                <c:pt idx="27">
                  <c:v>41.602164855785595</c:v>
                </c:pt>
                <c:pt idx="28">
                  <c:v>42.833185464380641</c:v>
                </c:pt>
                <c:pt idx="29">
                  <c:v>44.036986538728897</c:v>
                </c:pt>
                <c:pt idx="30">
                  <c:v>45.214760004758176</c:v>
                </c:pt>
                <c:pt idx="31">
                  <c:v>46.367625143262551</c:v>
                </c:pt>
                <c:pt idx="32">
                  <c:v>47.496633172958113</c:v>
                </c:pt>
                <c:pt idx="33">
                  <c:v>48.602771728864155</c:v>
                </c:pt>
                <c:pt idx="34">
                  <c:v>49.686969164807088</c:v>
                </c:pt>
                <c:pt idx="35">
                  <c:v>50.750098638355453</c:v>
                </c:pt>
                <c:pt idx="36">
                  <c:v>51.792981956601317</c:v>
                </c:pt>
                <c:pt idx="37">
                  <c:v>52.816393174763832</c:v>
                </c:pt>
                <c:pt idx="38">
                  <c:v>53.821061948590248</c:v>
                </c:pt>
                <c:pt idx="39">
                  <c:v>54.807676647351535</c:v>
                </c:pt>
                <c:pt idx="40">
                  <c:v>55.776887237845955</c:v>
                </c:pt>
                <c:pt idx="41">
                  <c:v>56.729307951913036</c:v>
                </c:pt>
                <c:pt idx="42">
                  <c:v>57.665519751002883</c:v>
                </c:pt>
                <c:pt idx="43">
                  <c:v>58.586072601679923</c:v>
                </c:pt>
                <c:pt idx="44">
                  <c:v>59.491487575800676</c:v>
                </c:pt>
                <c:pt idx="45">
                  <c:v>60.382258788663385</c:v>
                </c:pt>
                <c:pt idx="46">
                  <c:v>61.258855187795142</c:v>
                </c:pt>
                <c:pt idx="47">
                  <c:v>62.121722204305385</c:v>
                </c:pt>
                <c:pt idx="48">
                  <c:v>62.971283277945844</c:v>
                </c:pt>
                <c:pt idx="49">
                  <c:v>63.807941266216019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AF-4654-B965-F729EB136808}"/>
            </c:ext>
          </c:extLst>
        </c:ser>
        <c:ser>
          <c:idx val="4"/>
          <c:order val="4"/>
          <c:tx>
            <c:strRef>
              <c:f>Vega!$B$28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Vega!$C$28:$AZ$28</c:f>
              <c:numCache>
                <c:formatCode>General</c:formatCode>
                <c:ptCount val="50"/>
                <c:pt idx="0">
                  <c:v>2.3609588828415632E-2</c:v>
                </c:pt>
                <c:pt idx="1">
                  <c:v>0.74932050826936902</c:v>
                </c:pt>
                <c:pt idx="2">
                  <c:v>2.5866773497556821</c:v>
                </c:pt>
                <c:pt idx="3">
                  <c:v>5.0116628118720099</c:v>
                </c:pt>
                <c:pt idx="4">
                  <c:v>7.6401792301498652</c:v>
                </c:pt>
                <c:pt idx="5">
                  <c:v>10.287482444006042</c:v>
                </c:pt>
                <c:pt idx="6">
                  <c:v>12.872223646374943</c:v>
                </c:pt>
                <c:pt idx="7">
                  <c:v>15.361396923011617</c:v>
                </c:pt>
                <c:pt idx="8">
                  <c:v>17.74440836712964</c:v>
                </c:pt>
                <c:pt idx="9">
                  <c:v>20.021019742744606</c:v>
                </c:pt>
                <c:pt idx="10">
                  <c:v>22.195638459741112</c:v>
                </c:pt>
                <c:pt idx="11">
                  <c:v>24.274562625999884</c:v>
                </c:pt>
                <c:pt idx="12">
                  <c:v>26.264641979245415</c:v>
                </c:pt>
                <c:pt idx="13">
                  <c:v>28.172635341529858</c:v>
                </c:pt>
                <c:pt idx="14">
                  <c:v>30.004917400094147</c:v>
                </c:pt>
                <c:pt idx="15">
                  <c:v>31.767362284332687</c:v>
                </c:pt>
                <c:pt idx="16">
                  <c:v>33.465316137921405</c:v>
                </c:pt>
                <c:pt idx="17">
                  <c:v>35.103613230151815</c:v>
                </c:pt>
                <c:pt idx="18">
                  <c:v>36.686611858437928</c:v>
                </c:pt>
                <c:pt idx="19">
                  <c:v>38.218237653015329</c:v>
                </c:pt>
                <c:pt idx="20">
                  <c:v>39.702027928766384</c:v>
                </c:pt>
                <c:pt idx="21">
                  <c:v>41.141173962410981</c:v>
                </c:pt>
                <c:pt idx="22">
                  <c:v>42.53855980737341</c:v>
                </c:pt>
                <c:pt idx="23">
                  <c:v>43.896797179382837</c:v>
                </c:pt>
                <c:pt idx="24">
                  <c:v>45.218256421705874</c:v>
                </c:pt>
                <c:pt idx="25">
                  <c:v>46.505093790821128</c:v>
                </c:pt>
                <c:pt idx="26">
                  <c:v>47.759275402280146</c:v>
                </c:pt>
                <c:pt idx="27">
                  <c:v>48.98259820419397</c:v>
                </c:pt>
                <c:pt idx="28">
                  <c:v>50.176708336704607</c:v>
                </c:pt>
                <c:pt idx="29">
                  <c:v>51.343117209127108</c:v>
                </c:pt>
                <c:pt idx="30">
                  <c:v>52.483215592739043</c:v>
                </c:pt>
                <c:pt idx="31">
                  <c:v>53.598285992118143</c:v>
                </c:pt>
                <c:pt idx="32">
                  <c:v>54.689513524387621</c:v>
                </c:pt>
                <c:pt idx="33">
                  <c:v>55.75799550507066</c:v>
                </c:pt>
                <c:pt idx="34">
                  <c:v>56.804749911968003</c:v>
                </c:pt>
                <c:pt idx="35">
                  <c:v>57.830722874583266</c:v>
                </c:pt>
                <c:pt idx="36">
                  <c:v>58.836795315926508</c:v>
                </c:pt>
                <c:pt idx="37">
                  <c:v>59.823788855719087</c:v>
                </c:pt>
                <c:pt idx="38">
                  <c:v>60.792471068764669</c:v>
                </c:pt>
                <c:pt idx="39">
                  <c:v>61.743560179207314</c:v>
                </c:pt>
                <c:pt idx="40">
                  <c:v>62.677729260261927</c:v>
                </c:pt>
                <c:pt idx="41">
                  <c:v>63.595609999496659</c:v>
                </c:pt>
                <c:pt idx="42">
                  <c:v>64.497796081631407</c:v>
                </c:pt>
                <c:pt idx="43">
                  <c:v>65.384846233882072</c:v>
                </c:pt>
                <c:pt idx="44">
                  <c:v>66.257286972946247</c:v>
                </c:pt>
                <c:pt idx="45">
                  <c:v>67.115615087644883</c:v>
                </c:pt>
                <c:pt idx="46">
                  <c:v>67.960299886871582</c:v>
                </c:pt>
                <c:pt idx="47">
                  <c:v>68.791785238753263</c:v>
                </c:pt>
                <c:pt idx="48">
                  <c:v>69.610491423696729</c:v>
                </c:pt>
                <c:pt idx="49">
                  <c:v>70.416816821210716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AF-4654-B965-F729EB136808}"/>
            </c:ext>
          </c:extLst>
        </c:ser>
        <c:ser>
          <c:idx val="5"/>
          <c:order val="5"/>
          <c:tx>
            <c:strRef>
              <c:f>Vega!$B$29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Vega!$C$29:$AZ$29</c:f>
              <c:numCache>
                <c:formatCode>General</c:formatCode>
                <c:ptCount val="50"/>
                <c:pt idx="0">
                  <c:v>0.44558558892443589</c:v>
                </c:pt>
                <c:pt idx="1">
                  <c:v>3.2800471961839519</c:v>
                </c:pt>
                <c:pt idx="2">
                  <c:v>6.956828879095827</c:v>
                </c:pt>
                <c:pt idx="3">
                  <c:v>10.565235887329333</c:v>
                </c:pt>
                <c:pt idx="4">
                  <c:v>13.91675164727925</c:v>
                </c:pt>
                <c:pt idx="5">
                  <c:v>16.99944547238977</c:v>
                </c:pt>
                <c:pt idx="6">
                  <c:v>19.84077978526323</c:v>
                </c:pt>
                <c:pt idx="7">
                  <c:v>22.473489195639605</c:v>
                </c:pt>
                <c:pt idx="8">
                  <c:v>24.927154208382689</c:v>
                </c:pt>
                <c:pt idx="9">
                  <c:v>27.226666793458268</c:v>
                </c:pt>
                <c:pt idx="10">
                  <c:v>29.392545078583208</c:v>
                </c:pt>
                <c:pt idx="11">
                  <c:v>31.441651872963554</c:v>
                </c:pt>
                <c:pt idx="12">
                  <c:v>33.387902858698276</c:v>
                </c:pt>
                <c:pt idx="13">
                  <c:v>35.2428621617332</c:v>
                </c:pt>
                <c:pt idx="14">
                  <c:v>37.016217253063189</c:v>
                </c:pt>
                <c:pt idx="15">
                  <c:v>38.716150591697151</c:v>
                </c:pt>
                <c:pt idx="16">
                  <c:v>40.349629173744361</c:v>
                </c:pt>
                <c:pt idx="17">
                  <c:v>41.922630622185721</c:v>
                </c:pt>
                <c:pt idx="18">
                  <c:v>43.440320688712987</c:v>
                </c:pt>
                <c:pt idx="19">
                  <c:v>44.907193585775438</c:v>
                </c:pt>
                <c:pt idx="20">
                  <c:v>46.327183783313615</c:v>
                </c:pt>
                <c:pt idx="21">
                  <c:v>47.703755771993485</c:v>
                </c:pt>
                <c:pt idx="22">
                  <c:v>49.03997669551373</c:v>
                </c:pt>
                <c:pt idx="23">
                  <c:v>50.338575564804657</c:v>
                </c:pt>
                <c:pt idx="24">
                  <c:v>51.601991882708646</c:v>
                </c:pt>
                <c:pt idx="25">
                  <c:v>52.832415848753136</c:v>
                </c:pt>
                <c:pt idx="26">
                  <c:v>54.031821820121252</c:v>
                </c:pt>
                <c:pt idx="27">
                  <c:v>55.201996333106152</c:v>
                </c:pt>
                <c:pt idx="28">
                  <c:v>56.344561707331771</c:v>
                </c:pt>
                <c:pt idx="29">
                  <c:v>57.460996039653594</c:v>
                </c:pt>
                <c:pt idx="30">
                  <c:v>58.552650229020919</c:v>
                </c:pt>
                <c:pt idx="31">
                  <c:v>59.620762545314847</c:v>
                </c:pt>
                <c:pt idx="32">
                  <c:v>60.666471155167272</c:v>
                </c:pt>
                <c:pt idx="33">
                  <c:v>61.690824939274606</c:v>
                </c:pt>
                <c:pt idx="34">
                  <c:v>62.694792873720068</c:v>
                </c:pt>
                <c:pt idx="35">
                  <c:v>63.679272198543629</c:v>
                </c:pt>
                <c:pt idx="36">
                  <c:v>64.645095557403593</c:v>
                </c:pt>
                <c:pt idx="37">
                  <c:v>65.593037260498761</c:v>
                </c:pt>
                <c:pt idx="38">
                  <c:v>66.523818797311748</c:v>
                </c:pt>
                <c:pt idx="39">
                  <c:v>67.4381137049225</c:v>
                </c:pt>
                <c:pt idx="40">
                  <c:v>68.336551880642631</c:v>
                </c:pt>
                <c:pt idx="41">
                  <c:v>69.219723413769444</c:v>
                </c:pt>
                <c:pt idx="42">
                  <c:v>70.088181999755619</c:v>
                </c:pt>
                <c:pt idx="43">
                  <c:v>70.942447990564276</c:v>
                </c:pt>
                <c:pt idx="44">
                  <c:v>71.783011127054266</c:v>
                </c:pt>
                <c:pt idx="45">
                  <c:v>72.610332992625999</c:v>
                </c:pt>
                <c:pt idx="46">
                  <c:v>73.424849221808188</c:v>
                </c:pt>
                <c:pt idx="47">
                  <c:v>74.22697149279989</c:v>
                </c:pt>
                <c:pt idx="48">
                  <c:v>75.017089329037816</c:v>
                </c:pt>
                <c:pt idx="49">
                  <c:v>75.795571731518351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AF-4654-B965-F729EB136808}"/>
            </c:ext>
          </c:extLst>
        </c:ser>
        <c:ser>
          <c:idx val="6"/>
          <c:order val="6"/>
          <c:tx>
            <c:strRef>
              <c:f>Vega!$B$30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Vega!$C$30:$AZ$30</c:f>
              <c:numCache>
                <c:formatCode>General</c:formatCode>
                <c:ptCount val="50"/>
                <c:pt idx="0">
                  <c:v>3.0644533309865167</c:v>
                </c:pt>
                <c:pt idx="1">
                  <c:v>8.6635119422354201</c:v>
                </c:pt>
                <c:pt idx="2">
                  <c:v>13.356393635672962</c:v>
                </c:pt>
                <c:pt idx="3">
                  <c:v>17.293746502576173</c:v>
                </c:pt>
                <c:pt idx="4">
                  <c:v>20.700792345453848</c:v>
                </c:pt>
                <c:pt idx="5">
                  <c:v>23.723384471393917</c:v>
                </c:pt>
                <c:pt idx="6">
                  <c:v>26.455122246358705</c:v>
                </c:pt>
                <c:pt idx="7">
                  <c:v>28.958655791598929</c:v>
                </c:pt>
                <c:pt idx="8">
                  <c:v>31.277780487504984</c:v>
                </c:pt>
                <c:pt idx="9">
                  <c:v>33.444289202725912</c:v>
                </c:pt>
                <c:pt idx="10">
                  <c:v>35.482007054464084</c:v>
                </c:pt>
                <c:pt idx="11">
                  <c:v>37.409271336395364</c:v>
                </c:pt>
                <c:pt idx="12">
                  <c:v>39.240517656926102</c:v>
                </c:pt>
                <c:pt idx="13">
                  <c:v>40.987330832238811</c:v>
                </c:pt>
                <c:pt idx="14">
                  <c:v>42.659162992667959</c:v>
                </c:pt>
                <c:pt idx="15">
                  <c:v>44.263837728130284</c:v>
                </c:pt>
                <c:pt idx="16">
                  <c:v>45.807912521064679</c:v>
                </c:pt>
                <c:pt idx="17">
                  <c:v>47.296944813873438</c:v>
                </c:pt>
                <c:pt idx="18">
                  <c:v>48.735690994592076</c:v>
                </c:pt>
                <c:pt idx="19">
                  <c:v>50.128257699490838</c:v>
                </c:pt>
                <c:pt idx="20">
                  <c:v>51.47821858052334</c:v>
                </c:pt>
                <c:pt idx="21">
                  <c:v>52.788705634540349</c:v>
                </c:pt>
                <c:pt idx="22">
                  <c:v>54.062481506776059</c:v>
                </c:pt>
                <c:pt idx="23">
                  <c:v>55.301997365992385</c:v>
                </c:pt>
                <c:pt idx="24">
                  <c:v>56.509439698548192</c:v>
                </c:pt>
                <c:pt idx="25">
                  <c:v>57.686768493078979</c:v>
                </c:pt>
                <c:pt idx="26">
                  <c:v>58.835748664691536</c:v>
                </c:pt>
                <c:pt idx="27">
                  <c:v>59.95797611828575</c:v>
                </c:pt>
                <c:pt idx="28">
                  <c:v>61.0548995222169</c:v>
                </c:pt>
                <c:pt idx="29">
                  <c:v>62.127838620556737</c:v>
                </c:pt>
                <c:pt idx="30">
                  <c:v>63.17799973044076</c:v>
                </c:pt>
                <c:pt idx="31">
                  <c:v>64.206488933569076</c:v>
                </c:pt>
                <c:pt idx="32">
                  <c:v>65.214323366021574</c:v>
                </c:pt>
                <c:pt idx="33">
                  <c:v>66.202440929732049</c:v>
                </c:pt>
                <c:pt idx="34">
                  <c:v>67.17170868617643</c:v>
                </c:pt>
                <c:pt idx="35">
                  <c:v>68.122930143655182</c:v>
                </c:pt>
                <c:pt idx="36">
                  <c:v>69.056851610748211</c:v>
                </c:pt>
                <c:pt idx="37">
                  <c:v>69.974167757686203</c:v>
                </c:pt>
                <c:pt idx="38">
                  <c:v>70.875526502716866</c:v>
                </c:pt>
                <c:pt idx="39">
                  <c:v>71.761533320686937</c:v>
                </c:pt>
                <c:pt idx="40">
                  <c:v>72.632755054982098</c:v>
                </c:pt>
                <c:pt idx="41">
                  <c:v>73.48972330087058</c:v>
                </c:pt>
                <c:pt idx="42">
                  <c:v>74.3329374175743</c:v>
                </c:pt>
                <c:pt idx="43">
                  <c:v>75.162867217568348</c:v>
                </c:pt>
                <c:pt idx="44">
                  <c:v>75.979955374312468</c:v>
                </c:pt>
                <c:pt idx="45">
                  <c:v>76.784619583557642</c:v>
                </c:pt>
                <c:pt idx="46">
                  <c:v>77.577254508312706</c:v>
                </c:pt>
                <c:pt idx="47">
                  <c:v>78.358233533318739</c:v>
                </c:pt>
                <c:pt idx="48">
                  <c:v>79.127910351313915</c:v>
                </c:pt>
                <c:pt idx="49">
                  <c:v>79.886620400360513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AF-4654-B965-F729EB136808}"/>
            </c:ext>
          </c:extLst>
        </c:ser>
        <c:ser>
          <c:idx val="7"/>
          <c:order val="7"/>
          <c:tx>
            <c:strRef>
              <c:f>Vega!$B$31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Vega!$C$31:$AZ$31</c:f>
              <c:numCache>
                <c:formatCode>General</c:formatCode>
                <c:ptCount val="50"/>
                <c:pt idx="0">
                  <c:v>8.9541358039279721</c:v>
                </c:pt>
                <c:pt idx="1">
                  <c:v>14.909546983266303</c:v>
                </c:pt>
                <c:pt idx="2">
                  <c:v>19.267540519079148</c:v>
                </c:pt>
                <c:pt idx="3">
                  <c:v>22.840702670307461</c:v>
                </c:pt>
                <c:pt idx="4">
                  <c:v>25.930883920219031</c:v>
                </c:pt>
                <c:pt idx="5">
                  <c:v>28.686682039024308</c:v>
                </c:pt>
                <c:pt idx="6">
                  <c:v>31.193622839956397</c:v>
                </c:pt>
                <c:pt idx="7">
                  <c:v>33.506087760385846</c:v>
                </c:pt>
                <c:pt idx="8">
                  <c:v>35.661132714949467</c:v>
                </c:pt>
                <c:pt idx="9">
                  <c:v>37.685326590063859</c:v>
                </c:pt>
                <c:pt idx="10">
                  <c:v>39.598477419963061</c:v>
                </c:pt>
                <c:pt idx="11">
                  <c:v>41.415815974162442</c:v>
                </c:pt>
                <c:pt idx="12">
                  <c:v>43.14935047935645</c:v>
                </c:pt>
                <c:pt idx="13">
                  <c:v>44.808746635886649</c:v>
                </c:pt>
                <c:pt idx="14">
                  <c:v>46.401921321438202</c:v>
                </c:pt>
                <c:pt idx="15">
                  <c:v>47.935456044812298</c:v>
                </c:pt>
                <c:pt idx="16">
                  <c:v>49.414892749160856</c:v>
                </c:pt>
                <c:pt idx="17">
                  <c:v>50.844950417561527</c:v>
                </c:pt>
                <c:pt idx="18">
                  <c:v>52.229686924765474</c:v>
                </c:pt>
                <c:pt idx="19">
                  <c:v>53.572622142458151</c:v>
                </c:pt>
                <c:pt idx="20">
                  <c:v>54.876833057170032</c:v>
                </c:pt>
                <c:pt idx="21">
                  <c:v>56.145028300738147</c:v>
                </c:pt>
                <c:pt idx="22">
                  <c:v>57.379607288080599</c:v>
                </c:pt>
                <c:pt idx="23">
                  <c:v>58.582707676532422</c:v>
                </c:pt>
                <c:pt idx="24">
                  <c:v>59.756243846681137</c:v>
                </c:pt>
                <c:pt idx="25">
                  <c:v>60.901938396929275</c:v>
                </c:pt>
                <c:pt idx="26">
                  <c:v>62.021348141972638</c:v>
                </c:pt>
                <c:pt idx="27">
                  <c:v>63.115885743828528</c:v>
                </c:pt>
                <c:pt idx="28">
                  <c:v>64.186837840039502</c:v>
                </c:pt>
                <c:pt idx="29">
                  <c:v>65.235380338435675</c:v>
                </c:pt>
                <c:pt idx="30">
                  <c:v>66.262591401747301</c:v>
                </c:pt>
                <c:pt idx="31">
                  <c:v>67.269462534856629</c:v>
                </c:pt>
                <c:pt idx="32">
                  <c:v>68.256908103048232</c:v>
                </c:pt>
                <c:pt idx="33">
                  <c:v>69.225773544502687</c:v>
                </c:pt>
                <c:pt idx="34">
                  <c:v>70.17684248962118</c:v>
                </c:pt>
                <c:pt idx="35">
                  <c:v>71.110842960034176</c:v>
                </c:pt>
                <c:pt idx="36">
                  <c:v>72.028452788743223</c:v>
                </c:pt>
                <c:pt idx="37">
                  <c:v>72.93030437784445</c:v>
                </c:pt>
                <c:pt idx="38">
                  <c:v>73.816988890246321</c:v>
                </c:pt>
                <c:pt idx="39">
                  <c:v>74.689059955632018</c:v>
                </c:pt>
                <c:pt idx="40">
                  <c:v>75.547036957804721</c:v>
                </c:pt>
                <c:pt idx="41">
                  <c:v>76.391407959851136</c:v>
                </c:pt>
                <c:pt idx="42">
                  <c:v>77.222632314779148</c:v>
                </c:pt>
                <c:pt idx="43">
                  <c:v>78.041143002045018</c:v>
                </c:pt>
                <c:pt idx="44">
                  <c:v>78.847348724384545</c:v>
                </c:pt>
                <c:pt idx="45">
                  <c:v>79.641635794369066</c:v>
                </c:pt>
                <c:pt idx="46">
                  <c:v>80.424369835928644</c:v>
                </c:pt>
                <c:pt idx="47">
                  <c:v>81.195897322580095</c:v>
                </c:pt>
                <c:pt idx="48">
                  <c:v>81.956546971139105</c:v>
                </c:pt>
                <c:pt idx="49">
                  <c:v>82.706631007195014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AF-4654-B965-F729EB136808}"/>
            </c:ext>
          </c:extLst>
        </c:ser>
        <c:ser>
          <c:idx val="8"/>
          <c:order val="8"/>
          <c:tx>
            <c:strRef>
              <c:f>Vega!$B$32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Vega!$C$32:$AZ$32</c:f>
              <c:numCache>
                <c:formatCode>General</c:formatCode>
                <c:ptCount val="50"/>
                <c:pt idx="0">
                  <c:v>12.60147797002052</c:v>
                </c:pt>
                <c:pt idx="1">
                  <c:v>17.80114349570453</c:v>
                </c:pt>
                <c:pt idx="2">
                  <c:v>21.777345900985232</c:v>
                </c:pt>
                <c:pt idx="3">
                  <c:v>25.118039341108513</c:v>
                </c:pt>
                <c:pt idx="4">
                  <c:v>28.051246304186257</c:v>
                </c:pt>
                <c:pt idx="5">
                  <c:v>30.694050496199523</c:v>
                </c:pt>
                <c:pt idx="6">
                  <c:v>33.116087146110289</c:v>
                </c:pt>
                <c:pt idx="7">
                  <c:v>35.362780796997576</c:v>
                </c:pt>
                <c:pt idx="8">
                  <c:v>37.465720501521851</c:v>
                </c:pt>
                <c:pt idx="9">
                  <c:v>39.447933090788894</c:v>
                </c:pt>
                <c:pt idx="10">
                  <c:v>41.326822430469605</c:v>
                </c:pt>
                <c:pt idx="11">
                  <c:v>43.115925549986159</c:v>
                </c:pt>
                <c:pt idx="12">
                  <c:v>44.826020476317296</c:v>
                </c:pt>
                <c:pt idx="13">
                  <c:v>46.465856361778023</c:v>
                </c:pt>
                <c:pt idx="14">
                  <c:v>48.04265234363627</c:v>
                </c:pt>
                <c:pt idx="15">
                  <c:v>49.562448852082476</c:v>
                </c:pt>
                <c:pt idx="16">
                  <c:v>51.030361458947127</c:v>
                </c:pt>
                <c:pt idx="17">
                  <c:v>52.450768418698225</c:v>
                </c:pt>
                <c:pt idx="18">
                  <c:v>53.827451925573257</c:v>
                </c:pt>
                <c:pt idx="19">
                  <c:v>55.163706332541203</c:v>
                </c:pt>
                <c:pt idx="20">
                  <c:v>56.462422317104412</c:v>
                </c:pt>
                <c:pt idx="21">
                  <c:v>57.726153225694702</c:v>
                </c:pt>
                <c:pt idx="22">
                  <c:v>58.957168005184727</c:v>
                </c:pt>
                <c:pt idx="23">
                  <c:v>60.157493896018295</c:v>
                </c:pt>
                <c:pt idx="24">
                  <c:v>61.32895120970376</c:v>
                </c:pt>
                <c:pt idx="25">
                  <c:v>62.47318191499771</c:v>
                </c:pt>
                <c:pt idx="26">
                  <c:v>63.591673329863738</c:v>
                </c:pt>
                <c:pt idx="27">
                  <c:v>64.685777906754865</c:v>
                </c:pt>
                <c:pt idx="28">
                  <c:v>65.756729871476693</c:v>
                </c:pt>
                <c:pt idx="29">
                  <c:v>66.805659306916709</c:v>
                </c:pt>
                <c:pt idx="30">
                  <c:v>67.833604145869359</c:v>
                </c:pt>
                <c:pt idx="31">
                  <c:v>68.841520440637069</c:v>
                </c:pt>
                <c:pt idx="32">
                  <c:v>69.83029120299814</c:v>
                </c:pt>
                <c:pt idx="33">
                  <c:v>70.800734050757285</c:v>
                </c:pt>
                <c:pt idx="34">
                  <c:v>71.753607852285924</c:v>
                </c:pt>
                <c:pt idx="35">
                  <c:v>72.689618525182638</c:v>
                </c:pt>
                <c:pt idx="36">
                  <c:v>73.609424117207041</c:v>
                </c:pt>
                <c:pt idx="37">
                  <c:v>74.513639275293571</c:v>
                </c:pt>
                <c:pt idx="38">
                  <c:v>75.40283919048666</c:v>
                </c:pt>
                <c:pt idx="39">
                  <c:v>76.277563092104828</c:v>
                </c:pt>
                <c:pt idx="40">
                  <c:v>77.138317352614195</c:v>
                </c:pt>
                <c:pt idx="41">
                  <c:v>77.985578255014715</c:v>
                </c:pt>
                <c:pt idx="42">
                  <c:v>78.819794466581271</c:v>
                </c:pt>
                <c:pt idx="43">
                  <c:v>79.641389256221743</c:v>
                </c:pt>
                <c:pt idx="44">
                  <c:v>80.450762487246323</c:v>
                </c:pt>
                <c:pt idx="45">
                  <c:v>81.248292412783059</c:v>
                </c:pt>
                <c:pt idx="46">
                  <c:v>82.034337297250886</c:v>
                </c:pt>
                <c:pt idx="47">
                  <c:v>82.809236884086985</c:v>
                </c:pt>
                <c:pt idx="48">
                  <c:v>83.573313727207818</c:v>
                </c:pt>
                <c:pt idx="49">
                  <c:v>84.326874401380636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AF-4654-B965-F729EB136808}"/>
            </c:ext>
          </c:extLst>
        </c:ser>
        <c:ser>
          <c:idx val="9"/>
          <c:order val="9"/>
          <c:tx>
            <c:strRef>
              <c:f>Vega!$B$33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Vega!$C$33:$AZ$33</c:f>
              <c:numCache>
                <c:formatCode>General</c:formatCode>
                <c:ptCount val="50"/>
                <c:pt idx="0">
                  <c:v>9.4730567005775885</c:v>
                </c:pt>
                <c:pt idx="1">
                  <c:v>15.52854945654148</c:v>
                </c:pt>
                <c:pt idx="2">
                  <c:v>19.963011175668893</c:v>
                </c:pt>
                <c:pt idx="3">
                  <c:v>23.603472101352114</c:v>
                </c:pt>
                <c:pt idx="4">
                  <c:v>26.754925856393445</c:v>
                </c:pt>
                <c:pt idx="5">
                  <c:v>29.56741901392941</c:v>
                </c:pt>
                <c:pt idx="6">
                  <c:v>32.127364650068387</c:v>
                </c:pt>
                <c:pt idx="7">
                  <c:v>34.489758203526328</c:v>
                </c:pt>
                <c:pt idx="8">
                  <c:v>36.692108772311308</c:v>
                </c:pt>
                <c:pt idx="9">
                  <c:v>38.761333572648297</c:v>
                </c:pt>
                <c:pt idx="10">
                  <c:v>40.71751619789093</c:v>
                </c:pt>
                <c:pt idx="11">
                  <c:v>42.57611027513709</c:v>
                </c:pt>
                <c:pt idx="12">
                  <c:v>44.349307497184007</c:v>
                </c:pt>
                <c:pt idx="13">
                  <c:v>46.046926847682386</c:v>
                </c:pt>
                <c:pt idx="14">
                  <c:v>47.677014886415947</c:v>
                </c:pt>
                <c:pt idx="15">
                  <c:v>49.246264031562895</c:v>
                </c:pt>
                <c:pt idx="16">
                  <c:v>50.760311983030597</c:v>
                </c:pt>
                <c:pt idx="17">
                  <c:v>52.223961092767425</c:v>
                </c:pt>
                <c:pt idx="18">
                  <c:v>53.641342362063249</c:v>
                </c:pt>
                <c:pt idx="19">
                  <c:v>55.016040235427909</c:v>
                </c:pt>
                <c:pt idx="20">
                  <c:v>56.351189064194635</c:v>
                </c:pt>
                <c:pt idx="21">
                  <c:v>57.649548721451239</c:v>
                </c:pt>
                <c:pt idx="22">
                  <c:v>58.913564622632222</c:v>
                </c:pt>
                <c:pt idx="23">
                  <c:v>60.145415910128939</c:v>
                </c:pt>
                <c:pt idx="24">
                  <c:v>61.347054534971548</c:v>
                </c:pt>
                <c:pt idx="25">
                  <c:v>62.520237252985346</c:v>
                </c:pt>
                <c:pt idx="26">
                  <c:v>63.666552044969286</c:v>
                </c:pt>
                <c:pt idx="27">
                  <c:v>64.787440104573619</c:v>
                </c:pt>
                <c:pt idx="28">
                  <c:v>65.884214270304426</c:v>
                </c:pt>
                <c:pt idx="29">
                  <c:v>66.958074580380114</c:v>
                </c:pt>
                <c:pt idx="30">
                  <c:v>68.01012148118771</c:v>
                </c:pt>
                <c:pt idx="31">
                  <c:v>69.041367108124916</c:v>
                </c:pt>
                <c:pt idx="32">
                  <c:v>70.052744972044337</c:v>
                </c:pt>
                <c:pt idx="33">
                  <c:v>71.045118318506397</c:v>
                </c:pt>
                <c:pt idx="34">
                  <c:v>72.019287375678815</c:v>
                </c:pt>
                <c:pt idx="35">
                  <c:v>72.975995666419081</c:v>
                </c:pt>
                <c:pt idx="36">
                  <c:v>73.915935528216323</c:v>
                </c:pt>
                <c:pt idx="37">
                  <c:v>74.839752959299247</c:v>
                </c:pt>
                <c:pt idx="38">
                  <c:v>75.748051888881278</c:v>
                </c:pt>
                <c:pt idx="39">
                  <c:v>76.641397953105823</c:v>
                </c:pt>
                <c:pt idx="40">
                  <c:v>77.520321844941193</c:v>
                </c:pt>
                <c:pt idx="41">
                  <c:v>78.385322295404151</c:v>
                </c:pt>
                <c:pt idx="42">
                  <c:v>79.236868734573775</c:v>
                </c:pt>
                <c:pt idx="43">
                  <c:v>80.075403673500787</c:v>
                </c:pt>
                <c:pt idx="44">
                  <c:v>80.901344842019455</c:v>
                </c:pt>
                <c:pt idx="45">
                  <c:v>81.715087112394784</c:v>
                </c:pt>
                <c:pt idx="46">
                  <c:v>82.517004234489718</c:v>
                </c:pt>
                <c:pt idx="47">
                  <c:v>83.30745040457424</c:v>
                </c:pt>
                <c:pt idx="48">
                  <c:v>84.086761686890284</c:v>
                </c:pt>
                <c:pt idx="49">
                  <c:v>84.855257304543272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AF-4654-B965-F729EB136808}"/>
            </c:ext>
          </c:extLst>
        </c:ser>
        <c:ser>
          <c:idx val="10"/>
          <c:order val="10"/>
          <c:tx>
            <c:strRef>
              <c:f>Vega!$B$34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Vega!$C$34:$AZ$34</c:f>
              <c:numCache>
                <c:formatCode>General</c:formatCode>
                <c:ptCount val="50"/>
                <c:pt idx="0">
                  <c:v>4.1459744625109485</c:v>
                </c:pt>
                <c:pt idx="1">
                  <c:v>10.332955422391688</c:v>
                </c:pt>
                <c:pt idx="2">
                  <c:v>15.274679608962336</c:v>
                </c:pt>
                <c:pt idx="3">
                  <c:v>19.366366629160026</c:v>
                </c:pt>
                <c:pt idx="4">
                  <c:v>22.891366897286513</c:v>
                </c:pt>
                <c:pt idx="5">
                  <c:v>26.014283512817951</c:v>
                </c:pt>
                <c:pt idx="6">
                  <c:v>28.836210247206257</c:v>
                </c:pt>
                <c:pt idx="7">
                  <c:v>31.423293448931332</c:v>
                </c:pt>
                <c:pt idx="8">
                  <c:v>33.821167077407694</c:v>
                </c:pt>
                <c:pt idx="9">
                  <c:v>36.062690186445991</c:v>
                </c:pt>
                <c:pt idx="10">
                  <c:v>38.172359093003351</c:v>
                </c:pt>
                <c:pt idx="11">
                  <c:v>40.168964083728333</c:v>
                </c:pt>
                <c:pt idx="12">
                  <c:v>42.067264969228447</c:v>
                </c:pt>
                <c:pt idx="13">
                  <c:v>43.87909022702911</c:v>
                </c:pt>
                <c:pt idx="14">
                  <c:v>45.614082640107419</c:v>
                </c:pt>
                <c:pt idx="15">
                  <c:v>47.280219945182772</c:v>
                </c:pt>
                <c:pt idx="16">
                  <c:v>48.884187602588959</c:v>
                </c:pt>
                <c:pt idx="17">
                  <c:v>50.431651601008184</c:v>
                </c:pt>
                <c:pt idx="18">
                  <c:v>51.927461995662988</c:v>
                </c:pt>
                <c:pt idx="19">
                  <c:v>53.375807389774842</c:v>
                </c:pt>
                <c:pt idx="20">
                  <c:v>54.780333988829192</c:v>
                </c:pt>
                <c:pt idx="21">
                  <c:v>56.144238619845282</c:v>
                </c:pt>
                <c:pt idx="22">
                  <c:v>57.470342314586972</c:v>
                </c:pt>
                <c:pt idx="23">
                  <c:v>58.761149175040934</c:v>
                </c:pt>
                <c:pt idx="24">
                  <c:v>60.018893948888618</c:v>
                </c:pt>
                <c:pt idx="25">
                  <c:v>61.245580841456629</c:v>
                </c:pt>
                <c:pt idx="26">
                  <c:v>62.443015451200225</c:v>
                </c:pt>
                <c:pt idx="27">
                  <c:v>63.612831255440852</c:v>
                </c:pt>
                <c:pt idx="28">
                  <c:v>64.756511737206509</c:v>
                </c:pt>
                <c:pt idx="29">
                  <c:v>65.875408995911101</c:v>
                </c:pt>
                <c:pt idx="30">
                  <c:v>66.97075949921485</c:v>
                </c:pt>
                <c:pt idx="31">
                  <c:v>68.043697493397147</c:v>
                </c:pt>
                <c:pt idx="32">
                  <c:v>69.095266482785547</c:v>
                </c:pt>
                <c:pt idx="33">
                  <c:v>70.126429106580972</c:v>
                </c:pt>
                <c:pt idx="34">
                  <c:v>71.13807567759153</c:v>
                </c:pt>
                <c:pt idx="35">
                  <c:v>72.131031597426286</c:v>
                </c:pt>
                <c:pt idx="36">
                  <c:v>73.106063823293937</c:v>
                </c:pt>
                <c:pt idx="37">
                  <c:v>74.063886530248212</c:v>
                </c:pt>
                <c:pt idx="38">
                  <c:v>75.005166087687996</c:v>
                </c:pt>
                <c:pt idx="39">
                  <c:v>75.930525448770609</c:v>
                </c:pt>
                <c:pt idx="40">
                  <c:v>76.84054803508343</c:v>
                </c:pt>
                <c:pt idx="41">
                  <c:v>77.73578118563438</c:v>
                </c:pt>
                <c:pt idx="42">
                  <c:v>78.616739228345139</c:v>
                </c:pt>
                <c:pt idx="43">
                  <c:v>79.483906223282304</c:v>
                </c:pt>
                <c:pt idx="44">
                  <c:v>80.337738419459043</c:v>
                </c:pt>
                <c:pt idx="45">
                  <c:v>81.178666460893353</c:v>
                </c:pt>
                <c:pt idx="46">
                  <c:v>82.007097372477062</c:v>
                </c:pt>
                <c:pt idx="47">
                  <c:v>82.823416351912172</c:v>
                </c:pt>
                <c:pt idx="48">
                  <c:v>83.62798839035294</c:v>
                </c:pt>
                <c:pt idx="49">
                  <c:v>84.421159741338528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AF-4654-B965-F729EB136808}"/>
            </c:ext>
          </c:extLst>
        </c:ser>
        <c:ser>
          <c:idx val="11"/>
          <c:order val="11"/>
          <c:tx>
            <c:strRef>
              <c:f>Vega!$B$35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Vega!$C$35:$AZ$35</c:f>
              <c:numCache>
                <c:formatCode>General</c:formatCode>
                <c:ptCount val="50"/>
                <c:pt idx="0">
                  <c:v>1.1355073152064603</c:v>
                </c:pt>
                <c:pt idx="1">
                  <c:v>5.4377515022381848</c:v>
                </c:pt>
                <c:pt idx="2">
                  <c:v>9.9933417595957987</c:v>
                </c:pt>
                <c:pt idx="3">
                  <c:v>14.127284601816148</c:v>
                </c:pt>
                <c:pt idx="4">
                  <c:v>17.825651843380044</c:v>
                </c:pt>
                <c:pt idx="5">
                  <c:v>21.158960540408653</c:v>
                </c:pt>
                <c:pt idx="6">
                  <c:v>24.195071188978147</c:v>
                </c:pt>
                <c:pt idx="7">
                  <c:v>26.987963743602148</c:v>
                </c:pt>
                <c:pt idx="8">
                  <c:v>29.579147918734403</c:v>
                </c:pt>
                <c:pt idx="9">
                  <c:v>32.000599329500922</c:v>
                </c:pt>
                <c:pt idx="10">
                  <c:v>34.277246532155587</c:v>
                </c:pt>
                <c:pt idx="11">
                  <c:v>36.428811800236765</c:v>
                </c:pt>
                <c:pt idx="12">
                  <c:v>38.471130836198277</c:v>
                </c:pt>
                <c:pt idx="13">
                  <c:v>40.417097252182607</c:v>
                </c:pt>
                <c:pt idx="14">
                  <c:v>42.277344629864679</c:v>
                </c:pt>
                <c:pt idx="15">
                  <c:v>44.060745498627611</c:v>
                </c:pt>
                <c:pt idx="16">
                  <c:v>45.77478157259209</c:v>
                </c:pt>
                <c:pt idx="17">
                  <c:v>47.425822364717959</c:v>
                </c:pt>
                <c:pt idx="18">
                  <c:v>49.019337710335918</c:v>
                </c:pt>
                <c:pt idx="19">
                  <c:v>50.560061959578547</c:v>
                </c:pt>
                <c:pt idx="20">
                  <c:v>52.052122350391066</c:v>
                </c:pt>
                <c:pt idx="21">
                  <c:v>53.499140493906488</c:v>
                </c:pt>
                <c:pt idx="22">
                  <c:v>54.904313432133293</c:v>
                </c:pt>
                <c:pt idx="23">
                  <c:v>56.270478999371932</c:v>
                </c:pt>
                <c:pt idx="24">
                  <c:v>57.600168994619061</c:v>
                </c:pt>
                <c:pt idx="25">
                  <c:v>58.895652794495298</c:v>
                </c:pt>
                <c:pt idx="26">
                  <c:v>60.158973399395329</c:v>
                </c:pt>
                <c:pt idx="27">
                  <c:v>61.391977438246165</c:v>
                </c:pt>
                <c:pt idx="28">
                  <c:v>62.596340310646831</c:v>
                </c:pt>
                <c:pt idx="29">
                  <c:v>63.773587385453702</c:v>
                </c:pt>
                <c:pt idx="30">
                  <c:v>64.925111978406903</c:v>
                </c:pt>
                <c:pt idx="31">
                  <c:v>66.052190681414316</c:v>
                </c:pt>
                <c:pt idx="32">
                  <c:v>67.15599650063605</c:v>
                </c:pt>
                <c:pt idx="33">
                  <c:v>68.237610170884651</c:v>
                </c:pt>
                <c:pt idx="34">
                  <c:v>69.298029943756873</c:v>
                </c:pt>
                <c:pt idx="35">
                  <c:v>70.338180091688301</c:v>
                </c:pt>
                <c:pt idx="36">
                  <c:v>71.358918326318019</c:v>
                </c:pt>
                <c:pt idx="37">
                  <c:v>72.361042294579207</c:v>
                </c:pt>
                <c:pt idx="38">
                  <c:v>73.345295287839704</c:v>
                </c:pt>
                <c:pt idx="39">
                  <c:v>74.312371276717002</c:v>
                </c:pt>
                <c:pt idx="40">
                  <c:v>75.262919365751415</c:v>
                </c:pt>
                <c:pt idx="41">
                  <c:v>76.197547747056191</c:v>
                </c:pt>
                <c:pt idx="42">
                  <c:v>77.116827219697313</c:v>
                </c:pt>
                <c:pt idx="43">
                  <c:v>78.021294331356231</c:v>
                </c:pt>
                <c:pt idx="44">
                  <c:v>78.911454190373988</c:v>
                </c:pt>
                <c:pt idx="45">
                  <c:v>79.787782989242316</c:v>
                </c:pt>
                <c:pt idx="46">
                  <c:v>80.650730274724935</c:v>
                </c:pt>
                <c:pt idx="47">
                  <c:v>81.500720994860202</c:v>
                </c:pt>
                <c:pt idx="48">
                  <c:v>82.338157348938438</c:v>
                </c:pt>
                <c:pt idx="49">
                  <c:v>83.163420463033958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AF-4654-B965-F729EB136808}"/>
            </c:ext>
          </c:extLst>
        </c:ser>
        <c:ser>
          <c:idx val="12"/>
          <c:order val="12"/>
          <c:tx>
            <c:strRef>
              <c:f>Vega!$B$36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Vega!$C$36:$AZ$36</c:f>
              <c:numCache>
                <c:formatCode>General</c:formatCode>
                <c:ptCount val="50"/>
                <c:pt idx="0">
                  <c:v>0.20685250757256843</c:v>
                </c:pt>
                <c:pt idx="1">
                  <c:v>2.3332711412433973</c:v>
                </c:pt>
                <c:pt idx="2">
                  <c:v>5.7053408088958326</c:v>
                </c:pt>
                <c:pt idx="3">
                  <c:v>9.3034075502440565</c:v>
                </c:pt>
                <c:pt idx="4">
                  <c:v>12.788990708238194</c:v>
                </c:pt>
                <c:pt idx="5">
                  <c:v>16.072749659884916</c:v>
                </c:pt>
                <c:pt idx="6">
                  <c:v>19.144349454685663</c:v>
                </c:pt>
                <c:pt idx="7">
                  <c:v>22.017713675499852</c:v>
                </c:pt>
                <c:pt idx="8">
                  <c:v>24.712869597243458</c:v>
                </c:pt>
                <c:pt idx="9">
                  <c:v>27.249840451049845</c:v>
                </c:pt>
                <c:pt idx="10">
                  <c:v>29.646728739290456</c:v>
                </c:pt>
                <c:pt idx="11">
                  <c:v>31.919299934502128</c:v>
                </c:pt>
                <c:pt idx="12">
                  <c:v>34.081091574550697</c:v>
                </c:pt>
                <c:pt idx="13">
                  <c:v>36.143682576949637</c:v>
                </c:pt>
                <c:pt idx="14">
                  <c:v>38.116986097254774</c:v>
                </c:pt>
                <c:pt idx="15">
                  <c:v>40.009517834390095</c:v>
                </c:pt>
                <c:pt idx="16">
                  <c:v>41.828626364796939</c:v>
                </c:pt>
                <c:pt idx="17">
                  <c:v>43.580685299739272</c:v>
                </c:pt>
                <c:pt idx="18">
                  <c:v>45.271251589397984</c:v>
                </c:pt>
                <c:pt idx="19">
                  <c:v>46.905195347320529</c:v>
                </c:pt>
                <c:pt idx="20">
                  <c:v>48.486806297115216</c:v>
                </c:pt>
                <c:pt idx="21">
                  <c:v>50.019881245269673</c:v>
                </c:pt>
                <c:pt idx="22">
                  <c:v>51.507796221096086</c:v>
                </c:pt>
                <c:pt idx="23">
                  <c:v>52.9535662313343</c:v>
                </c:pt>
                <c:pt idx="24">
                  <c:v>54.359894991649256</c:v>
                </c:pt>
                <c:pt idx="25">
                  <c:v>55.729216520580913</c:v>
                </c:pt>
                <c:pt idx="26">
                  <c:v>57.063730100248399</c:v>
                </c:pt>
                <c:pt idx="27">
                  <c:v>58.365429805879714</c:v>
                </c:pt>
                <c:pt idx="28">
                  <c:v>59.636129567526417</c:v>
                </c:pt>
                <c:pt idx="29">
                  <c:v>60.877484538879088</c:v>
                </c:pt>
                <c:pt idx="30">
                  <c:v>62.091009399123713</c:v>
                </c:pt>
                <c:pt idx="31">
                  <c:v>63.27809409569231</c:v>
                </c:pt>
                <c:pt idx="32">
                  <c:v>64.440017441834968</c:v>
                </c:pt>
                <c:pt idx="33">
                  <c:v>65.577958907939788</c:v>
                </c:pt>
                <c:pt idx="34">
                  <c:v>66.693008885386163</c:v>
                </c:pt>
                <c:pt idx="35">
                  <c:v>67.786177653280404</c:v>
                </c:pt>
                <c:pt idx="36">
                  <c:v>68.858403239240928</c:v>
                </c:pt>
                <c:pt idx="37">
                  <c:v>69.910558333564779</c:v>
                </c:pt>
                <c:pt idx="38">
                  <c:v>70.943456390126542</c:v>
                </c:pt>
                <c:pt idx="39">
                  <c:v>71.957857026067131</c:v>
                </c:pt>
                <c:pt idx="40">
                  <c:v>72.954470814804822</c:v>
                </c:pt>
                <c:pt idx="41">
                  <c:v>73.933963552416785</c:v>
                </c:pt>
                <c:pt idx="42">
                  <c:v>74.896960065421041</c:v>
                </c:pt>
                <c:pt idx="43">
                  <c:v>75.844047617979399</c:v>
                </c:pt>
                <c:pt idx="44">
                  <c:v>76.775778968170087</c:v>
                </c:pt>
                <c:pt idx="45">
                  <c:v>77.692675115957471</c:v>
                </c:pt>
                <c:pt idx="46">
                  <c:v>78.595227779568276</c:v>
                </c:pt>
                <c:pt idx="47">
                  <c:v>79.483901631988999</c:v>
                </c:pt>
                <c:pt idx="48">
                  <c:v>80.359136325058927</c:v>
                </c:pt>
                <c:pt idx="49">
                  <c:v>81.221348325030689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AF-4654-B965-F729EB136808}"/>
            </c:ext>
          </c:extLst>
        </c:ser>
        <c:ser>
          <c:idx val="13"/>
          <c:order val="13"/>
          <c:tx>
            <c:strRef>
              <c:f>Vega!$B$37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Vega!$C$37:$AZ$37</c:f>
              <c:numCache>
                <c:formatCode>General</c:formatCode>
                <c:ptCount val="50"/>
                <c:pt idx="0">
                  <c:v>2.6396322770578431E-2</c:v>
                </c:pt>
                <c:pt idx="1">
                  <c:v>0.83776579671249973</c:v>
                </c:pt>
                <c:pt idx="2">
                  <c:v>2.8919931949563504</c:v>
                </c:pt>
                <c:pt idx="3">
                  <c:v>5.6032093638267746</c:v>
                </c:pt>
                <c:pt idx="4">
                  <c:v>8.5419800594485515</c:v>
                </c:pt>
                <c:pt idx="5">
                  <c:v>11.501755031066587</c:v>
                </c:pt>
                <c:pt idx="6">
                  <c:v>14.391583547437287</c:v>
                </c:pt>
                <c:pt idx="7">
                  <c:v>17.174563874605038</c:v>
                </c:pt>
                <c:pt idx="8">
                  <c:v>19.838851664708951</c:v>
                </c:pt>
                <c:pt idx="9">
                  <c:v>22.384180561821143</c:v>
                </c:pt>
                <c:pt idx="10">
                  <c:v>24.815478199994924</c:v>
                </c:pt>
                <c:pt idx="11">
                  <c:v>27.139786077905764</c:v>
                </c:pt>
                <c:pt idx="12">
                  <c:v>29.364762435143678</c:v>
                </c:pt>
                <c:pt idx="13">
                  <c:v>31.497963864486877</c:v>
                </c:pt>
                <c:pt idx="14">
                  <c:v>33.546517482938377</c:v>
                </c:pt>
                <c:pt idx="15">
                  <c:v>35.516990766815447</c:v>
                </c:pt>
                <c:pt idx="16">
                  <c:v>37.415360886456483</c:v>
                </c:pt>
                <c:pt idx="17">
                  <c:v>39.24703271924021</c:v>
                </c:pt>
                <c:pt idx="18">
                  <c:v>41.016878989808532</c:v>
                </c:pt>
                <c:pt idx="19">
                  <c:v>42.729288686192156</c:v>
                </c:pt>
                <c:pt idx="20">
                  <c:v>44.3882166466584</c:v>
                </c:pt>
                <c:pt idx="21">
                  <c:v>45.997230827047666</c:v>
                </c:pt>
                <c:pt idx="22">
                  <c:v>47.559555697113645</c:v>
                </c:pt>
                <c:pt idx="23">
                  <c:v>49.078111243810525</c:v>
                </c:pt>
                <c:pt idx="24">
                  <c:v>50.55554759147536</c:v>
                </c:pt>
                <c:pt idx="25">
                  <c:v>51.994275508139715</c:v>
                </c:pt>
                <c:pt idx="26">
                  <c:v>53.396493177816005</c:v>
                </c:pt>
                <c:pt idx="27">
                  <c:v>54.764209649568421</c:v>
                </c:pt>
                <c:pt idx="28">
                  <c:v>56.099265364025946</c:v>
                </c:pt>
                <c:pt idx="29">
                  <c:v>57.403350128173734</c:v>
                </c:pt>
                <c:pt idx="30">
                  <c:v>58.6780188715707</c:v>
                </c:pt>
                <c:pt idx="31">
                  <c:v>59.924705477925464</c:v>
                </c:pt>
                <c:pt idx="32">
                  <c:v>61.1447349484624</c:v>
                </c:pt>
                <c:pt idx="33">
                  <c:v>62.339334119232852</c:v>
                </c:pt>
                <c:pt idx="34">
                  <c:v>63.509641124017818</c:v>
                </c:pt>
                <c:pt idx="35">
                  <c:v>64.656713767760124</c:v>
                </c:pt>
                <c:pt idx="36">
                  <c:v>65.781536952326448</c:v>
                </c:pt>
                <c:pt idx="37">
                  <c:v>66.885029276491125</c:v>
                </c:pt>
                <c:pt idx="38">
                  <c:v>67.968048914973537</c:v>
                </c:pt>
                <c:pt idx="39">
                  <c:v>69.031398866778318</c:v>
                </c:pt>
                <c:pt idx="40">
                  <c:v>70.07583165063663</c:v>
                </c:pt>
                <c:pt idx="41">
                  <c:v>71.102053514719941</c:v>
                </c:pt>
                <c:pt idx="42">
                  <c:v>72.110728218723693</c:v>
                </c:pt>
                <c:pt idx="43">
                  <c:v>73.102480438665708</c:v>
                </c:pt>
                <c:pt idx="44">
                  <c:v>74.077898838109519</c:v>
                </c:pt>
                <c:pt idx="45">
                  <c:v>75.037538843842228</c:v>
                </c:pt>
                <c:pt idx="46">
                  <c:v>75.981925159158067</c:v>
                </c:pt>
                <c:pt idx="47">
                  <c:v>76.911554043709444</c:v>
                </c:pt>
                <c:pt idx="48">
                  <c:v>77.826895385275989</c:v>
                </c:pt>
                <c:pt idx="49">
                  <c:v>78.728394585688889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AF-4654-B965-F729EB136808}"/>
            </c:ext>
          </c:extLst>
        </c:ser>
        <c:ser>
          <c:idx val="14"/>
          <c:order val="14"/>
          <c:tx>
            <c:strRef>
              <c:f>Vega!$B$38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Vega!$C$38:$AZ$38</c:f>
              <c:numCache>
                <c:formatCode>General</c:formatCode>
                <c:ptCount val="50"/>
                <c:pt idx="0">
                  <c:v>2.466461525361167E-3</c:v>
                </c:pt>
                <c:pt idx="1">
                  <c:v>0.25734589818730608</c:v>
                </c:pt>
                <c:pt idx="2">
                  <c:v>1.3209299733984305</c:v>
                </c:pt>
                <c:pt idx="3">
                  <c:v>3.1207812645797253</c:v>
                </c:pt>
                <c:pt idx="4">
                  <c:v>5.3588475727461455</c:v>
                </c:pt>
                <c:pt idx="5">
                  <c:v>7.8115019427058465</c:v>
                </c:pt>
                <c:pt idx="6">
                  <c:v>10.34407289521341</c:v>
                </c:pt>
                <c:pt idx="7">
                  <c:v>12.880363658795959</c:v>
                </c:pt>
                <c:pt idx="8">
                  <c:v>15.378580943041788</c:v>
                </c:pt>
                <c:pt idx="9">
                  <c:v>17.816680549913194</c:v>
                </c:pt>
                <c:pt idx="10">
                  <c:v>20.183931490858175</c:v>
                </c:pt>
                <c:pt idx="11">
                  <c:v>22.476092114088743</c:v>
                </c:pt>
                <c:pt idx="12">
                  <c:v>24.692629078756443</c:v>
                </c:pt>
                <c:pt idx="13">
                  <c:v>26.835095328542575</c:v>
                </c:pt>
                <c:pt idx="14">
                  <c:v>28.90617419813999</c:v>
                </c:pt>
                <c:pt idx="15">
                  <c:v>30.90911237292207</c:v>
                </c:pt>
                <c:pt idx="16">
                  <c:v>32.847383278668474</c:v>
                </c:pt>
                <c:pt idx="17">
                  <c:v>34.724488813374215</c:v>
                </c:pt>
                <c:pt idx="18">
                  <c:v>36.543844981469341</c:v>
                </c:pt>
                <c:pt idx="19">
                  <c:v>38.30871874473663</c:v>
                </c:pt>
                <c:pt idx="20">
                  <c:v>40.022196197018879</c:v>
                </c:pt>
                <c:pt idx="21">
                  <c:v>41.687169817830373</c:v>
                </c:pt>
                <c:pt idx="22">
                  <c:v>43.306337201388416</c:v>
                </c:pt>
                <c:pt idx="23">
                  <c:v>44.882206512140556</c:v>
                </c:pt>
                <c:pt idx="24">
                  <c:v>46.417105693833555</c:v>
                </c:pt>
                <c:pt idx="25">
                  <c:v>47.913193574750842</c:v>
                </c:pt>
                <c:pt idx="26">
                  <c:v>49.372471717784528</c:v>
                </c:pt>
                <c:pt idx="27">
                  <c:v>50.796796313179669</c:v>
                </c:pt>
                <c:pt idx="28">
                  <c:v>52.187889698261245</c:v>
                </c:pt>
                <c:pt idx="29">
                  <c:v>53.547351271025079</c:v>
                </c:pt>
                <c:pt idx="30">
                  <c:v>54.876667680254116</c:v>
                </c:pt>
                <c:pt idx="31">
                  <c:v>56.177222247466034</c:v>
                </c:pt>
                <c:pt idx="32">
                  <c:v>57.450303620712553</c:v>
                </c:pt>
                <c:pt idx="33">
                  <c:v>58.697113686876719</c:v>
                </c:pt>
                <c:pt idx="34">
                  <c:v>59.918774784064588</c:v>
                </c:pt>
                <c:pt idx="35">
                  <c:v>61.116336263151581</c:v>
                </c:pt>
                <c:pt idx="36">
                  <c:v>62.29078045027093</c:v>
                </c:pt>
                <c:pt idx="37">
                  <c:v>63.443028061826446</c:v>
                </c:pt>
                <c:pt idx="38">
                  <c:v>64.573943121653656</c:v>
                </c:pt>
                <c:pt idx="39">
                  <c:v>65.684337427013233</c:v>
                </c:pt>
                <c:pt idx="40">
                  <c:v>66.774974606676494</c:v>
                </c:pt>
                <c:pt idx="41">
                  <c:v>67.846573810770479</c:v>
                </c:pt>
                <c:pt idx="42">
                  <c:v>68.899813068485301</c:v>
                </c:pt>
                <c:pt idx="43">
                  <c:v>69.935332346331975</c:v>
                </c:pt>
                <c:pt idx="44">
                  <c:v>70.953736336431177</c:v>
                </c:pt>
                <c:pt idx="45">
                  <c:v>71.955597001356821</c:v>
                </c:pt>
                <c:pt idx="46">
                  <c:v>72.941455899349208</c:v>
                </c:pt>
                <c:pt idx="47">
                  <c:v>73.91182631126172</c:v>
                </c:pt>
                <c:pt idx="48">
                  <c:v>74.867195188389132</c:v>
                </c:pt>
                <c:pt idx="49">
                  <c:v>75.808024938338065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AF-4654-B965-F729EB136808}"/>
            </c:ext>
          </c:extLst>
        </c:ser>
        <c:ser>
          <c:idx val="15"/>
          <c:order val="15"/>
          <c:tx>
            <c:strRef>
              <c:f>Vega!$B$39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Vega!$C$39:$AZ$39</c:f>
              <c:numCache>
                <c:formatCode>General</c:formatCode>
                <c:ptCount val="50"/>
                <c:pt idx="0">
                  <c:v>1.753010902314504E-4</c:v>
                </c:pt>
                <c:pt idx="1">
                  <c:v>6.8932049054116401E-2</c:v>
                </c:pt>
                <c:pt idx="2">
                  <c:v>0.55061531676659159</c:v>
                </c:pt>
                <c:pt idx="3">
                  <c:v>1.6227966445448343</c:v>
                </c:pt>
                <c:pt idx="4">
                  <c:v>3.1819367439192572</c:v>
                </c:pt>
                <c:pt idx="5">
                  <c:v>5.0671947233936754</c:v>
                </c:pt>
                <c:pt idx="6">
                  <c:v>7.1476357882319839</c:v>
                </c:pt>
                <c:pt idx="7">
                  <c:v>9.3320554875542943</c:v>
                </c:pt>
                <c:pt idx="8">
                  <c:v>11.560345928134989</c:v>
                </c:pt>
                <c:pt idx="9">
                  <c:v>13.793855243276576</c:v>
                </c:pt>
                <c:pt idx="10">
                  <c:v>16.008140328869402</c:v>
                </c:pt>
                <c:pt idx="11">
                  <c:v>18.188049590770667</c:v>
                </c:pt>
                <c:pt idx="12">
                  <c:v>20.324494709306865</c:v>
                </c:pt>
                <c:pt idx="13">
                  <c:v>22.412348432190452</c:v>
                </c:pt>
                <c:pt idx="14">
                  <c:v>24.449073010843861</c:v>
                </c:pt>
                <c:pt idx="15">
                  <c:v>26.433820053981218</c:v>
                </c:pt>
                <c:pt idx="16">
                  <c:v>28.36683561661167</c:v>
                </c:pt>
                <c:pt idx="17">
                  <c:v>30.249064412959363</c:v>
                </c:pt>
                <c:pt idx="18">
                  <c:v>32.081885105682971</c:v>
                </c:pt>
                <c:pt idx="19">
                  <c:v>33.866932678137182</c:v>
                </c:pt>
                <c:pt idx="20">
                  <c:v>35.605979169844161</c:v>
                </c:pt>
                <c:pt idx="21">
                  <c:v>37.300853834240748</c:v>
                </c:pt>
                <c:pt idx="22">
                  <c:v>38.953390101254008</c:v>
                </c:pt>
                <c:pt idx="23">
                  <c:v>40.565390859516484</c:v>
                </c:pt>
                <c:pt idx="24">
                  <c:v>42.138606301885602</c:v>
                </c:pt>
                <c:pt idx="25">
                  <c:v>43.674720398427667</c:v>
                </c:pt>
                <c:pt idx="26">
                  <c:v>45.175343287290623</c:v>
                </c:pt>
                <c:pt idx="27">
                  <c:v>46.642007707350174</c:v>
                </c:pt>
                <c:pt idx="28">
                  <c:v>48.076168167697915</c:v>
                </c:pt>
                <c:pt idx="29">
                  <c:v>49.479201943433772</c:v>
                </c:pt>
                <c:pt idx="30">
                  <c:v>50.852411261374968</c:v>
                </c:pt>
                <c:pt idx="31">
                  <c:v>52.197026230979326</c:v>
                </c:pt>
                <c:pt idx="32">
                  <c:v>53.514208210471146</c:v>
                </c:pt>
                <c:pt idx="33">
                  <c:v>54.805053393177936</c:v>
                </c:pt>
                <c:pt idx="34">
                  <c:v>56.070596466317895</c:v>
                </c:pt>
                <c:pt idx="35">
                  <c:v>57.311814242129543</c:v>
                </c:pt>
                <c:pt idx="36">
                  <c:v>58.529629195024206</c:v>
                </c:pt>
                <c:pt idx="37">
                  <c:v>59.724912862370608</c:v>
                </c:pt>
                <c:pt idx="38">
                  <c:v>60.898489083414468</c:v>
                </c:pt>
                <c:pt idx="39">
                  <c:v>62.051137062691957</c:v>
                </c:pt>
                <c:pt idx="40">
                  <c:v>63.183594252544523</c:v>
                </c:pt>
                <c:pt idx="41">
                  <c:v>64.29655905499844</c:v>
                </c:pt>
                <c:pt idx="42">
                  <c:v>65.390693347072656</c:v>
                </c:pt>
                <c:pt idx="43">
                  <c:v>66.466624836049775</c:v>
                </c:pt>
                <c:pt idx="44">
                  <c:v>67.524949252764927</c:v>
                </c:pt>
                <c:pt idx="45">
                  <c:v>68.566232391820677</c:v>
                </c:pt>
                <c:pt idx="46">
                  <c:v>69.591012008011148</c:v>
                </c:pt>
                <c:pt idx="47">
                  <c:v>70.599799578292362</c:v>
                </c:pt>
                <c:pt idx="48">
                  <c:v>71.593081938462191</c:v>
                </c:pt>
                <c:pt idx="49">
                  <c:v>72.571322803396555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AF-4654-B965-F729EB136808}"/>
            </c:ext>
          </c:extLst>
        </c:ser>
        <c:ser>
          <c:idx val="16"/>
          <c:order val="16"/>
          <c:tx>
            <c:strRef>
              <c:f>Vega!$B$40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Vega!$C$23:$AZ$23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Vega!$C$40:$AZ$40</c:f>
              <c:numCache>
                <c:formatCode>General</c:formatCode>
                <c:ptCount val="50"/>
                <c:pt idx="0">
                  <c:v>9.7937749170318685E-6</c:v>
                </c:pt>
                <c:pt idx="1">
                  <c:v>1.6367344465552196E-2</c:v>
                </c:pt>
                <c:pt idx="2">
                  <c:v>0.21177230646577411</c:v>
                </c:pt>
                <c:pt idx="3">
                  <c:v>0.79435914841497812</c:v>
                </c:pt>
                <c:pt idx="4">
                  <c:v>1.8000455519786431</c:v>
                </c:pt>
                <c:pt idx="5">
                  <c:v>3.1568381504252208</c:v>
                </c:pt>
                <c:pt idx="6">
                  <c:v>4.7705729750376964</c:v>
                </c:pt>
                <c:pt idx="7">
                  <c:v>6.5588544899120951</c:v>
                </c:pt>
                <c:pt idx="8">
                  <c:v>8.4581782621465393</c:v>
                </c:pt>
                <c:pt idx="9">
                  <c:v>10.422116521119738</c:v>
                </c:pt>
                <c:pt idx="10">
                  <c:v>12.417565045458458</c:v>
                </c:pt>
                <c:pt idx="11">
                  <c:v>14.421245640944534</c:v>
                </c:pt>
                <c:pt idx="12">
                  <c:v>16.416958628038874</c:v>
                </c:pt>
                <c:pt idx="13">
                  <c:v>18.393556616204599</c:v>
                </c:pt>
                <c:pt idx="14">
                  <c:v>20.343488444324425</c:v>
                </c:pt>
                <c:pt idx="15">
                  <c:v>22.261762977384244</c:v>
                </c:pt>
                <c:pt idx="16">
                  <c:v>24.145213125081817</c:v>
                </c:pt>
                <c:pt idx="17">
                  <c:v>25.99197209659723</c:v>
                </c:pt>
                <c:pt idx="18">
                  <c:v>27.801099292447692</c:v>
                </c:pt>
                <c:pt idx="19">
                  <c:v>29.572311895113678</c:v>
                </c:pt>
                <c:pt idx="20">
                  <c:v>31.305791437848995</c:v>
                </c:pt>
                <c:pt idx="21">
                  <c:v>33.002043846719118</c:v>
                </c:pt>
                <c:pt idx="22">
                  <c:v>34.661797842173847</c:v>
                </c:pt>
                <c:pt idx="23">
                  <c:v>36.285931020250494</c:v>
                </c:pt>
                <c:pt idx="24">
                  <c:v>37.875416019840181</c:v>
                </c:pt>
                <c:pt idx="25">
                  <c:v>39.431281341928958</c:v>
                </c:pt>
                <c:pt idx="26">
                  <c:v>40.95458290692337</c:v>
                </c:pt>
                <c:pt idx="27">
                  <c:v>42.44638351336944</c:v>
                </c:pt>
                <c:pt idx="28">
                  <c:v>43.907738129798695</c:v>
                </c:pt>
                <c:pt idx="29">
                  <c:v>45.339683503257277</c:v>
                </c:pt>
                <c:pt idx="30">
                  <c:v>46.743230966930106</c:v>
                </c:pt>
                <c:pt idx="31">
                  <c:v>48.119361619371112</c:v>
                </c:pt>
                <c:pt idx="32">
                  <c:v>49.469023260104109</c:v>
                </c:pt>
                <c:pt idx="33">
                  <c:v>50.793128622528876</c:v>
                </c:pt>
                <c:pt idx="34">
                  <c:v>52.092554560576538</c:v>
                </c:pt>
                <c:pt idx="35">
                  <c:v>53.368141931408168</c:v>
                </c:pt>
                <c:pt idx="36">
                  <c:v>54.620695980541889</c:v>
                </c:pt>
                <c:pt idx="37">
                  <c:v>55.850987083835541</c:v>
                </c:pt>
                <c:pt idx="38">
                  <c:v>57.059751736891819</c:v>
                </c:pt>
                <c:pt idx="39">
                  <c:v>58.247693709726128</c:v>
                </c:pt>
                <c:pt idx="40">
                  <c:v>59.41548530517462</c:v>
                </c:pt>
                <c:pt idx="41">
                  <c:v>60.563768675168973</c:v>
                </c:pt>
                <c:pt idx="42">
                  <c:v>61.693157160889612</c:v>
                </c:pt>
                <c:pt idx="43">
                  <c:v>62.804236631847168</c:v>
                </c:pt>
                <c:pt idx="44">
                  <c:v>63.89756680581182</c:v>
                </c:pt>
                <c:pt idx="45">
                  <c:v>64.973682536737357</c:v>
                </c:pt>
                <c:pt idx="46">
                  <c:v>66.03309506178843</c:v>
                </c:pt>
                <c:pt idx="47">
                  <c:v>67.076293201585344</c:v>
                </c:pt>
                <c:pt idx="48">
                  <c:v>68.103744510043043</c:v>
                </c:pt>
                <c:pt idx="49">
                  <c:v>69.115896371880396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AF-4654-B965-F729EB136808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313691696"/>
        <c:axId val="313687376"/>
        <c:axId val="320050672"/>
      </c:surface3DChart>
      <c:catAx>
        <c:axId val="313691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87376"/>
        <c:crosses val="autoZero"/>
        <c:auto val="1"/>
        <c:lblAlgn val="ctr"/>
        <c:lblOffset val="100"/>
        <c:noMultiLvlLbl val="0"/>
      </c:catAx>
      <c:valAx>
        <c:axId val="31368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91696"/>
        <c:crosses val="autoZero"/>
        <c:crossBetween val="midCat"/>
      </c:valAx>
      <c:serAx>
        <c:axId val="3200506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8737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Vega, vol=40%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Vega!$B$45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Vega!$C$45:$AZ$45</c:f>
              <c:numCache>
                <c:formatCode>General</c:formatCode>
                <c:ptCount val="50"/>
                <c:pt idx="0">
                  <c:v>2.8927681053429895E-3</c:v>
                </c:pt>
                <c:pt idx="1">
                  <c:v>0.24068468973762946</c:v>
                </c:pt>
                <c:pt idx="2">
                  <c:v>1.1445493023792699</c:v>
                </c:pt>
                <c:pt idx="3">
                  <c:v>2.6009046105173712</c:v>
                </c:pt>
                <c:pt idx="4">
                  <c:v>4.3606581170885557</c:v>
                </c:pt>
                <c:pt idx="5">
                  <c:v>6.2530413035552028</c:v>
                </c:pt>
                <c:pt idx="6">
                  <c:v>8.180603506862747</c:v>
                </c:pt>
                <c:pt idx="7">
                  <c:v>10.090715910465395</c:v>
                </c:pt>
                <c:pt idx="8">
                  <c:v>11.955990902775312</c:v>
                </c:pt>
                <c:pt idx="9">
                  <c:v>13.76303859788765</c:v>
                </c:pt>
                <c:pt idx="10">
                  <c:v>15.506231241512264</c:v>
                </c:pt>
                <c:pt idx="11">
                  <c:v>17.184239103030748</c:v>
                </c:pt>
                <c:pt idx="12">
                  <c:v>18.798083731151003</c:v>
                </c:pt>
                <c:pt idx="13">
                  <c:v>20.350030559998647</c:v>
                </c:pt>
                <c:pt idx="14">
                  <c:v>21.842953512525479</c:v>
                </c:pt>
                <c:pt idx="15">
                  <c:v>23.279969571720645</c:v>
                </c:pt>
                <c:pt idx="16">
                  <c:v>24.664230109540355</c:v>
                </c:pt>
                <c:pt idx="17">
                  <c:v>25.998804321336614</c:v>
                </c:pt>
                <c:pt idx="18">
                  <c:v>27.286617190518637</c:v>
                </c:pt>
                <c:pt idx="19">
                  <c:v>28.530419807145872</c:v>
                </c:pt>
                <c:pt idx="20">
                  <c:v>29.732778785273464</c:v>
                </c:pt>
                <c:pt idx="21">
                  <c:v>30.896076779677227</c:v>
                </c:pt>
                <c:pt idx="22">
                  <c:v>32.022519245176319</c:v>
                </c:pt>
                <c:pt idx="23">
                  <c:v>33.114144484711616</c:v>
                </c:pt>
                <c:pt idx="24">
                  <c:v>34.17283519656327</c:v>
                </c:pt>
                <c:pt idx="25">
                  <c:v>35.200330448908943</c:v>
                </c:pt>
                <c:pt idx="26">
                  <c:v>36.198237454655093</c:v>
                </c:pt>
                <c:pt idx="27">
                  <c:v>37.168042795400233</c:v>
                </c:pt>
                <c:pt idx="28">
                  <c:v>38.111122914083509</c:v>
                </c:pt>
                <c:pt idx="29">
                  <c:v>39.028753800546461</c:v>
                </c:pt>
                <c:pt idx="30">
                  <c:v>39.922119857324525</c:v>
                </c:pt>
                <c:pt idx="31">
                  <c:v>40.792321969846839</c:v>
                </c:pt>
                <c:pt idx="32">
                  <c:v>41.640384825580547</c:v>
                </c:pt>
                <c:pt idx="33">
                  <c:v>42.467263536697857</c:v>
                </c:pt>
                <c:pt idx="34">
                  <c:v>43.273849624522306</c:v>
                </c:pt>
                <c:pt idx="35">
                  <c:v>44.060976423851962</c:v>
                </c:pt>
                <c:pt idx="36">
                  <c:v>44.829423962873925</c:v>
                </c:pt>
                <c:pt idx="37">
                  <c:v>45.579923370801723</c:v>
                </c:pt>
                <c:pt idx="38">
                  <c:v>46.313160861227267</c:v>
                </c:pt>
                <c:pt idx="39">
                  <c:v>47.029781334880965</c:v>
                </c:pt>
                <c:pt idx="40">
                  <c:v>47.730391641275148</c:v>
                </c:pt>
                <c:pt idx="41">
                  <c:v>48.415563534704113</c:v>
                </c:pt>
                <c:pt idx="42">
                  <c:v>49.085836356359287</c:v>
                </c:pt>
                <c:pt idx="43">
                  <c:v>49.741719470921844</c:v>
                </c:pt>
                <c:pt idx="44">
                  <c:v>50.383694482919374</c:v>
                </c:pt>
                <c:pt idx="45">
                  <c:v>51.012217255371269</c:v>
                </c:pt>
                <c:pt idx="46">
                  <c:v>51.627719750776635</c:v>
                </c:pt>
                <c:pt idx="47">
                  <c:v>52.23061171229908</c:v>
                </c:pt>
                <c:pt idx="48">
                  <c:v>52.82128220104763</c:v>
                </c:pt>
                <c:pt idx="49">
                  <c:v>53.400101003619127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12-495F-A3CB-680743C7456B}"/>
            </c:ext>
          </c:extLst>
        </c:ser>
        <c:ser>
          <c:idx val="1"/>
          <c:order val="1"/>
          <c:tx>
            <c:strRef>
              <c:f>Vega!$B$46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Vega!$C$46:$AZ$46</c:f>
              <c:numCache>
                <c:formatCode>General</c:formatCode>
                <c:ptCount val="50"/>
                <c:pt idx="0">
                  <c:v>3.1579576064734875E-2</c:v>
                </c:pt>
                <c:pt idx="1">
                  <c:v>0.80928038345433906</c:v>
                </c:pt>
                <c:pt idx="2">
                  <c:v>2.5989884194033275</c:v>
                </c:pt>
                <c:pt idx="3">
                  <c:v>4.8534874326461397</c:v>
                </c:pt>
                <c:pt idx="4">
                  <c:v>7.2333138746273917</c:v>
                </c:pt>
                <c:pt idx="5">
                  <c:v>9.5891569679737607</c:v>
                </c:pt>
                <c:pt idx="6">
                  <c:v>11.860966723037398</c:v>
                </c:pt>
                <c:pt idx="7">
                  <c:v>14.027844163030693</c:v>
                </c:pt>
                <c:pt idx="8">
                  <c:v>16.085990332727391</c:v>
                </c:pt>
                <c:pt idx="9">
                  <c:v>18.038946672761909</c:v>
                </c:pt>
                <c:pt idx="10">
                  <c:v>19.893177390891516</c:v>
                </c:pt>
                <c:pt idx="11">
                  <c:v>21.656041890009046</c:v>
                </c:pt>
                <c:pt idx="12">
                  <c:v>23.334871052607813</c:v>
                </c:pt>
                <c:pt idx="13">
                  <c:v>24.936566080038947</c:v>
                </c:pt>
                <c:pt idx="14">
                  <c:v>26.467447880717664</c:v>
                </c:pt>
                <c:pt idx="15">
                  <c:v>27.933226034316547</c:v>
                </c:pt>
                <c:pt idx="16">
                  <c:v>29.339022962937957</c:v>
                </c:pt>
                <c:pt idx="17">
                  <c:v>30.689421345015912</c:v>
                </c:pt>
                <c:pt idx="18">
                  <c:v>31.988518950030333</c:v>
                </c:pt>
                <c:pt idx="19">
                  <c:v>33.239983248380398</c:v>
                </c:pt>
                <c:pt idx="20">
                  <c:v>34.447102327226915</c:v>
                </c:pt>
                <c:pt idx="21">
                  <c:v>35.612830771753401</c:v>
                </c:pt>
                <c:pt idx="22">
                  <c:v>36.739830236962867</c:v>
                </c:pt>
                <c:pt idx="23">
                  <c:v>37.830504945110668</c:v>
                </c:pt>
                <c:pt idx="24">
                  <c:v>38.887032563777872</c:v>
                </c:pt>
                <c:pt idx="25">
                  <c:v>39.911390990104557</c:v>
                </c:pt>
                <c:pt idx="26">
                  <c:v>40.905381562810902</c:v>
                </c:pt>
                <c:pt idx="27">
                  <c:v>41.870649185266466</c:v>
                </c:pt>
                <c:pt idx="28">
                  <c:v>42.808699791070595</c:v>
                </c:pt>
                <c:pt idx="29">
                  <c:v>43.720915529194016</c:v>
                </c:pt>
                <c:pt idx="30">
                  <c:v>44.608567993976749</c:v>
                </c:pt>
                <c:pt idx="31">
                  <c:v>45.472829778475315</c:v>
                </c:pt>
                <c:pt idx="32">
                  <c:v>46.314784588531438</c:v>
                </c:pt>
                <c:pt idx="33">
                  <c:v>47.135436119424597</c:v>
                </c:pt>
                <c:pt idx="34">
                  <c:v>47.93571586663446</c:v>
                </c:pt>
                <c:pt idx="35">
                  <c:v>48.716490016489963</c:v>
                </c:pt>
                <c:pt idx="36">
                  <c:v>49.4785655407102</c:v>
                </c:pt>
                <c:pt idx="37">
                  <c:v>50.222695600470097</c:v>
                </c:pt>
                <c:pt idx="38">
                  <c:v>50.949584350131573</c:v>
                </c:pt>
                <c:pt idx="39">
                  <c:v>51.659891217713842</c:v>
                </c:pt>
                <c:pt idx="40">
                  <c:v>52.354234728147119</c:v>
                </c:pt>
                <c:pt idx="41">
                  <c:v>53.033195926031198</c:v>
                </c:pt>
                <c:pt idx="42">
                  <c:v>53.697321446727621</c:v>
                </c:pt>
                <c:pt idx="43">
                  <c:v>54.347126277920594</c:v>
                </c:pt>
                <c:pt idx="44">
                  <c:v>54.983096248091599</c:v>
                </c:pt>
                <c:pt idx="45">
                  <c:v>55.605690273507442</c:v>
                </c:pt>
                <c:pt idx="46">
                  <c:v>56.215342391184421</c:v>
                </c:pt>
                <c:pt idx="47">
                  <c:v>56.812463601752469</c:v>
                </c:pt>
                <c:pt idx="48">
                  <c:v>57.397443543108118</c:v>
                </c:pt>
                <c:pt idx="49">
                  <c:v>57.970652013136316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12-495F-A3CB-680743C7456B}"/>
            </c:ext>
          </c:extLst>
        </c:ser>
        <c:ser>
          <c:idx val="2"/>
          <c:order val="2"/>
          <c:tx>
            <c:strRef>
              <c:f>Vega!$B$47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Vega!$C$47:$AZ$47</c:f>
              <c:numCache>
                <c:formatCode>General</c:formatCode>
                <c:ptCount val="50"/>
                <c:pt idx="0">
                  <c:v>0.20206432933194751</c:v>
                </c:pt>
                <c:pt idx="1">
                  <c:v>2.0805640593227528</c:v>
                </c:pt>
                <c:pt idx="2">
                  <c:v>4.9304436135104535</c:v>
                </c:pt>
                <c:pt idx="3">
                  <c:v>7.9092508197023887</c:v>
                </c:pt>
                <c:pt idx="4">
                  <c:v>10.760157334795643</c:v>
                </c:pt>
                <c:pt idx="5">
                  <c:v>13.423372846849714</c:v>
                </c:pt>
                <c:pt idx="6">
                  <c:v>15.89805917536523</c:v>
                </c:pt>
                <c:pt idx="7">
                  <c:v>18.20002780509374</c:v>
                </c:pt>
                <c:pt idx="8">
                  <c:v>20.348335364106937</c:v>
                </c:pt>
                <c:pt idx="9">
                  <c:v>22.361051898798774</c:v>
                </c:pt>
                <c:pt idx="10">
                  <c:v>24.254101290874463</c:v>
                </c:pt>
                <c:pt idx="11">
                  <c:v>26.041146158135668</c:v>
                </c:pt>
                <c:pt idx="12">
                  <c:v>27.733806305794864</c:v>
                </c:pt>
                <c:pt idx="13">
                  <c:v>29.341955800699488</c:v>
                </c:pt>
                <c:pt idx="14">
                  <c:v>30.874009690355525</c:v>
                </c:pt>
                <c:pt idx="15">
                  <c:v>32.337173336677232</c:v>
                </c:pt>
                <c:pt idx="16">
                  <c:v>33.73765026199797</c:v>
                </c:pt>
                <c:pt idx="17">
                  <c:v>35.080812300599455</c:v>
                </c:pt>
                <c:pt idx="18">
                  <c:v>36.371337943871012</c:v>
                </c:pt>
                <c:pt idx="19">
                  <c:v>37.613324708478778</c:v>
                </c:pt>
                <c:pt idx="20">
                  <c:v>38.810380596978696</c:v>
                </c:pt>
                <c:pt idx="21">
                  <c:v>39.965698826039919</c:v>
                </c:pt>
                <c:pt idx="22">
                  <c:v>41.082119174402251</c:v>
                </c:pt>
                <c:pt idx="23">
                  <c:v>42.162178610247601</c:v>
                </c:pt>
                <c:pt idx="24">
                  <c:v>43.208153298565492</c:v>
                </c:pt>
                <c:pt idx="25">
                  <c:v>44.222093646664973</c:v>
                </c:pt>
                <c:pt idx="26">
                  <c:v>45.205853699211886</c:v>
                </c:pt>
                <c:pt idx="27">
                  <c:v>46.161115923367333</c:v>
                </c:pt>
                <c:pt idx="28">
                  <c:v>47.089412213176651</c:v>
                </c:pt>
                <c:pt idx="29">
                  <c:v>47.992141776978457</c:v>
                </c:pt>
                <c:pt idx="30">
                  <c:v>48.870586441834917</c:v>
                </c:pt>
                <c:pt idx="31">
                  <c:v>49.725923806754125</c:v>
                </c:pt>
                <c:pt idx="32">
                  <c:v>50.559238595583267</c:v>
                </c:pt>
                <c:pt idx="33">
                  <c:v>51.371532496141192</c:v>
                </c:pt>
                <c:pt idx="34">
                  <c:v>52.163732720785546</c:v>
                </c:pt>
                <c:pt idx="35">
                  <c:v>52.936699482369569</c:v>
                </c:pt>
                <c:pt idx="36">
                  <c:v>53.691232546278478</c:v>
                </c:pt>
                <c:pt idx="37">
                  <c:v>54.428076992274185</c:v>
                </c:pt>
                <c:pt idx="38">
                  <c:v>55.147928297923521</c:v>
                </c:pt>
                <c:pt idx="39">
                  <c:v>55.851436837426988</c:v>
                </c:pt>
                <c:pt idx="40">
                  <c:v>56.539211874910485</c:v>
                </c:pt>
                <c:pt idx="41">
                  <c:v>57.211825119067299</c:v>
                </c:pt>
                <c:pt idx="42">
                  <c:v>57.869813895949584</c:v>
                </c:pt>
                <c:pt idx="43">
                  <c:v>58.513683988315982</c:v>
                </c:pt>
                <c:pt idx="44">
                  <c:v>59.143912182932027</c:v>
                </c:pt>
                <c:pt idx="45">
                  <c:v>59.760948561344811</c:v>
                </c:pt>
                <c:pt idx="46">
                  <c:v>60.365218564707995</c:v>
                </c:pt>
                <c:pt idx="47">
                  <c:v>60.957124859060379</c:v>
                </c:pt>
                <c:pt idx="48">
                  <c:v>61.537049023923601</c:v>
                </c:pt>
                <c:pt idx="49">
                  <c:v>62.105353084079425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12-495F-A3CB-680743C7456B}"/>
            </c:ext>
          </c:extLst>
        </c:ser>
        <c:ser>
          <c:idx val="3"/>
          <c:order val="3"/>
          <c:tx>
            <c:strRef>
              <c:f>Vega!$B$48</c:f>
              <c:strCache>
                <c:ptCount val="1"/>
                <c:pt idx="0">
                  <c:v>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Vega!$C$48:$AZ$48</c:f>
              <c:numCache>
                <c:formatCode>General</c:formatCode>
                <c:ptCount val="50"/>
                <c:pt idx="0">
                  <c:v>0.83549282953431669</c:v>
                </c:pt>
                <c:pt idx="1">
                  <c:v>4.2949892755009333</c:v>
                </c:pt>
                <c:pt idx="2">
                  <c:v>8.0743882386319257</c:v>
                </c:pt>
                <c:pt idx="3">
                  <c:v>11.536665460683977</c:v>
                </c:pt>
                <c:pt idx="4">
                  <c:v>14.641863859578905</c:v>
                </c:pt>
                <c:pt idx="5">
                  <c:v>17.439254838188226</c:v>
                </c:pt>
                <c:pt idx="6">
                  <c:v>19.9822801148397</c:v>
                </c:pt>
                <c:pt idx="7">
                  <c:v>22.315107435720602</c:v>
                </c:pt>
                <c:pt idx="8">
                  <c:v>24.472370399729815</c:v>
                </c:pt>
                <c:pt idx="9">
                  <c:v>26.481071633792659</c:v>
                </c:pt>
                <c:pt idx="10">
                  <c:v>28.362438458300513</c:v>
                </c:pt>
                <c:pt idx="11">
                  <c:v>30.133368705406117</c:v>
                </c:pt>
                <c:pt idx="12">
                  <c:v>31.807495747300962</c:v>
                </c:pt>
                <c:pt idx="13">
                  <c:v>33.395963708317908</c:v>
                </c:pt>
                <c:pt idx="14">
                  <c:v>34.907993832372455</c:v>
                </c:pt>
                <c:pt idx="15">
                  <c:v>36.351302363970291</c:v>
                </c:pt>
                <c:pt idx="16">
                  <c:v>37.732412637809986</c:v>
                </c:pt>
                <c:pt idx="17">
                  <c:v>39.056891149041135</c:v>
                </c:pt>
                <c:pt idx="18">
                  <c:v>40.329528380829103</c:v>
                </c:pt>
                <c:pt idx="19">
                  <c:v>41.554478995813469</c:v>
                </c:pt>
                <c:pt idx="20">
                  <c:v>42.73537176694466</c:v>
                </c:pt>
                <c:pt idx="21">
                  <c:v>43.87539670315789</c:v>
                </c:pt>
                <c:pt idx="22">
                  <c:v>44.977374790930526</c:v>
                </c:pt>
                <c:pt idx="23">
                  <c:v>46.043814339878026</c:v>
                </c:pt>
                <c:pt idx="24">
                  <c:v>47.076956899791398</c:v>
                </c:pt>
                <c:pt idx="25">
                  <c:v>48.07881498105295</c:v>
                </c:pt>
                <c:pt idx="26">
                  <c:v>49.051203274533712</c:v>
                </c:pt>
                <c:pt idx="27">
                  <c:v>49.995764672483503</c:v>
                </c:pt>
                <c:pt idx="28">
                  <c:v>50.913992098347862</c:v>
                </c:pt>
                <c:pt idx="29">
                  <c:v>51.807246932882791</c:v>
                </c:pt>
                <c:pt idx="30">
                  <c:v>52.676774656685822</c:v>
                </c:pt>
                <c:pt idx="31">
                  <c:v>53.523718201314885</c:v>
                </c:pt>
                <c:pt idx="32">
                  <c:v>54.349129402469472</c:v>
                </c:pt>
                <c:pt idx="33">
                  <c:v>55.153978871970928</c:v>
                </c:pt>
                <c:pt idx="34">
                  <c:v>55.939164545167685</c:v>
                </c:pt>
                <c:pt idx="35">
                  <c:v>56.705519112968695</c:v>
                </c:pt>
                <c:pt idx="36">
                  <c:v>57.453816510044106</c:v>
                </c:pt>
                <c:pt idx="37">
                  <c:v>58.184777600626461</c:v>
                </c:pt>
                <c:pt idx="38">
                  <c:v>58.899075179135785</c:v>
                </c:pt>
                <c:pt idx="39">
                  <c:v>59.597338383269907</c:v>
                </c:pt>
                <c:pt idx="40">
                  <c:v>60.28015660127636</c:v>
                </c:pt>
                <c:pt idx="41">
                  <c:v>60.948082942103042</c:v>
                </c:pt>
                <c:pt idx="42">
                  <c:v>61.60163732642738</c:v>
                </c:pt>
                <c:pt idx="43">
                  <c:v>62.241309247734584</c:v>
                </c:pt>
                <c:pt idx="44">
                  <c:v>62.867560245291088</c:v>
                </c:pt>
                <c:pt idx="45">
                  <c:v>63.480826124761869</c:v>
                </c:pt>
                <c:pt idx="46">
                  <c:v>64.081518957118035</c:v>
                </c:pt>
                <c:pt idx="47">
                  <c:v>64.670028882199261</c:v>
                </c:pt>
                <c:pt idx="48">
                  <c:v>65.246725739684294</c:v>
                </c:pt>
                <c:pt idx="49">
                  <c:v>65.811960547170045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12-495F-A3CB-680743C7456B}"/>
            </c:ext>
          </c:extLst>
        </c:ser>
        <c:ser>
          <c:idx val="4"/>
          <c:order val="4"/>
          <c:tx>
            <c:strRef>
              <c:f>Vega!$B$49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Vega!$C$49:$AZ$49</c:f>
              <c:numCache>
                <c:formatCode>General</c:formatCode>
                <c:ptCount val="50"/>
                <c:pt idx="0">
                  <c:v>2.4078877530459213</c:v>
                </c:pt>
                <c:pt idx="1">
                  <c:v>7.3950331037818353</c:v>
                </c:pt>
                <c:pt idx="2">
                  <c:v>11.70889313537883</c:v>
                </c:pt>
                <c:pt idx="3">
                  <c:v>15.353259903420463</c:v>
                </c:pt>
                <c:pt idx="4">
                  <c:v>18.507387574429892</c:v>
                </c:pt>
                <c:pt idx="5">
                  <c:v>21.299152086954301</c:v>
                </c:pt>
                <c:pt idx="6">
                  <c:v>23.813669151626357</c:v>
                </c:pt>
                <c:pt idx="7">
                  <c:v>26.109010728180412</c:v>
                </c:pt>
                <c:pt idx="8">
                  <c:v>28.226248013400539</c:v>
                </c:pt>
                <c:pt idx="9">
                  <c:v>30.19542989780826</c:v>
                </c:pt>
                <c:pt idx="10">
                  <c:v>32.039200740799409</c:v>
                </c:pt>
                <c:pt idx="11">
                  <c:v>33.775062717981797</c:v>
                </c:pt>
                <c:pt idx="12">
                  <c:v>35.416839985197164</c:v>
                </c:pt>
                <c:pt idx="13">
                  <c:v>36.975657058853102</c:v>
                </c:pt>
                <c:pt idx="14">
                  <c:v>38.460611657944334</c:v>
                </c:pt>
                <c:pt idx="15">
                  <c:v>39.879249409115658</c:v>
                </c:pt>
                <c:pt idx="16">
                  <c:v>41.237906449979171</c:v>
                </c:pt>
                <c:pt idx="17">
                  <c:v>42.541961733169224</c:v>
                </c:pt>
                <c:pt idx="18">
                  <c:v>43.796026207536613</c:v>
                </c:pt>
                <c:pt idx="19">
                  <c:v>45.004086976349235</c:v>
                </c:pt>
                <c:pt idx="20">
                  <c:v>46.169618754127413</c:v>
                </c:pt>
                <c:pt idx="21">
                  <c:v>47.295671178426439</c:v>
                </c:pt>
                <c:pt idx="22">
                  <c:v>48.384938026441326</c:v>
                </c:pt>
                <c:pt idx="23">
                  <c:v>49.439812685076603</c:v>
                </c:pt>
                <c:pt idx="24">
                  <c:v>50.462433047664696</c:v>
                </c:pt>
                <c:pt idx="25">
                  <c:v>51.454718184956789</c:v>
                </c:pt>
                <c:pt idx="26">
                  <c:v>52.418398549410902</c:v>
                </c:pt>
                <c:pt idx="27">
                  <c:v>53.355041046291994</c:v>
                </c:pt>
                <c:pt idx="28">
                  <c:v>54.26606999352105</c:v>
                </c:pt>
                <c:pt idx="29">
                  <c:v>55.152784761332143</c:v>
                </c:pt>
                <c:pt idx="30">
                  <c:v>56.016374709818493</c:v>
                </c:pt>
                <c:pt idx="31">
                  <c:v>56.857931911511486</c:v>
                </c:pt>
                <c:pt idx="32">
                  <c:v>57.678462046067338</c:v>
                </c:pt>
                <c:pt idx="33">
                  <c:v>58.47889377696854</c:v>
                </c:pt>
                <c:pt idx="34">
                  <c:v>59.260086860138038</c:v>
                </c:pt>
                <c:pt idx="35">
                  <c:v>60.022839187327662</c:v>
                </c:pt>
                <c:pt idx="36">
                  <c:v>60.767892930000038</c:v>
                </c:pt>
                <c:pt idx="37">
                  <c:v>61.49593991988759</c:v>
                </c:pt>
                <c:pt idx="38">
                  <c:v>62.207626378770101</c:v>
                </c:pt>
                <c:pt idx="39">
                  <c:v>62.903557090968519</c:v>
                </c:pt>
                <c:pt idx="40">
                  <c:v>63.584299096623539</c:v>
                </c:pt>
                <c:pt idx="41">
                  <c:v>64.250384971254533</c:v>
                </c:pt>
                <c:pt idx="42">
                  <c:v>64.902315746796205</c:v>
                </c:pt>
                <c:pt idx="43">
                  <c:v>65.540563520832009</c:v>
                </c:pt>
                <c:pt idx="44">
                  <c:v>66.165573793728328</c:v>
                </c:pt>
                <c:pt idx="45">
                  <c:v>66.777767567545681</c:v>
                </c:pt>
                <c:pt idx="46">
                  <c:v>67.377543235736326</c:v>
                </c:pt>
                <c:pt idx="47">
                  <c:v>67.965278288560569</c:v>
                </c:pt>
                <c:pt idx="48">
                  <c:v>68.541330855721469</c:v>
                </c:pt>
                <c:pt idx="49">
                  <c:v>69.1060411048188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12-495F-A3CB-680743C7456B}"/>
            </c:ext>
          </c:extLst>
        </c:ser>
        <c:ser>
          <c:idx val="5"/>
          <c:order val="5"/>
          <c:tx>
            <c:strRef>
              <c:f>Vega!$B$50</c:f>
              <c:strCache>
                <c:ptCount val="1"/>
                <c:pt idx="0">
                  <c:v>85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Vega!$C$50:$AZ$50</c:f>
              <c:numCache>
                <c:formatCode>General</c:formatCode>
                <c:ptCount val="50"/>
                <c:pt idx="0">
                  <c:v>5.134170275900745</c:v>
                </c:pt>
                <c:pt idx="1">
                  <c:v>10.942500947877125</c:v>
                </c:pt>
                <c:pt idx="2">
                  <c:v>15.339332431372213</c:v>
                </c:pt>
                <c:pt idx="3">
                  <c:v>18.925540539125503</c:v>
                </c:pt>
                <c:pt idx="4">
                  <c:v>21.995156401845318</c:v>
                </c:pt>
                <c:pt idx="5">
                  <c:v>24.703988619723042</c:v>
                </c:pt>
                <c:pt idx="6">
                  <c:v>27.144131940822945</c:v>
                </c:pt>
                <c:pt idx="7">
                  <c:v>29.374718763790028</c:v>
                </c:pt>
                <c:pt idx="8">
                  <c:v>31.436146164635336</c:v>
                </c:pt>
                <c:pt idx="9">
                  <c:v>33.357357525510125</c:v>
                </c:pt>
                <c:pt idx="10">
                  <c:v>35.15988235463594</c:v>
                </c:pt>
                <c:pt idx="11">
                  <c:v>36.860226662026854</c:v>
                </c:pt>
                <c:pt idx="12">
                  <c:v>38.471363191913127</c:v>
                </c:pt>
                <c:pt idx="13">
                  <c:v>40.003701365920556</c:v>
                </c:pt>
                <c:pt idx="14">
                  <c:v>41.465741767872892</c:v>
                </c:pt>
                <c:pt idx="15">
                  <c:v>42.864531492169675</c:v>
                </c:pt>
                <c:pt idx="16">
                  <c:v>44.205989381938892</c:v>
                </c:pt>
                <c:pt idx="17">
                  <c:v>45.49514369229307</c:v>
                </c:pt>
                <c:pt idx="18">
                  <c:v>46.736309261500161</c:v>
                </c:pt>
                <c:pt idx="19">
                  <c:v>47.933221934900843</c:v>
                </c:pt>
                <c:pt idx="20">
                  <c:v>49.089142165521103</c:v>
                </c:pt>
                <c:pt idx="21">
                  <c:v>50.206935985772468</c:v>
                </c:pt>
                <c:pt idx="22">
                  <c:v>51.289139095798916</c:v>
                </c:pt>
                <c:pt idx="23">
                  <c:v>52.338008170427976</c:v>
                </c:pt>
                <c:pt idx="24">
                  <c:v>53.355562361479031</c:v>
                </c:pt>
                <c:pt idx="25">
                  <c:v>54.343617187925879</c:v>
                </c:pt>
                <c:pt idx="26">
                  <c:v>55.303812450790197</c:v>
                </c:pt>
                <c:pt idx="27">
                  <c:v>56.237635410082063</c:v>
                </c:pt>
                <c:pt idx="28">
                  <c:v>57.146440169805331</c:v>
                </c:pt>
                <c:pt idx="29">
                  <c:v>58.03146400197808</c:v>
                </c:pt>
                <c:pt idx="30">
                  <c:v>58.893841179971247</c:v>
                </c:pt>
                <c:pt idx="31">
                  <c:v>59.734614770167433</c:v>
                </c:pt>
                <c:pt idx="32">
                  <c:v>60.554746738426189</c:v>
                </c:pt>
                <c:pt idx="33">
                  <c:v>61.355126656617799</c:v>
                </c:pt>
                <c:pt idx="34">
                  <c:v>62.136579239173955</c:v>
                </c:pt>
                <c:pt idx="35">
                  <c:v>62.899870896293571</c:v>
                </c:pt>
                <c:pt idx="36">
                  <c:v>63.645715456269791</c:v>
                </c:pt>
                <c:pt idx="37">
                  <c:v>64.374779182246783</c:v>
                </c:pt>
                <c:pt idx="38">
                  <c:v>65.087685186985823</c:v>
                </c:pt>
                <c:pt idx="39">
                  <c:v>65.785017331721633</c:v>
                </c:pt>
                <c:pt idx="40">
                  <c:v>66.467323681014705</c:v>
                </c:pt>
                <c:pt idx="41">
                  <c:v>67.135119573954626</c:v>
                </c:pt>
                <c:pt idx="42">
                  <c:v>67.788890362606736</c:v>
                </c:pt>
                <c:pt idx="43">
                  <c:v>68.429093860803746</c:v>
                </c:pt>
                <c:pt idx="44">
                  <c:v>69.05616253993486</c:v>
                </c:pt>
                <c:pt idx="45">
                  <c:v>69.670505503026845</c:v>
                </c:pt>
                <c:pt idx="46">
                  <c:v>70.272510263934166</c:v>
                </c:pt>
                <c:pt idx="47">
                  <c:v>70.862544354703005</c:v>
                </c:pt>
                <c:pt idx="48">
                  <c:v>71.440956781014194</c:v>
                </c:pt>
                <c:pt idx="49">
                  <c:v>72.008079342938387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12-495F-A3CB-680743C7456B}"/>
            </c:ext>
          </c:extLst>
        </c:ser>
        <c:ser>
          <c:idx val="6"/>
          <c:order val="6"/>
          <c:tx>
            <c:strRef>
              <c:f>Vega!$B$51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Vega!$C$51:$AZ$51</c:f>
              <c:numCache>
                <c:formatCode>General</c:formatCode>
                <c:ptCount val="50"/>
                <c:pt idx="0">
                  <c:v>8.4944366298322418</c:v>
                </c:pt>
                <c:pt idx="1">
                  <c:v>14.252101551775413</c:v>
                </c:pt>
                <c:pt idx="2">
                  <c:v>18.447383471164414</c:v>
                </c:pt>
                <c:pt idx="3">
                  <c:v>21.870545174578989</c:v>
                </c:pt>
                <c:pt idx="4">
                  <c:v>24.816936606915263</c:v>
                </c:pt>
                <c:pt idx="5">
                  <c:v>27.43224782739415</c:v>
                </c:pt>
                <c:pt idx="6">
                  <c:v>29.800432044816137</c:v>
                </c:pt>
                <c:pt idx="7">
                  <c:v>31.974925006217802</c:v>
                </c:pt>
                <c:pt idx="8">
                  <c:v>33.992174693873302</c:v>
                </c:pt>
                <c:pt idx="9">
                  <c:v>35.878341321405102</c:v>
                </c:pt>
                <c:pt idx="10">
                  <c:v>37.652949635765637</c:v>
                </c:pt>
                <c:pt idx="11">
                  <c:v>39.331029915490014</c:v>
                </c:pt>
                <c:pt idx="12">
                  <c:v>40.924446648821679</c:v>
                </c:pt>
                <c:pt idx="13">
                  <c:v>42.442761869395639</c:v>
                </c:pt>
                <c:pt idx="14">
                  <c:v>43.893817769266356</c:v>
                </c:pt>
                <c:pt idx="15">
                  <c:v>45.284142548105933</c:v>
                </c:pt>
                <c:pt idx="16">
                  <c:v>46.61924086583744</c:v>
                </c:pt>
                <c:pt idx="17">
                  <c:v>47.903806600046799</c:v>
                </c:pt>
                <c:pt idx="18">
                  <c:v>49.141881877509476</c:v>
                </c:pt>
                <c:pt idx="19">
                  <c:v>50.336978078576884</c:v>
                </c:pt>
                <c:pt idx="20">
                  <c:v>51.492169367626978</c:v>
                </c:pt>
                <c:pt idx="21">
                  <c:v>52.610166008918682</c:v>
                </c:pt>
                <c:pt idx="22">
                  <c:v>53.69337256473662</c:v>
                </c:pt>
                <c:pt idx="23">
                  <c:v>54.743934620698305</c:v>
                </c:pt>
                <c:pt idx="24">
                  <c:v>55.763776688197723</c:v>
                </c:pt>
                <c:pt idx="25">
                  <c:v>56.754633239706891</c:v>
                </c:pt>
                <c:pt idx="26">
                  <c:v>57.718074340103414</c:v>
                </c:pt>
                <c:pt idx="27">
                  <c:v>58.655526982419126</c:v>
                </c:pt>
                <c:pt idx="28">
                  <c:v>59.568292977311899</c:v>
                </c:pt>
                <c:pt idx="29">
                  <c:v>60.457564053925466</c:v>
                </c:pt>
                <c:pt idx="30">
                  <c:v>61.324434686386915</c:v>
                </c:pt>
                <c:pt idx="31">
                  <c:v>62.169913051693918</c:v>
                </c:pt>
                <c:pt idx="32">
                  <c:v>62.994930441832658</c:v>
                </c:pt>
                <c:pt idx="33">
                  <c:v>63.800349389012347</c:v>
                </c:pt>
                <c:pt idx="34">
                  <c:v>64.586970713137561</c:v>
                </c:pt>
                <c:pt idx="35">
                  <c:v>65.355539661598442</c:v>
                </c:pt>
                <c:pt idx="36">
                  <c:v>66.106751280595773</c:v>
                </c:pt>
                <c:pt idx="37">
                  <c:v>66.841255132644051</c:v>
                </c:pt>
                <c:pt idx="38">
                  <c:v>67.559659455196339</c:v>
                </c:pt>
                <c:pt idx="39">
                  <c:v>68.262534839442424</c:v>
                </c:pt>
                <c:pt idx="40">
                  <c:v>68.950417495433527</c:v>
                </c:pt>
                <c:pt idx="41">
                  <c:v>69.623812159158618</c:v>
                </c:pt>
                <c:pt idx="42">
                  <c:v>70.283194688557188</c:v>
                </c:pt>
                <c:pt idx="43">
                  <c:v>70.929014388327474</c:v>
                </c:pt>
                <c:pt idx="44">
                  <c:v>71.561696097480961</c:v>
                </c:pt>
                <c:pt idx="45">
                  <c:v>72.181642068676851</c:v>
                </c:pt>
                <c:pt idx="46">
                  <c:v>72.789233664254525</c:v>
                </c:pt>
                <c:pt idx="47">
                  <c:v>73.384832890429337</c:v>
                </c:pt>
                <c:pt idx="48">
                  <c:v>73.968783788201165</c:v>
                </c:pt>
                <c:pt idx="49">
                  <c:v>74.541413697061415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12-495F-A3CB-680743C7456B}"/>
            </c:ext>
          </c:extLst>
        </c:ser>
        <c:ser>
          <c:idx val="7"/>
          <c:order val="7"/>
          <c:tx>
            <c:strRef>
              <c:f>Vega!$B$52</c:f>
              <c:strCache>
                <c:ptCount val="1"/>
                <c:pt idx="0">
                  <c:v>95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Vega!$C$52:$AZ$52</c:f>
              <c:numCache>
                <c:formatCode>General</c:formatCode>
                <c:ptCount val="50"/>
                <c:pt idx="0">
                  <c:v>11.333333220096822</c:v>
                </c:pt>
                <c:pt idx="1">
                  <c:v>16.658156448356948</c:v>
                </c:pt>
                <c:pt idx="2">
                  <c:v>20.631198346871798</c:v>
                </c:pt>
                <c:pt idx="3">
                  <c:v>23.926000796598561</c:v>
                </c:pt>
                <c:pt idx="4">
                  <c:v>26.792372355390583</c:v>
                </c:pt>
                <c:pt idx="5">
                  <c:v>29.355719189201128</c:v>
                </c:pt>
                <c:pt idx="6">
                  <c:v>31.689616425119247</c:v>
                </c:pt>
                <c:pt idx="7">
                  <c:v>33.841630258911003</c:v>
                </c:pt>
                <c:pt idx="8">
                  <c:v>35.844635012777559</c:v>
                </c:pt>
                <c:pt idx="9">
                  <c:v>37.72248950106286</c:v>
                </c:pt>
                <c:pt idx="10">
                  <c:v>39.493169730960169</c:v>
                </c:pt>
                <c:pt idx="11">
                  <c:v>41.17062625265666</c:v>
                </c:pt>
                <c:pt idx="12">
                  <c:v>42.765948689324539</c:v>
                </c:pt>
                <c:pt idx="13">
                  <c:v>44.288129426252439</c:v>
                </c:pt>
                <c:pt idx="14">
                  <c:v>45.744583271463739</c:v>
                </c:pt>
                <c:pt idx="15">
                  <c:v>47.141512168282667</c:v>
                </c:pt>
                <c:pt idx="16">
                  <c:v>48.484167977282596</c:v>
                </c:pt>
                <c:pt idx="17">
                  <c:v>49.777046147898972</c:v>
                </c:pt>
                <c:pt idx="18">
                  <c:v>51.024031293309726</c:v>
                </c:pt>
                <c:pt idx="19">
                  <c:v>52.228508521509205</c:v>
                </c:pt>
                <c:pt idx="20">
                  <c:v>53.393449891395626</c:v>
                </c:pt>
                <c:pt idx="21">
                  <c:v>54.521482474722582</c:v>
                </c:pt>
                <c:pt idx="22">
                  <c:v>55.614942597975855</c:v>
                </c:pt>
                <c:pt idx="23">
                  <c:v>56.675919551065171</c:v>
                </c:pt>
                <c:pt idx="24">
                  <c:v>57.706291163367709</c:v>
                </c:pt>
                <c:pt idx="25">
                  <c:v>58.707753026258082</c:v>
                </c:pt>
                <c:pt idx="26">
                  <c:v>59.681842698455362</c:v>
                </c:pt>
                <c:pt idx="27">
                  <c:v>60.62995991026046</c:v>
                </c:pt>
                <c:pt idx="28">
                  <c:v>61.55338354796303</c:v>
                </c:pt>
                <c:pt idx="29">
                  <c:v>62.45328602539557</c:v>
                </c:pt>
                <c:pt idx="30">
                  <c:v>63.330745518719326</c:v>
                </c:pt>
                <c:pt idx="31">
                  <c:v>64.18675644117954</c:v>
                </c:pt>
                <c:pt idx="32">
                  <c:v>65.022238458412502</c:v>
                </c:pt>
                <c:pt idx="33">
                  <c:v>65.838044285972245</c:v>
                </c:pt>
                <c:pt idx="34">
                  <c:v>66.63496646477347</c:v>
                </c:pt>
                <c:pt idx="35">
                  <c:v>67.413743273987279</c:v>
                </c:pt>
                <c:pt idx="36">
                  <c:v>68.175063912268214</c:v>
                </c:pt>
                <c:pt idx="37">
                  <c:v>68.91957305531902</c:v>
                </c:pt>
                <c:pt idx="38">
                  <c:v>69.647874879421579</c:v>
                </c:pt>
                <c:pt idx="39">
                  <c:v>70.360536625704711</c:v>
                </c:pt>
                <c:pt idx="40">
                  <c:v>71.058091767834796</c:v>
                </c:pt>
                <c:pt idx="41">
                  <c:v>71.741042835932433</c:v>
                </c:pt>
                <c:pt idx="42">
                  <c:v>72.409863941391279</c:v>
                </c:pt>
                <c:pt idx="43">
                  <c:v>73.065003040560981</c:v>
                </c:pt>
                <c:pt idx="44">
                  <c:v>73.706883969679524</c:v>
                </c:pt>
                <c:pt idx="45">
                  <c:v>74.335908278790455</c:v>
                </c:pt>
                <c:pt idx="46">
                  <c:v>74.952456888483752</c:v>
                </c:pt>
                <c:pt idx="47">
                  <c:v>75.556891590022872</c:v>
                </c:pt>
                <c:pt idx="48">
                  <c:v>76.149556406652096</c:v>
                </c:pt>
                <c:pt idx="49">
                  <c:v>76.730778831533073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12-495F-A3CB-680743C7456B}"/>
            </c:ext>
          </c:extLst>
        </c:ser>
        <c:ser>
          <c:idx val="8"/>
          <c:order val="8"/>
          <c:tx>
            <c:strRef>
              <c:f>Vega!$B$53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Vega!$C$53:$AZ$53</c:f>
              <c:numCache>
                <c:formatCode>General</c:formatCode>
                <c:ptCount val="50"/>
                <c:pt idx="0">
                  <c:v>12.583769595744091</c:v>
                </c:pt>
                <c:pt idx="1">
                  <c:v>17.751148118577877</c:v>
                </c:pt>
                <c:pt idx="2">
                  <c:v>21.685666245713325</c:v>
                </c:pt>
                <c:pt idx="3">
                  <c:v>24.977147001014568</c:v>
                </c:pt>
                <c:pt idx="4">
                  <c:v>27.854702761735151</c:v>
                </c:pt>
                <c:pt idx="5">
                  <c:v>30.436158955047052</c:v>
                </c:pt>
                <c:pt idx="6">
                  <c:v>32.791699876266655</c:v>
                </c:pt>
                <c:pt idx="7">
                  <c:v>34.967178945798814</c:v>
                </c:pt>
                <c:pt idx="8">
                  <c:v>36.994532999413373</c:v>
                </c:pt>
                <c:pt idx="9">
                  <c:v>38.897078803674944</c:v>
                </c:pt>
                <c:pt idx="10">
                  <c:v>40.692467136834303</c:v>
                </c:pt>
                <c:pt idx="11">
                  <c:v>42.394448886575823</c:v>
                </c:pt>
                <c:pt idx="12">
                  <c:v>44.013989871931749</c:v>
                </c:pt>
                <c:pt idx="13">
                  <c:v>45.560006037385797</c:v>
                </c:pt>
                <c:pt idx="14">
                  <c:v>47.039866088935568</c:v>
                </c:pt>
                <c:pt idx="15">
                  <c:v>48.45974568345509</c:v>
                </c:pt>
                <c:pt idx="16">
                  <c:v>49.824883520030689</c:v>
                </c:pt>
                <c:pt idx="17">
                  <c:v>51.139770656609578</c:v>
                </c:pt>
                <c:pt idx="18">
                  <c:v>52.408293194233785</c:v>
                </c:pt>
                <c:pt idx="19">
                  <c:v>53.633841658164222</c:v>
                </c:pt>
                <c:pt idx="20">
                  <c:v>54.819396121197592</c:v>
                </c:pt>
                <c:pt idx="21">
                  <c:v>55.967593345229503</c:v>
                </c:pt>
                <c:pt idx="22">
                  <c:v>57.080780382679023</c:v>
                </c:pt>
                <c:pt idx="23">
                  <c:v>58.161057837373768</c:v>
                </c:pt>
                <c:pt idx="24">
                  <c:v>59.210315126927597</c:v>
                </c:pt>
                <c:pt idx="25">
                  <c:v>60.230259485944948</c:v>
                </c:pt>
                <c:pt idx="26">
                  <c:v>61.222440018942713</c:v>
                </c:pt>
                <c:pt idx="27">
                  <c:v>62.18826779992169</c:v>
                </c:pt>
                <c:pt idx="28">
                  <c:v>63.129032786372626</c:v>
                </c:pt>
                <c:pt idx="29">
                  <c:v>64.045918145093665</c:v>
                </c:pt>
                <c:pt idx="30">
                  <c:v>64.940012459017439</c:v>
                </c:pt>
                <c:pt idx="31">
                  <c:v>65.812320186810908</c:v>
                </c:pt>
                <c:pt idx="32">
                  <c:v>66.663770672216629</c:v>
                </c:pt>
                <c:pt idx="33">
                  <c:v>67.495225942164325</c:v>
                </c:pt>
                <c:pt idx="34">
                  <c:v>68.307487487416068</c:v>
                </c:pt>
                <c:pt idx="35">
                  <c:v>69.101302183860739</c:v>
                </c:pt>
                <c:pt idx="36">
                  <c:v>69.877367484291781</c:v>
                </c:pt>
                <c:pt idx="37">
                  <c:v>70.636335987905625</c:v>
                </c:pt>
                <c:pt idx="38">
                  <c:v>71.378819476585633</c:v>
                </c:pt>
                <c:pt idx="39">
                  <c:v>72.105392492329599</c:v>
                </c:pt>
                <c:pt idx="40">
                  <c:v>72.816595518207379</c:v>
                </c:pt>
                <c:pt idx="41">
                  <c:v>73.512937815436686</c:v>
                </c:pt>
                <c:pt idx="42">
                  <c:v>74.194899961100546</c:v>
                </c:pt>
                <c:pt idx="43">
                  <c:v>74.862936124363728</c:v>
                </c:pt>
                <c:pt idx="44">
                  <c:v>75.51747611350234</c:v>
                </c:pt>
                <c:pt idx="45">
                  <c:v>76.158927221438574</c:v>
                </c:pt>
                <c:pt idx="46">
                  <c:v>76.787675893594241</c:v>
                </c:pt>
                <c:pt idx="47">
                  <c:v>77.404089238615299</c:v>
                </c:pt>
                <c:pt idx="48">
                  <c:v>78.00851639976122</c:v>
                </c:pt>
                <c:pt idx="49">
                  <c:v>78.601289802415735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12-495F-A3CB-680743C7456B}"/>
            </c:ext>
          </c:extLst>
        </c:ser>
        <c:ser>
          <c:idx val="9"/>
          <c:order val="9"/>
          <c:tx>
            <c:strRef>
              <c:f>Vega!$B$54</c:f>
              <c:strCache>
                <c:ptCount val="1"/>
                <c:pt idx="0">
                  <c:v>105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Vega!$C$54:$AZ$54</c:f>
              <c:numCache>
                <c:formatCode>General</c:formatCode>
                <c:ptCount val="50"/>
                <c:pt idx="0">
                  <c:v>11.933666810600977</c:v>
                </c:pt>
                <c:pt idx="1">
                  <c:v>17.472022573104731</c:v>
                </c:pt>
                <c:pt idx="2">
                  <c:v>21.610958619520549</c:v>
                </c:pt>
                <c:pt idx="3">
                  <c:v>25.045883501146896</c:v>
                </c:pt>
                <c:pt idx="4">
                  <c:v>28.035442367865397</c:v>
                </c:pt>
                <c:pt idx="5">
                  <c:v>30.709704243092478</c:v>
                </c:pt>
                <c:pt idx="6">
                  <c:v>33.145069888075959</c:v>
                </c:pt>
                <c:pt idx="7">
                  <c:v>35.390974269164168</c:v>
                </c:pt>
                <c:pt idx="8">
                  <c:v>37.481605244204772</c:v>
                </c:pt>
                <c:pt idx="9">
                  <c:v>39.441787441547575</c:v>
                </c:pt>
                <c:pt idx="10">
                  <c:v>41.290232132990454</c:v>
                </c:pt>
                <c:pt idx="11">
                  <c:v>43.041465329174834</c:v>
                </c:pt>
                <c:pt idx="12">
                  <c:v>44.707037328108449</c:v>
                </c:pt>
                <c:pt idx="13">
                  <c:v>46.296316293079286</c:v>
                </c:pt>
                <c:pt idx="14">
                  <c:v>47.817028464222211</c:v>
                </c:pt>
                <c:pt idx="15">
                  <c:v>49.275637423447314</c:v>
                </c:pt>
                <c:pt idx="16">
                  <c:v>50.677617442880084</c:v>
                </c:pt>
                <c:pt idx="17">
                  <c:v>52.027654996793125</c:v>
                </c:pt>
                <c:pt idx="18">
                  <c:v>53.329800264937987</c:v>
                </c:pt>
                <c:pt idx="19">
                  <c:v>54.587583021582596</c:v>
                </c:pt>
                <c:pt idx="20">
                  <c:v>55.804102647975142</c:v>
                </c:pt>
                <c:pt idx="21">
                  <c:v>56.982099005994534</c:v>
                </c:pt>
                <c:pt idx="22">
                  <c:v>58.124008929471756</c:v>
                </c:pt>
                <c:pt idx="23">
                  <c:v>59.232011751881188</c:v>
                </c:pt>
                <c:pt idx="24">
                  <c:v>60.308066367684887</c:v>
                </c:pt>
                <c:pt idx="25">
                  <c:v>61.35394167849504</c:v>
                </c:pt>
                <c:pt idx="26">
                  <c:v>62.371241814714246</c:v>
                </c:pt>
                <c:pt idx="27">
                  <c:v>63.361427190195521</c:v>
                </c:pt>
                <c:pt idx="28">
                  <c:v>64.325832203200378</c:v>
                </c:pt>
                <c:pt idx="29">
                  <c:v>65.265680215575102</c:v>
                </c:pt>
                <c:pt idx="30">
                  <c:v>66.182096305853463</c:v>
                </c:pt>
                <c:pt idx="31">
                  <c:v>67.076118188596155</c:v>
                </c:pt>
                <c:pt idx="32">
                  <c:v>67.948705613007462</c:v>
                </c:pt>
                <c:pt idx="33">
                  <c:v>68.800748492538503</c:v>
                </c:pt>
                <c:pt idx="34">
                  <c:v>69.633073969323405</c:v>
                </c:pt>
                <c:pt idx="35">
                  <c:v>70.446452579644131</c:v>
                </c:pt>
                <c:pt idx="36">
                  <c:v>71.241603656776263</c:v>
                </c:pt>
                <c:pt idx="37">
                  <c:v>72.019200083748288</c:v>
                </c:pt>
                <c:pt idx="38">
                  <c:v>72.779872489406017</c:v>
                </c:pt>
                <c:pt idx="39">
                  <c:v>73.524212965697188</c:v>
                </c:pt>
                <c:pt idx="40">
                  <c:v>74.252778371503155</c:v>
                </c:pt>
                <c:pt idx="41">
                  <c:v>74.96609327804876</c:v>
                </c:pt>
                <c:pt idx="42">
                  <c:v>75.664652602454112</c:v>
                </c:pt>
                <c:pt idx="43">
                  <c:v>76.348923968997227</c:v>
                </c:pt>
                <c:pt idx="44">
                  <c:v>77.019349831844195</c:v>
                </c:pt>
                <c:pt idx="45">
                  <c:v>77.676349388159935</c:v>
                </c:pt>
                <c:pt idx="46">
                  <c:v>78.320320306450469</c:v>
                </c:pt>
                <c:pt idx="47">
                  <c:v>78.951640291573895</c:v>
                </c:pt>
                <c:pt idx="48">
                  <c:v>79.570668504972005</c:v>
                </c:pt>
                <c:pt idx="49">
                  <c:v>80.177746856229604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12-495F-A3CB-680743C7456B}"/>
            </c:ext>
          </c:extLst>
        </c:ser>
        <c:ser>
          <c:idx val="10"/>
          <c:order val="10"/>
          <c:tx>
            <c:strRef>
              <c:f>Vega!$B$55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Vega!$C$55:$AZ$55</c:f>
              <c:numCache>
                <c:formatCode>General</c:formatCode>
                <c:ptCount val="50"/>
                <c:pt idx="0">
                  <c:v>9.8772102719814985</c:v>
                </c:pt>
                <c:pt idx="1">
                  <c:v>16.058052314950743</c:v>
                </c:pt>
                <c:pt idx="2">
                  <c:v>20.567751497319989</c:v>
                </c:pt>
                <c:pt idx="3">
                  <c:v>24.25664264094442</c:v>
                </c:pt>
                <c:pt idx="4">
                  <c:v>27.437887845326763</c:v>
                </c:pt>
                <c:pt idx="5">
                  <c:v>30.265755333681557</c:v>
                </c:pt>
                <c:pt idx="6">
                  <c:v>32.829251351137096</c:v>
                </c:pt>
                <c:pt idx="7">
                  <c:v>35.18513130089962</c:v>
                </c:pt>
                <c:pt idx="8">
                  <c:v>37.372179967358093</c:v>
                </c:pt>
                <c:pt idx="9">
                  <c:v>39.418283682816536</c:v>
                </c:pt>
                <c:pt idx="10">
                  <c:v>41.344288735816299</c:v>
                </c:pt>
                <c:pt idx="11">
                  <c:v>43.166265791499981</c:v>
                </c:pt>
                <c:pt idx="12">
                  <c:v>44.896916933155254</c:v>
                </c:pt>
                <c:pt idx="13">
                  <c:v>46.546491077869405</c:v>
                </c:pt>
                <c:pt idx="14">
                  <c:v>48.123402498567813</c:v>
                </c:pt>
                <c:pt idx="15">
                  <c:v>49.63466219547125</c:v>
                </c:pt>
                <c:pt idx="16">
                  <c:v>51.086186957855041</c:v>
                </c:pt>
                <c:pt idx="17">
                  <c:v>52.483025989387336</c:v>
                </c:pt>
                <c:pt idx="18">
                  <c:v>53.829530471470072</c:v>
                </c:pt>
                <c:pt idx="19">
                  <c:v>55.129482699239929</c:v>
                </c:pt>
                <c:pt idx="20">
                  <c:v>56.386195982823757</c:v>
                </c:pt>
                <c:pt idx="21">
                  <c:v>57.602593019813682</c:v>
                </c:pt>
                <c:pt idx="22">
                  <c:v>58.781268154017994</c:v>
                </c:pt>
                <c:pt idx="23">
                  <c:v>59.92453739603053</c:v>
                </c:pt>
                <c:pt idx="24">
                  <c:v>61.034479025481552</c:v>
                </c:pt>
                <c:pt idx="25">
                  <c:v>62.112966857609656</c:v>
                </c:pt>
                <c:pt idx="26">
                  <c:v>63.16169773337252</c:v>
                </c:pt>
                <c:pt idx="27">
                  <c:v>64.182214415044371</c:v>
                </c:pt>
                <c:pt idx="28">
                  <c:v>65.17592479354002</c:v>
                </c:pt>
                <c:pt idx="29">
                  <c:v>66.144118109648119</c:v>
                </c:pt>
                <c:pt idx="30">
                  <c:v>67.087978738551627</c:v>
                </c:pt>
                <c:pt idx="31">
                  <c:v>68.00859797134467</c:v>
                </c:pt>
                <c:pt idx="32">
                  <c:v>68.906984138813229</c:v>
                </c:pt>
                <c:pt idx="33">
                  <c:v>69.78407135448937</c:v>
                </c:pt>
                <c:pt idx="34">
                  <c:v>70.640727100847769</c:v>
                </c:pt>
                <c:pt idx="35">
                  <c:v>71.477758840803276</c:v>
                </c:pt>
                <c:pt idx="36">
                  <c:v>72.295919803678643</c:v>
                </c:pt>
                <c:pt idx="37">
                  <c:v>73.095914068533773</c:v>
                </c:pt>
                <c:pt idx="38">
                  <c:v>73.878401046671442</c:v>
                </c:pt>
                <c:pt idx="39">
                  <c:v>74.643999448125811</c:v>
                </c:pt>
                <c:pt idx="40">
                  <c:v>75.393290803128934</c:v>
                </c:pt>
                <c:pt idx="41">
                  <c:v>76.126822598272994</c:v>
                </c:pt>
                <c:pt idx="42">
                  <c:v>76.845111077827781</c:v>
                </c:pt>
                <c:pt idx="43">
                  <c:v>77.548643753033929</c:v>
                </c:pt>
                <c:pt idx="44">
                  <c:v>78.237881655857151</c:v>
                </c:pt>
                <c:pt idx="45">
                  <c:v>78.913261368413913</c:v>
                </c:pt>
                <c:pt idx="46">
                  <c:v>79.575196854863051</c:v>
                </c:pt>
                <c:pt idx="47">
                  <c:v>80.224081118851018</c:v>
                </c:pt>
                <c:pt idx="48">
                  <c:v>80.860287706468625</c:v>
                </c:pt>
                <c:pt idx="49">
                  <c:v>81.484172072029821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12-495F-A3CB-680743C7456B}"/>
            </c:ext>
          </c:extLst>
        </c:ser>
        <c:ser>
          <c:idx val="11"/>
          <c:order val="11"/>
          <c:tx>
            <c:strRef>
              <c:f>Vega!$B$56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Vega!$C$56:$AZ$56</c:f>
              <c:numCache>
                <c:formatCode>General</c:formatCode>
                <c:ptCount val="50"/>
                <c:pt idx="0">
                  <c:v>7.2654841723580086</c:v>
                </c:pt>
                <c:pt idx="1">
                  <c:v>13.906921460113452</c:v>
                </c:pt>
                <c:pt idx="2">
                  <c:v>18.808792151653375</c:v>
                </c:pt>
                <c:pt idx="3">
                  <c:v>22.794116284131551</c:v>
                </c:pt>
                <c:pt idx="4">
                  <c:v>26.20797906686466</c:v>
                </c:pt>
                <c:pt idx="5">
                  <c:v>29.225474097755537</c:v>
                </c:pt>
                <c:pt idx="6">
                  <c:v>31.948288126945037</c:v>
                </c:pt>
                <c:pt idx="7">
                  <c:v>34.441195140751269</c:v>
                </c:pt>
                <c:pt idx="8">
                  <c:v>36.748289756038972</c:v>
                </c:pt>
                <c:pt idx="9">
                  <c:v>38.901123264284735</c:v>
                </c:pt>
                <c:pt idx="10">
                  <c:v>40.923162674780045</c:v>
                </c:pt>
                <c:pt idx="11">
                  <c:v>42.83240963126422</c:v>
                </c:pt>
                <c:pt idx="12">
                  <c:v>44.643025667014797</c:v>
                </c:pt>
                <c:pt idx="13">
                  <c:v>46.366387082938871</c:v>
                </c:pt>
                <c:pt idx="14">
                  <c:v>48.011795589947226</c:v>
                </c:pt>
                <c:pt idx="15">
                  <c:v>49.586972314062592</c:v>
                </c:pt>
                <c:pt idx="16">
                  <c:v>51.098410539479985</c:v>
                </c:pt>
                <c:pt idx="17">
                  <c:v>52.551633489140258</c:v>
                </c:pt>
                <c:pt idx="18">
                  <c:v>53.951386556591181</c:v>
                </c:pt>
                <c:pt idx="19">
                  <c:v>55.301783231776056</c:v>
                </c:pt>
                <c:pt idx="20">
                  <c:v>56.606417638184659</c:v>
                </c:pt>
                <c:pt idx="21">
                  <c:v>57.868452553088723</c:v>
                </c:pt>
                <c:pt idx="22">
                  <c:v>59.090689129410279</c:v>
                </c:pt>
                <c:pt idx="23">
                  <c:v>60.275622758513428</c:v>
                </c:pt>
                <c:pt idx="24">
                  <c:v>61.425488295788476</c:v>
                </c:pt>
                <c:pt idx="25">
                  <c:v>62.542297022622222</c:v>
                </c:pt>
                <c:pt idx="26">
                  <c:v>63.627867117438612</c:v>
                </c:pt>
                <c:pt idx="27">
                  <c:v>64.683848976350106</c:v>
                </c:pt>
                <c:pt idx="28">
                  <c:v>65.711746408856996</c:v>
                </c:pt>
                <c:pt idx="29">
                  <c:v>66.712934501331432</c:v>
                </c:pt>
                <c:pt idx="30">
                  <c:v>67.688674767148228</c:v>
                </c:pt>
                <c:pt idx="31">
                  <c:v>68.640128070984517</c:v>
                </c:pt>
                <c:pt idx="32">
                  <c:v>69.568365714595018</c:v>
                </c:pt>
                <c:pt idx="33">
                  <c:v>70.474378994181791</c:v>
                </c:pt>
                <c:pt idx="34">
                  <c:v>71.359087479501397</c:v>
                </c:pt>
                <c:pt idx="35">
                  <c:v>72.223346217868524</c:v>
                </c:pt>
                <c:pt idx="36">
                  <c:v>73.067952029123262</c:v>
                </c:pt>
                <c:pt idx="37">
                  <c:v>73.893649028136281</c:v>
                </c:pt>
                <c:pt idx="38">
                  <c:v>74.701133487814033</c:v>
                </c:pt>
                <c:pt idx="39">
                  <c:v>75.491058136541611</c:v>
                </c:pt>
                <c:pt idx="40">
                  <c:v>76.264035968580487</c:v>
                </c:pt>
                <c:pt idx="41">
                  <c:v>77.020643633364955</c:v>
                </c:pt>
                <c:pt idx="42">
                  <c:v>77.761424459336538</c:v>
                </c:pt>
                <c:pt idx="43">
                  <c:v>78.486891159465443</c:v>
                </c:pt>
                <c:pt idx="44">
                  <c:v>79.197528258577023</c:v>
                </c:pt>
                <c:pt idx="45">
                  <c:v>79.89379427675614</c:v>
                </c:pt>
                <c:pt idx="46">
                  <c:v>80.576123698214857</c:v>
                </c:pt>
                <c:pt idx="47">
                  <c:v>81.244928750912166</c:v>
                </c:pt>
                <c:pt idx="48">
                  <c:v>81.900601018760028</c:v>
                </c:pt>
                <c:pt idx="49">
                  <c:v>82.543512905331781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12-495F-A3CB-680743C7456B}"/>
            </c:ext>
          </c:extLst>
        </c:ser>
        <c:ser>
          <c:idx val="12"/>
          <c:order val="12"/>
          <c:tx>
            <c:strRef>
              <c:f>Vega!$B$57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Vega!$C$57:$AZ$57</c:f>
              <c:numCache>
                <c:formatCode>General</c:formatCode>
                <c:ptCount val="50"/>
                <c:pt idx="0">
                  <c:v>4.8229587951362767</c:v>
                </c:pt>
                <c:pt idx="1">
                  <c:v>11.436647677127302</c:v>
                </c:pt>
                <c:pt idx="2">
                  <c:v>16.612496308107495</c:v>
                </c:pt>
                <c:pt idx="3">
                  <c:v>20.864110522403433</c:v>
                </c:pt>
                <c:pt idx="4">
                  <c:v>24.508262501418276</c:v>
                </c:pt>
                <c:pt idx="5">
                  <c:v>27.723100869393718</c:v>
                </c:pt>
                <c:pt idx="6">
                  <c:v>30.616623727634558</c:v>
                </c:pt>
                <c:pt idx="7">
                  <c:v>33.259063477807061</c:v>
                </c:pt>
                <c:pt idx="8">
                  <c:v>35.698731861949753</c:v>
                </c:pt>
                <c:pt idx="9">
                  <c:v>37.970374601063519</c:v>
                </c:pt>
                <c:pt idx="10">
                  <c:v>40.099889887124895</c:v>
                </c:pt>
                <c:pt idx="11">
                  <c:v>42.107152412813178</c:v>
                </c:pt>
                <c:pt idx="12">
                  <c:v>44.007787432715858</c:v>
                </c:pt>
                <c:pt idx="13">
                  <c:v>45.814331475984204</c:v>
                </c:pt>
                <c:pt idx="14">
                  <c:v>47.537018385652864</c:v>
                </c:pt>
                <c:pt idx="15">
                  <c:v>49.184327562277737</c:v>
                </c:pt>
                <c:pt idx="16">
                  <c:v>50.763376225189226</c:v>
                </c:pt>
                <c:pt idx="17">
                  <c:v>52.280206380417688</c:v>
                </c:pt>
                <c:pt idx="18">
                  <c:v>53.739998902770758</c:v>
                </c:pt>
                <c:pt idx="19">
                  <c:v>55.147236032559775</c:v>
                </c:pt>
                <c:pt idx="20">
                  <c:v>56.505826634797664</c:v>
                </c:pt>
                <c:pt idx="21">
                  <c:v>57.819204099250499</c:v>
                </c:pt>
                <c:pt idx="22">
                  <c:v>59.090403817415194</c:v>
                </c:pt>
                <c:pt idx="23">
                  <c:v>60.322125193598787</c:v>
                </c:pt>
                <c:pt idx="24">
                  <c:v>61.516781790309459</c:v>
                </c:pt>
                <c:pt idx="25">
                  <c:v>62.676542261158936</c:v>
                </c:pt>
                <c:pt idx="26">
                  <c:v>63.803364052871849</c:v>
                </c:pt>
                <c:pt idx="27">
                  <c:v>64.899021374654808</c:v>
                </c:pt>
                <c:pt idx="28">
                  <c:v>65.965128580589436</c:v>
                </c:pt>
                <c:pt idx="29">
                  <c:v>67.003159850283097</c:v>
                </c:pt>
                <c:pt idx="30">
                  <c:v>68.014465858419129</c:v>
                </c:pt>
                <c:pt idx="31">
                  <c:v>69.000287976888913</c:v>
                </c:pt>
                <c:pt idx="32">
                  <c:v>69.961770441089215</c:v>
                </c:pt>
                <c:pt idx="33">
                  <c:v>70.899970825666642</c:v>
                </c:pt>
                <c:pt idx="34">
                  <c:v>71.815869107969121</c:v>
                </c:pt>
                <c:pt idx="35">
                  <c:v>72.710375544992104</c:v>
                </c:pt>
                <c:pt idx="36">
                  <c:v>73.584337548210698</c:v>
                </c:pt>
                <c:pt idx="37">
                  <c:v>74.438545707796209</c:v>
                </c:pt>
                <c:pt idx="38">
                  <c:v>75.273739091402845</c:v>
                </c:pt>
                <c:pt idx="39">
                  <c:v>76.090609921525228</c:v>
                </c:pt>
                <c:pt idx="40">
                  <c:v>76.889807718269765</c:v>
                </c:pt>
                <c:pt idx="41">
                  <c:v>77.671942980406541</c:v>
                </c:pt>
                <c:pt idx="42">
                  <c:v>78.437590466120824</c:v>
                </c:pt>
                <c:pt idx="43">
                  <c:v>79.187292125462122</c:v>
                </c:pt>
                <c:pt idx="44">
                  <c:v>79.921559728691165</c:v>
                </c:pt>
                <c:pt idx="45">
                  <c:v>80.640877228250631</c:v>
                </c:pt>
                <c:pt idx="46">
                  <c:v>81.34570288667409</c:v>
                </c:pt>
                <c:pt idx="47">
                  <c:v>82.036471198217896</c:v>
                </c:pt>
                <c:pt idx="48">
                  <c:v>82.713594628182776</c:v>
                </c:pt>
                <c:pt idx="49">
                  <c:v>83.377465190670122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612-495F-A3CB-680743C7456B}"/>
            </c:ext>
          </c:extLst>
        </c:ser>
        <c:ser>
          <c:idx val="13"/>
          <c:order val="13"/>
          <c:tx>
            <c:strRef>
              <c:f>Vega!$B$58</c:f>
              <c:strCache>
                <c:ptCount val="1"/>
                <c:pt idx="0">
                  <c:v>125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Vega!$C$58:$AZ$58</c:f>
              <c:numCache>
                <c:formatCode>General</c:formatCode>
                <c:ptCount val="50"/>
                <c:pt idx="0">
                  <c:v>2.927065892975504</c:v>
                </c:pt>
                <c:pt idx="1">
                  <c:v>8.9895175338315649</c:v>
                </c:pt>
                <c:pt idx="2">
                  <c:v>14.233513043831982</c:v>
                </c:pt>
                <c:pt idx="3">
                  <c:v>18.663662104864478</c:v>
                </c:pt>
                <c:pt idx="4">
                  <c:v>22.497868876431504</c:v>
                </c:pt>
                <c:pt idx="5">
                  <c:v>25.891581343091385</c:v>
                </c:pt>
                <c:pt idx="6">
                  <c:v>28.948267489692707</c:v>
                </c:pt>
                <c:pt idx="7">
                  <c:v>31.738520495864236</c:v>
                </c:pt>
                <c:pt idx="8">
                  <c:v>34.312267148740581</c:v>
                </c:pt>
                <c:pt idx="9">
                  <c:v>36.706035348119421</c:v>
                </c:pt>
                <c:pt idx="10">
                  <c:v>38.947351930321069</c:v>
                </c:pt>
                <c:pt idx="11">
                  <c:v>41.057492812883503</c:v>
                </c:pt>
                <c:pt idx="12">
                  <c:v>43.05326285517458</c:v>
                </c:pt>
                <c:pt idx="13">
                  <c:v>44.948185192777075</c:v>
                </c:pt>
                <c:pt idx="14">
                  <c:v>46.7533191547397</c:v>
                </c:pt>
                <c:pt idx="15">
                  <c:v>48.477837322452586</c:v>
                </c:pt>
                <c:pt idx="16">
                  <c:v>50.129442003581076</c:v>
                </c:pt>
                <c:pt idx="17">
                  <c:v>51.7146719368085</c:v>
                </c:pt>
                <c:pt idx="18">
                  <c:v>53.239132263445264</c:v>
                </c:pt>
                <c:pt idx="19">
                  <c:v>54.707669768385081</c:v>
                </c:pt>
                <c:pt idx="20">
                  <c:v>56.124508368771686</c:v>
                </c:pt>
                <c:pt idx="21">
                  <c:v>57.493355251562889</c:v>
                </c:pt>
                <c:pt idx="22">
                  <c:v>58.817485014314549</c:v>
                </c:pt>
                <c:pt idx="23">
                  <c:v>60.099807095462083</c:v>
                </c:pt>
                <c:pt idx="24">
                  <c:v>61.342920351471392</c:v>
                </c:pt>
                <c:pt idx="25">
                  <c:v>62.549157634667054</c:v>
                </c:pt>
                <c:pt idx="26">
                  <c:v>63.720622510035781</c:v>
                </c:pt>
                <c:pt idx="27">
                  <c:v>64.85921973204664</c:v>
                </c:pt>
                <c:pt idx="28">
                  <c:v>65.966680723770324</c:v>
                </c:pt>
                <c:pt idx="29">
                  <c:v>67.044585019921314</c:v>
                </c:pt>
                <c:pt idx="30">
                  <c:v>68.09437842517174</c:v>
                </c:pt>
                <c:pt idx="31">
                  <c:v>69.117388479916798</c:v>
                </c:pt>
                <c:pt idx="32">
                  <c:v>70.114837704025717</c:v>
                </c:pt>
                <c:pt idx="33">
                  <c:v>71.08785499530623</c:v>
                </c:pt>
                <c:pt idx="34">
                  <c:v>72.037485486462359</c:v>
                </c:pt>
                <c:pt idx="35">
                  <c:v>72.964699107147212</c:v>
                </c:pt>
                <c:pt idx="36">
                  <c:v>73.870398052561669</c:v>
                </c:pt>
                <c:pt idx="37">
                  <c:v>74.75542332414571</c:v>
                </c:pt>
                <c:pt idx="38">
                  <c:v>75.620560479169797</c:v>
                </c:pt>
                <c:pt idx="39">
                  <c:v>76.466544702883454</c:v>
                </c:pt>
                <c:pt idx="40">
                  <c:v>77.294065298122149</c:v>
                </c:pt>
                <c:pt idx="41">
                  <c:v>78.103769671990435</c:v>
                </c:pt>
                <c:pt idx="42">
                  <c:v>78.896266886719488</c:v>
                </c:pt>
                <c:pt idx="43">
                  <c:v>79.672130831492041</c:v>
                </c:pt>
                <c:pt idx="44">
                  <c:v>80.431903063499092</c:v>
                </c:pt>
                <c:pt idx="45">
                  <c:v>81.176095359409061</c:v>
                </c:pt>
                <c:pt idx="46">
                  <c:v>81.905192012513695</c:v>
                </c:pt>
                <c:pt idx="47">
                  <c:v>82.619651905858717</c:v>
                </c:pt>
                <c:pt idx="48">
                  <c:v>83.31991038749463</c:v>
                </c:pt>
                <c:pt idx="49">
                  <c:v>84.006380970459119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612-495F-A3CB-680743C7456B}"/>
            </c:ext>
          </c:extLst>
        </c:ser>
        <c:ser>
          <c:idx val="14"/>
          <c:order val="14"/>
          <c:tx>
            <c:strRef>
              <c:f>Vega!$B$59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Vega!$C$59:$AZ$59</c:f>
              <c:numCache>
                <c:formatCode>General</c:formatCode>
                <c:ptCount val="50"/>
                <c:pt idx="0">
                  <c:v>1.6423008974442086</c:v>
                </c:pt>
                <c:pt idx="1">
                  <c:v>6.7916069221664861</c:v>
                </c:pt>
                <c:pt idx="2">
                  <c:v>11.87463414495628</c:v>
                </c:pt>
                <c:pt idx="3">
                  <c:v>16.362173195400537</c:v>
                </c:pt>
                <c:pt idx="4">
                  <c:v>20.319222979334732</c:v>
                </c:pt>
                <c:pt idx="5">
                  <c:v>23.852762619826304</c:v>
                </c:pt>
                <c:pt idx="6">
                  <c:v>27.049287285975709</c:v>
                </c:pt>
                <c:pt idx="7">
                  <c:v>29.973315295591224</c:v>
                </c:pt>
                <c:pt idx="8">
                  <c:v>32.672837288510749</c:v>
                </c:pt>
                <c:pt idx="9">
                  <c:v>35.184094538062276</c:v>
                </c:pt>
                <c:pt idx="10">
                  <c:v>37.534982337543376</c:v>
                </c:pt>
                <c:pt idx="11">
                  <c:v>39.747381529295993</c:v>
                </c:pt>
                <c:pt idx="12">
                  <c:v>41.838757934862258</c:v>
                </c:pt>
                <c:pt idx="13">
                  <c:v>43.823274915116322</c:v>
                </c:pt>
                <c:pt idx="14">
                  <c:v>45.712581090462876</c:v>
                </c:pt>
                <c:pt idx="15">
                  <c:v>47.516378376648248</c:v>
                </c:pt>
                <c:pt idx="16">
                  <c:v>49.242838909105124</c:v>
                </c:pt>
                <c:pt idx="17">
                  <c:v>50.898916168745849</c:v>
                </c:pt>
                <c:pt idx="18">
                  <c:v>52.490580743496757</c:v>
                </c:pt>
                <c:pt idx="19">
                  <c:v>54.023001518031116</c:v>
                </c:pt>
                <c:pt idx="20">
                  <c:v>55.500686737281079</c:v>
                </c:pt>
                <c:pt idx="21">
                  <c:v>56.92759514226703</c:v>
                </c:pt>
                <c:pt idx="22">
                  <c:v>58.307224488303468</c:v>
                </c:pt>
                <c:pt idx="23">
                  <c:v>59.642682760144446</c:v>
                </c:pt>
                <c:pt idx="24">
                  <c:v>60.93674599938344</c:v>
                </c:pt>
                <c:pt idx="25">
                  <c:v>62.191905664406001</c:v>
                </c:pt>
                <c:pt idx="26">
                  <c:v>63.410407726241644</c:v>
                </c:pt>
                <c:pt idx="27">
                  <c:v>64.594285180646807</c:v>
                </c:pt>
                <c:pt idx="28">
                  <c:v>65.74538527077145</c:v>
                </c:pt>
                <c:pt idx="29">
                  <c:v>66.865392426806622</c:v>
                </c:pt>
                <c:pt idx="30">
                  <c:v>67.955847711990572</c:v>
                </c:pt>
                <c:pt idx="31">
                  <c:v>69.018165399224316</c:v>
                </c:pt>
                <c:pt idx="32">
                  <c:v>70.05364717577315</c:v>
                </c:pt>
                <c:pt idx="33">
                  <c:v>71.063494375378596</c:v>
                </c:pt>
                <c:pt idx="34">
                  <c:v>72.048818560505609</c:v>
                </c:pt>
                <c:pt idx="35">
                  <c:v>73.010650717223328</c:v>
                </c:pt>
                <c:pt idx="36">
                  <c:v>73.94994927752532</c:v>
                </c:pt>
                <c:pt idx="37">
                  <c:v>74.867607145878253</c:v>
                </c:pt>
                <c:pt idx="38">
                  <c:v>75.764457876289683</c:v>
                </c:pt>
                <c:pt idx="39">
                  <c:v>76.641281121570543</c:v>
                </c:pt>
                <c:pt idx="40">
                  <c:v>77.498807456491491</c:v>
                </c:pt>
                <c:pt idx="41">
                  <c:v>78.337722660227769</c:v>
                </c:pt>
                <c:pt idx="42">
                  <c:v>79.15867153011439</c:v>
                </c:pt>
                <c:pt idx="43">
                  <c:v>79.962261287711016</c:v>
                </c:pt>
                <c:pt idx="44">
                  <c:v>80.74906462904508</c:v>
                </c:pt>
                <c:pt idx="45">
                  <c:v>81.519622463309588</c:v>
                </c:pt>
                <c:pt idx="46">
                  <c:v>82.274446377945694</c:v>
                </c:pt>
                <c:pt idx="47">
                  <c:v>83.01402086272094</c:v>
                </c:pt>
                <c:pt idx="48">
                  <c:v>83.73880532093051</c:v>
                </c:pt>
                <c:pt idx="49">
                  <c:v>84.449235892062759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612-495F-A3CB-680743C7456B}"/>
            </c:ext>
          </c:extLst>
        </c:ser>
        <c:ser>
          <c:idx val="15"/>
          <c:order val="15"/>
          <c:tx>
            <c:strRef>
              <c:f>Vega!$B$60</c:f>
              <c:strCache>
                <c:ptCount val="1"/>
                <c:pt idx="0">
                  <c:v>135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Vega!$C$60:$AZ$60</c:f>
              <c:numCache>
                <c:formatCode>General</c:formatCode>
                <c:ptCount val="50"/>
                <c:pt idx="0">
                  <c:v>0.86005594904440918</c:v>
                </c:pt>
                <c:pt idx="1">
                  <c:v>4.9555850358503886</c:v>
                </c:pt>
                <c:pt idx="2">
                  <c:v>9.6774016730275054</c:v>
                </c:pt>
                <c:pt idx="3">
                  <c:v>14.092485097095231</c:v>
                </c:pt>
                <c:pt idx="4">
                  <c:v>18.090831837703746</c:v>
                </c:pt>
                <c:pt idx="5">
                  <c:v>21.711676246545228</c:v>
                </c:pt>
                <c:pt idx="6">
                  <c:v>25.013239596266622</c:v>
                </c:pt>
                <c:pt idx="7">
                  <c:v>28.047456627327282</c:v>
                </c:pt>
                <c:pt idx="8">
                  <c:v>30.856516667148139</c:v>
                </c:pt>
                <c:pt idx="9">
                  <c:v>33.473991593287863</c:v>
                </c:pt>
                <c:pt idx="10">
                  <c:v>35.926623418149347</c:v>
                </c:pt>
                <c:pt idx="11">
                  <c:v>38.235895079938921</c:v>
                </c:pt>
                <c:pt idx="12">
                  <c:v>40.419254160865577</c:v>
                </c:pt>
                <c:pt idx="13">
                  <c:v>42.491033175105372</c:v>
                </c:pt>
                <c:pt idx="14">
                  <c:v>44.463136503305584</c:v>
                </c:pt>
                <c:pt idx="15">
                  <c:v>46.345554967615222</c:v>
                </c:pt>
                <c:pt idx="16">
                  <c:v>48.146754480009704</c:v>
                </c:pt>
                <c:pt idx="17">
                  <c:v>49.873972573614836</c:v>
                </c:pt>
                <c:pt idx="18">
                  <c:v>51.533447096659195</c:v>
                </c:pt>
                <c:pt idx="19">
                  <c:v>53.130594489893262</c:v>
                </c:pt>
                <c:pt idx="20">
                  <c:v>54.670150212271388</c:v>
                </c:pt>
                <c:pt idx="21">
                  <c:v>56.156280451058066</c:v>
                </c:pt>
                <c:pt idx="22">
                  <c:v>57.59267182250376</c:v>
                </c:pt>
                <c:pt idx="23">
                  <c:v>58.982604034757536</c:v>
                </c:pt>
                <c:pt idx="24">
                  <c:v>60.329009235851984</c:v>
                </c:pt>
                <c:pt idx="25">
                  <c:v>61.634520861925871</c:v>
                </c:pt>
                <c:pt idx="26">
                  <c:v>62.901514134752233</c:v>
                </c:pt>
                <c:pt idx="27">
                  <c:v>64.132139864115729</c:v>
                </c:pt>
                <c:pt idx="28">
                  <c:v>65.328352841485909</c:v>
                </c:pt>
                <c:pt idx="29">
                  <c:v>66.491935832885545</c:v>
                </c:pt>
                <c:pt idx="30">
                  <c:v>67.624519966806147</c:v>
                </c:pt>
                <c:pt idx="31">
                  <c:v>68.727602150255791</c:v>
                </c:pt>
                <c:pt idx="32">
                  <c:v>69.802560020089018</c:v>
                </c:pt>
                <c:pt idx="33">
                  <c:v>70.850664838593161</c:v>
                </c:pt>
                <c:pt idx="34">
                  <c:v>71.87309266521936</c:v>
                </c:pt>
                <c:pt idx="35">
                  <c:v>72.87093407540327</c:v>
                </c:pt>
                <c:pt idx="36">
                  <c:v>73.84520264892592</c:v>
                </c:pt>
                <c:pt idx="37">
                  <c:v>74.796842411437154</c:v>
                </c:pt>
                <c:pt idx="38">
                  <c:v>75.726734381490488</c:v>
                </c:pt>
                <c:pt idx="39">
                  <c:v>76.635702350109014</c:v>
                </c:pt>
                <c:pt idx="40">
                  <c:v>77.524517999275972</c:v>
                </c:pt>
                <c:pt idx="41">
                  <c:v>78.393905448862427</c:v>
                </c:pt>
                <c:pt idx="42">
                  <c:v>79.244545307618765</c:v>
                </c:pt>
                <c:pt idx="43">
                  <c:v>80.077078292385494</c:v>
                </c:pt>
                <c:pt idx="44">
                  <c:v>80.892108470153914</c:v>
                </c:pt>
                <c:pt idx="45">
                  <c:v>81.690206169672066</c:v>
                </c:pt>
                <c:pt idx="46">
                  <c:v>82.471910602645423</c:v>
                </c:pt>
                <c:pt idx="47">
                  <c:v>83.237732229002432</c:v>
                </c:pt>
                <c:pt idx="48">
                  <c:v>83.988154895984351</c:v>
                </c:pt>
                <c:pt idx="49">
                  <c:v>84.723637776836412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612-495F-A3CB-680743C7456B}"/>
            </c:ext>
          </c:extLst>
        </c:ser>
        <c:ser>
          <c:idx val="16"/>
          <c:order val="16"/>
          <c:tx>
            <c:strRef>
              <c:f>Vega!$B$61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Vega!$C$44:$AZ$44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Vega!$C$61:$AZ$61</c:f>
              <c:numCache>
                <c:formatCode>General</c:formatCode>
                <c:ptCount val="50"/>
                <c:pt idx="0">
                  <c:v>0.42387805204534151</c:v>
                </c:pt>
                <c:pt idx="1">
                  <c:v>3.506768054397122</c:v>
                </c:pt>
                <c:pt idx="2">
                  <c:v>7.7256821631906281</c:v>
                </c:pt>
                <c:pt idx="3">
                  <c:v>11.949469760194527</c:v>
                </c:pt>
                <c:pt idx="4">
                  <c:v>15.904842592470908</c:v>
                </c:pt>
                <c:pt idx="5">
                  <c:v>19.554079891304855</c:v>
                </c:pt>
                <c:pt idx="6">
                  <c:v>22.918955721131969</c:v>
                </c:pt>
                <c:pt idx="7">
                  <c:v>26.033286999693605</c:v>
                </c:pt>
                <c:pt idx="8">
                  <c:v>28.929854474001221</c:v>
                </c:pt>
                <c:pt idx="9">
                  <c:v>31.637191112927553</c:v>
                </c:pt>
                <c:pt idx="10">
                  <c:v>34.179298278415786</c:v>
                </c:pt>
                <c:pt idx="11">
                  <c:v>36.576173818860717</c:v>
                </c:pt>
                <c:pt idx="12">
                  <c:v>38.844486274530212</c:v>
                </c:pt>
                <c:pt idx="13">
                  <c:v>40.99819420277332</c:v>
                </c:pt>
                <c:pt idx="14">
                  <c:v>43.049062967411452</c:v>
                </c:pt>
                <c:pt idx="15">
                  <c:v>45.007080633397386</c:v>
                </c:pt>
                <c:pt idx="16">
                  <c:v>46.880788234869229</c:v>
                </c:pt>
                <c:pt idx="17">
                  <c:v>48.677541271635057</c:v>
                </c:pt>
                <c:pt idx="18">
                  <c:v>50.403717200576047</c:v>
                </c:pt>
                <c:pt idx="19">
                  <c:v>52.064880859897592</c:v>
                </c:pt>
                <c:pt idx="20">
                  <c:v>53.665917156580967</c:v>
                </c:pt>
                <c:pt idx="21">
                  <c:v>55.21113820649402</c:v>
                </c:pt>
                <c:pt idx="22">
                  <c:v>56.704370441404741</c:v>
                </c:pt>
                <c:pt idx="23">
                  <c:v>58.149025914228993</c:v>
                </c:pt>
                <c:pt idx="24">
                  <c:v>59.548161060072395</c:v>
                </c:pt>
                <c:pt idx="25">
                  <c:v>60.904525433167734</c:v>
                </c:pt>
                <c:pt idx="26">
                  <c:v>62.220602380489055</c:v>
                </c:pt>
                <c:pt idx="27">
                  <c:v>63.498643187072688</c:v>
                </c:pt>
                <c:pt idx="28">
                  <c:v>64.740695902413222</c:v>
                </c:pt>
                <c:pt idx="29">
                  <c:v>65.948629806807659</c:v>
                </c:pt>
                <c:pt idx="30">
                  <c:v>67.124156282694457</c:v>
                </c:pt>
                <c:pt idx="31">
                  <c:v>68.268846705139723</c:v>
                </c:pt>
                <c:pt idx="32">
                  <c:v>69.38414784742838</c:v>
                </c:pt>
                <c:pt idx="33">
                  <c:v>70.471395204575359</c:v>
                </c:pt>
                <c:pt idx="34">
                  <c:v>71.531824563735583</c:v>
                </c:pt>
                <c:pt idx="35">
                  <c:v>72.566582091617846</c:v>
                </c:pt>
                <c:pt idx="36">
                  <c:v>73.576733161803588</c:v>
                </c:pt>
                <c:pt idx="37">
                  <c:v>74.563270106816248</c:v>
                </c:pt>
                <c:pt idx="38">
                  <c:v>75.527119048949132</c:v>
                </c:pt>
                <c:pt idx="39">
                  <c:v>76.469145938740255</c:v>
                </c:pt>
                <c:pt idx="40">
                  <c:v>77.3901619094285</c:v>
                </c:pt>
                <c:pt idx="41">
                  <c:v>78.290928038820226</c:v>
                </c:pt>
                <c:pt idx="42">
                  <c:v>79.172159596037019</c:v>
                </c:pt>
                <c:pt idx="43">
                  <c:v>80.034529839034704</c:v>
                </c:pt>
                <c:pt idx="44">
                  <c:v>80.878673419137471</c:v>
                </c:pt>
                <c:pt idx="45">
                  <c:v>81.705189440767228</c:v>
                </c:pt>
                <c:pt idx="46">
                  <c:v>82.514644217774702</c:v>
                </c:pt>
                <c:pt idx="47">
                  <c:v>83.307573762076885</c:v>
                </c:pt>
                <c:pt idx="48">
                  <c:v>84.084486035478946</c:v>
                </c:pt>
                <c:pt idx="49">
                  <c:v>84.845862991468962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612-495F-A3CB-680743C7456B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62805440"/>
        <c:axId val="1062804960"/>
        <c:axId val="1096139936"/>
      </c:surface3DChart>
      <c:catAx>
        <c:axId val="106280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804960"/>
        <c:crosses val="autoZero"/>
        <c:auto val="1"/>
        <c:lblAlgn val="ctr"/>
        <c:lblOffset val="100"/>
        <c:noMultiLvlLbl val="0"/>
      </c:catAx>
      <c:valAx>
        <c:axId val="106280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805440"/>
        <c:crosses val="autoZero"/>
        <c:crossBetween val="midCat"/>
      </c:valAx>
      <c:serAx>
        <c:axId val="10961399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80496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33</xdr:row>
      <xdr:rowOff>45720</xdr:rowOff>
    </xdr:from>
    <xdr:to>
      <xdr:col>8</xdr:col>
      <xdr:colOff>198120</xdr:colOff>
      <xdr:row>44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F83030-97DB-4947-B97B-B2A1B7BD66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</xdr:colOff>
      <xdr:row>45</xdr:row>
      <xdr:rowOff>38100</xdr:rowOff>
    </xdr:from>
    <xdr:to>
      <xdr:col>8</xdr:col>
      <xdr:colOff>198120</xdr:colOff>
      <xdr:row>57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FE3EFA1-ACC1-4D84-A28A-121714D72C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8</xdr:col>
      <xdr:colOff>213360</xdr:colOff>
      <xdr:row>69</xdr:row>
      <xdr:rowOff>15240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B29A4AC-65AF-4F59-937F-AB0853DA1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91</xdr:row>
      <xdr:rowOff>22860</xdr:rowOff>
    </xdr:from>
    <xdr:to>
      <xdr:col>8</xdr:col>
      <xdr:colOff>205740</xdr:colOff>
      <xdr:row>103</xdr:row>
      <xdr:rowOff>30480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128617-19F4-400D-AB8D-2FBB21D083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103</xdr:row>
      <xdr:rowOff>0</xdr:rowOff>
    </xdr:from>
    <xdr:to>
      <xdr:col>8</xdr:col>
      <xdr:colOff>213360</xdr:colOff>
      <xdr:row>115</xdr:row>
      <xdr:rowOff>22860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93A6707-4772-42E1-A40C-0A9D9A7E7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115</xdr:row>
      <xdr:rowOff>0</xdr:rowOff>
    </xdr:from>
    <xdr:to>
      <xdr:col>8</xdr:col>
      <xdr:colOff>213360</xdr:colOff>
      <xdr:row>127</xdr:row>
      <xdr:rowOff>7620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69754DD-4754-4C42-88BF-3BB78250E3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144</xdr:row>
      <xdr:rowOff>0</xdr:rowOff>
    </xdr:from>
    <xdr:to>
      <xdr:col>8</xdr:col>
      <xdr:colOff>213360</xdr:colOff>
      <xdr:row>156</xdr:row>
      <xdr:rowOff>15240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1F79EDF-DD96-4A9F-AB27-88DA6278A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156</xdr:row>
      <xdr:rowOff>0</xdr:rowOff>
    </xdr:from>
    <xdr:to>
      <xdr:col>8</xdr:col>
      <xdr:colOff>220980</xdr:colOff>
      <xdr:row>167</xdr:row>
      <xdr:rowOff>160020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E6C6DB8-01C0-4CAC-8513-B58427347B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168</xdr:row>
      <xdr:rowOff>0</xdr:rowOff>
    </xdr:from>
    <xdr:to>
      <xdr:col>8</xdr:col>
      <xdr:colOff>213360</xdr:colOff>
      <xdr:row>180</xdr:row>
      <xdr:rowOff>15240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679B85D-42BB-4D75-A058-6F512DFEE9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197</xdr:row>
      <xdr:rowOff>175260</xdr:rowOff>
    </xdr:from>
    <xdr:to>
      <xdr:col>8</xdr:col>
      <xdr:colOff>190500</xdr:colOff>
      <xdr:row>210</xdr:row>
      <xdr:rowOff>7620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84E2754-93B8-4FCB-9027-5DF393B4AA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210</xdr:row>
      <xdr:rowOff>0</xdr:rowOff>
    </xdr:from>
    <xdr:to>
      <xdr:col>8</xdr:col>
      <xdr:colOff>190500</xdr:colOff>
      <xdr:row>222</xdr:row>
      <xdr:rowOff>22860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485667F-400D-40B1-A568-CA2196ECB9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45720</xdr:colOff>
      <xdr:row>229</xdr:row>
      <xdr:rowOff>30480</xdr:rowOff>
    </xdr:from>
    <xdr:to>
      <xdr:col>8</xdr:col>
      <xdr:colOff>205740</xdr:colOff>
      <xdr:row>241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88F7C39-427B-43F0-A327-42CBA5A76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261</xdr:row>
      <xdr:rowOff>0</xdr:rowOff>
    </xdr:from>
    <xdr:to>
      <xdr:col>8</xdr:col>
      <xdr:colOff>228600</xdr:colOff>
      <xdr:row>272</xdr:row>
      <xdr:rowOff>175260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BF3946D-DE23-42F7-A5A5-38A92AB166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38100</xdr:colOff>
      <xdr:row>275</xdr:row>
      <xdr:rowOff>30480</xdr:rowOff>
    </xdr:from>
    <xdr:to>
      <xdr:col>8</xdr:col>
      <xdr:colOff>228600</xdr:colOff>
      <xdr:row>286</xdr:row>
      <xdr:rowOff>167640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8FBAF99-A04B-41B7-826B-47E9E37F2A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287</xdr:row>
      <xdr:rowOff>0</xdr:rowOff>
    </xdr:from>
    <xdr:to>
      <xdr:col>8</xdr:col>
      <xdr:colOff>243840</xdr:colOff>
      <xdr:row>300</xdr:row>
      <xdr:rowOff>30480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85F3A2BD-A560-4B05-8953-4C2ADD9C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525780</xdr:colOff>
      <xdr:row>2</xdr:row>
      <xdr:rowOff>125730</xdr:rowOff>
    </xdr:from>
    <xdr:to>
      <xdr:col>60</xdr:col>
      <xdr:colOff>220980</xdr:colOff>
      <xdr:row>17</xdr:row>
      <xdr:rowOff>125730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68BCF7-5952-4F81-5579-CFC870B8D8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52</xdr:col>
      <xdr:colOff>472440</xdr:colOff>
      <xdr:row>23</xdr:row>
      <xdr:rowOff>19050</xdr:rowOff>
    </xdr:from>
    <xdr:to>
      <xdr:col>60</xdr:col>
      <xdr:colOff>167640</xdr:colOff>
      <xdr:row>38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24B009-4D88-727B-0584-2CD7142E0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525780</xdr:colOff>
      <xdr:row>44</xdr:row>
      <xdr:rowOff>19050</xdr:rowOff>
    </xdr:from>
    <xdr:to>
      <xdr:col>60</xdr:col>
      <xdr:colOff>220980</xdr:colOff>
      <xdr:row>59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812F53-9AC5-288C-60BF-01CB2370F0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533400</xdr:colOff>
      <xdr:row>1</xdr:row>
      <xdr:rowOff>133350</xdr:rowOff>
    </xdr:from>
    <xdr:to>
      <xdr:col>60</xdr:col>
      <xdr:colOff>228600</xdr:colOff>
      <xdr:row>16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EC0970-34F6-A41D-8259-20596413AE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52</xdr:col>
      <xdr:colOff>525780</xdr:colOff>
      <xdr:row>23</xdr:row>
      <xdr:rowOff>11430</xdr:rowOff>
    </xdr:from>
    <xdr:to>
      <xdr:col>60</xdr:col>
      <xdr:colOff>220980</xdr:colOff>
      <xdr:row>38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9D34D8-1FC0-1F32-7487-A01D8FAEC9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464820</xdr:colOff>
      <xdr:row>44</xdr:row>
      <xdr:rowOff>34290</xdr:rowOff>
    </xdr:from>
    <xdr:to>
      <xdr:col>60</xdr:col>
      <xdr:colOff>160020</xdr:colOff>
      <xdr:row>59</xdr:row>
      <xdr:rowOff>34290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9BA8E0-6173-8350-68B3-35CB64894B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502920</xdr:colOff>
      <xdr:row>1</xdr:row>
      <xdr:rowOff>148590</xdr:rowOff>
    </xdr:from>
    <xdr:to>
      <xdr:col>60</xdr:col>
      <xdr:colOff>198120</xdr:colOff>
      <xdr:row>16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89DE14-A526-3BDC-F697-1779EBD4AB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52</xdr:col>
      <xdr:colOff>487680</xdr:colOff>
      <xdr:row>22</xdr:row>
      <xdr:rowOff>133350</xdr:rowOff>
    </xdr:from>
    <xdr:to>
      <xdr:col>60</xdr:col>
      <xdr:colOff>182880</xdr:colOff>
      <xdr:row>37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4D7341-4FF9-5A0D-AC75-3E79B63F37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480060</xdr:colOff>
      <xdr:row>44</xdr:row>
      <xdr:rowOff>3810</xdr:rowOff>
    </xdr:from>
    <xdr:to>
      <xdr:col>60</xdr:col>
      <xdr:colOff>175260</xdr:colOff>
      <xdr:row>59</xdr:row>
      <xdr:rowOff>3810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08C9E39-B3CD-06B9-0C32-E9FD31CCFE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533400</xdr:colOff>
      <xdr:row>2</xdr:row>
      <xdr:rowOff>11430</xdr:rowOff>
    </xdr:from>
    <xdr:to>
      <xdr:col>60</xdr:col>
      <xdr:colOff>228600</xdr:colOff>
      <xdr:row>17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3F5B21-CBF5-AEE5-BAB2-0673DEABE0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52</xdr:col>
      <xdr:colOff>312420</xdr:colOff>
      <xdr:row>23</xdr:row>
      <xdr:rowOff>19050</xdr:rowOff>
    </xdr:from>
    <xdr:to>
      <xdr:col>60</xdr:col>
      <xdr:colOff>7620</xdr:colOff>
      <xdr:row>38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DFD37C-2886-CCA5-BFCB-A0FACC98A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350520</xdr:colOff>
      <xdr:row>44</xdr:row>
      <xdr:rowOff>3810</xdr:rowOff>
    </xdr:from>
    <xdr:to>
      <xdr:col>60</xdr:col>
      <xdr:colOff>45720</xdr:colOff>
      <xdr:row>59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4CB3B0E-077C-72A8-A494-BF1C93D581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419100</xdr:colOff>
      <xdr:row>1</xdr:row>
      <xdr:rowOff>95250</xdr:rowOff>
    </xdr:from>
    <xdr:to>
      <xdr:col>60</xdr:col>
      <xdr:colOff>114300</xdr:colOff>
      <xdr:row>16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83E8A2-DE7C-9942-5E67-29F7EBE0DE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52</xdr:col>
      <xdr:colOff>586740</xdr:colOff>
      <xdr:row>23</xdr:row>
      <xdr:rowOff>3810</xdr:rowOff>
    </xdr:from>
    <xdr:to>
      <xdr:col>60</xdr:col>
      <xdr:colOff>281940</xdr:colOff>
      <xdr:row>38</xdr:row>
      <xdr:rowOff>3810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966CCC0-86C4-930E-077D-B7CCCAB93F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601980</xdr:colOff>
      <xdr:row>44</xdr:row>
      <xdr:rowOff>11430</xdr:rowOff>
    </xdr:from>
    <xdr:to>
      <xdr:col>60</xdr:col>
      <xdr:colOff>297180</xdr:colOff>
      <xdr:row>59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2005FC9-52A8-4C81-8CA0-6C40CC8C73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6062D-BF0C-42E0-B36E-091DF8FF1387}">
  <sheetPr codeName="Sheet1"/>
  <dimension ref="A1:C311"/>
  <sheetViews>
    <sheetView tabSelected="1" topLeftCell="A299" workbookViewId="0">
      <selection activeCell="N128" sqref="N128"/>
    </sheetView>
  </sheetViews>
  <sheetFormatPr defaultRowHeight="14.4" x14ac:dyDescent="0.3"/>
  <sheetData>
    <row r="1" spans="1:3" x14ac:dyDescent="0.3">
      <c r="A1" t="s">
        <v>0</v>
      </c>
      <c r="C1" t="s">
        <v>1</v>
      </c>
    </row>
    <row r="3" spans="1:3" x14ac:dyDescent="0.3">
      <c r="A3" t="s">
        <v>34</v>
      </c>
    </row>
    <row r="4" spans="1:3" x14ac:dyDescent="0.3">
      <c r="A4" t="s">
        <v>2</v>
      </c>
    </row>
    <row r="5" spans="1:3" s="2" customFormat="1" x14ac:dyDescent="0.3">
      <c r="A5" s="2" t="s">
        <v>6</v>
      </c>
    </row>
    <row r="6" spans="1:3" s="2" customFormat="1" x14ac:dyDescent="0.3">
      <c r="A6" s="3" t="s">
        <v>7</v>
      </c>
    </row>
    <row r="7" spans="1:3" s="2" customFormat="1" x14ac:dyDescent="0.3">
      <c r="A7" s="3" t="s">
        <v>8</v>
      </c>
    </row>
    <row r="8" spans="1:3" s="2" customFormat="1" x14ac:dyDescent="0.3">
      <c r="A8" s="3" t="s">
        <v>16</v>
      </c>
    </row>
    <row r="9" spans="1:3" s="2" customFormat="1" x14ac:dyDescent="0.3">
      <c r="A9" s="3" t="s">
        <v>33</v>
      </c>
    </row>
    <row r="10" spans="1:3" s="2" customFormat="1" x14ac:dyDescent="0.3">
      <c r="A10" s="3" t="s">
        <v>17</v>
      </c>
    </row>
    <row r="11" spans="1:3" s="2" customFormat="1" x14ac:dyDescent="0.3">
      <c r="A11" s="4" t="s">
        <v>35</v>
      </c>
    </row>
    <row r="12" spans="1:3" s="2" customFormat="1" x14ac:dyDescent="0.3">
      <c r="A12" s="4" t="s">
        <v>36</v>
      </c>
    </row>
    <row r="13" spans="1:3" s="2" customFormat="1" x14ac:dyDescent="0.3">
      <c r="A13" s="4" t="s">
        <v>37</v>
      </c>
    </row>
    <row r="14" spans="1:3" x14ac:dyDescent="0.3">
      <c r="B14" s="3"/>
    </row>
    <row r="15" spans="1:3" ht="25.8" x14ac:dyDescent="0.5">
      <c r="A15" s="1" t="s">
        <v>5</v>
      </c>
    </row>
    <row r="16" spans="1:3" x14ac:dyDescent="0.3">
      <c r="A16" s="2" t="s">
        <v>3</v>
      </c>
    </row>
    <row r="17" spans="1:1" x14ac:dyDescent="0.3">
      <c r="A17" s="2" t="s">
        <v>4</v>
      </c>
    </row>
    <row r="19" spans="1:1" x14ac:dyDescent="0.3">
      <c r="A19" s="3" t="s">
        <v>24</v>
      </c>
    </row>
    <row r="20" spans="1:1" x14ac:dyDescent="0.3">
      <c r="A20" s="3" t="s">
        <v>25</v>
      </c>
    </row>
    <row r="22" spans="1:1" x14ac:dyDescent="0.3">
      <c r="A22" s="2" t="s">
        <v>22</v>
      </c>
    </row>
    <row r="24" spans="1:1" x14ac:dyDescent="0.3">
      <c r="A24" s="3" t="s">
        <v>23</v>
      </c>
    </row>
    <row r="26" spans="1:1" ht="25.8" x14ac:dyDescent="0.5">
      <c r="A26" s="1" t="s">
        <v>9</v>
      </c>
    </row>
    <row r="28" spans="1:1" ht="19.8" x14ac:dyDescent="0.4">
      <c r="A28" s="5" t="s">
        <v>10</v>
      </c>
    </row>
    <row r="29" spans="1:1" x14ac:dyDescent="0.3">
      <c r="A29" t="s">
        <v>49</v>
      </c>
    </row>
    <row r="31" spans="1:1" x14ac:dyDescent="0.3">
      <c r="A31" s="3" t="s">
        <v>20</v>
      </c>
    </row>
    <row r="33" spans="1:1" x14ac:dyDescent="0.3">
      <c r="A33" t="s">
        <v>38</v>
      </c>
    </row>
    <row r="71" spans="1:1" x14ac:dyDescent="0.3">
      <c r="A71" s="2" t="s">
        <v>44</v>
      </c>
    </row>
    <row r="73" spans="1:1" x14ac:dyDescent="0.3">
      <c r="A73" t="s">
        <v>40</v>
      </c>
    </row>
    <row r="74" spans="1:1" x14ac:dyDescent="0.3">
      <c r="A74" t="s">
        <v>46</v>
      </c>
    </row>
    <row r="75" spans="1:1" x14ac:dyDescent="0.3">
      <c r="A75" t="s">
        <v>41</v>
      </c>
    </row>
    <row r="76" spans="1:1" x14ac:dyDescent="0.3">
      <c r="A76" t="s">
        <v>47</v>
      </c>
    </row>
    <row r="77" spans="1:1" x14ac:dyDescent="0.3">
      <c r="A77" t="s">
        <v>42</v>
      </c>
    </row>
    <row r="78" spans="1:1" x14ac:dyDescent="0.3">
      <c r="A78" t="s">
        <v>60</v>
      </c>
    </row>
    <row r="82" spans="1:1" ht="19.8" x14ac:dyDescent="0.4">
      <c r="A82" s="5" t="s">
        <v>18</v>
      </c>
    </row>
    <row r="83" spans="1:1" x14ac:dyDescent="0.3">
      <c r="A83" s="2" t="s">
        <v>43</v>
      </c>
    </row>
    <row r="84" spans="1:1" x14ac:dyDescent="0.3">
      <c r="A84" s="2" t="s">
        <v>28</v>
      </c>
    </row>
    <row r="86" spans="1:1" x14ac:dyDescent="0.3">
      <c r="A86" s="3" t="s">
        <v>26</v>
      </c>
    </row>
    <row r="87" spans="1:1" x14ac:dyDescent="0.3">
      <c r="A87" s="2"/>
    </row>
    <row r="88" spans="1:1" x14ac:dyDescent="0.3">
      <c r="A88" s="2" t="s">
        <v>51</v>
      </c>
    </row>
    <row r="129" spans="1:1" x14ac:dyDescent="0.3">
      <c r="A129" t="s">
        <v>39</v>
      </c>
    </row>
    <row r="131" spans="1:1" x14ac:dyDescent="0.3">
      <c r="A131" t="s">
        <v>45</v>
      </c>
    </row>
    <row r="132" spans="1:1" x14ac:dyDescent="0.3">
      <c r="A132" t="s">
        <v>48</v>
      </c>
    </row>
    <row r="133" spans="1:1" x14ac:dyDescent="0.3">
      <c r="A133" t="s">
        <v>65</v>
      </c>
    </row>
    <row r="134" spans="1:1" x14ac:dyDescent="0.3">
      <c r="A134" t="s">
        <v>61</v>
      </c>
    </row>
    <row r="135" spans="1:1" x14ac:dyDescent="0.3">
      <c r="A135" t="s">
        <v>73</v>
      </c>
    </row>
    <row r="138" spans="1:1" ht="19.8" x14ac:dyDescent="0.4">
      <c r="A138" s="5" t="s">
        <v>19</v>
      </c>
    </row>
    <row r="139" spans="1:1" x14ac:dyDescent="0.3">
      <c r="A139" t="s">
        <v>50</v>
      </c>
    </row>
    <row r="141" spans="1:1" x14ac:dyDescent="0.3">
      <c r="A141" s="3" t="s">
        <v>27</v>
      </c>
    </row>
    <row r="143" spans="1:1" x14ac:dyDescent="0.3">
      <c r="A143" s="2" t="s">
        <v>51</v>
      </c>
    </row>
    <row r="182" spans="1:1" x14ac:dyDescent="0.3">
      <c r="A182" t="s">
        <v>44</v>
      </c>
    </row>
    <row r="184" spans="1:1" x14ac:dyDescent="0.3">
      <c r="A184" t="s">
        <v>52</v>
      </c>
    </row>
    <row r="185" spans="1:1" x14ac:dyDescent="0.3">
      <c r="A185" t="s">
        <v>53</v>
      </c>
    </row>
    <row r="186" spans="1:1" x14ac:dyDescent="0.3">
      <c r="A186" t="s">
        <v>54</v>
      </c>
    </row>
    <row r="187" spans="1:1" x14ac:dyDescent="0.3">
      <c r="A187" t="s">
        <v>62</v>
      </c>
    </row>
    <row r="188" spans="1:1" x14ac:dyDescent="0.3">
      <c r="A188" t="s">
        <v>55</v>
      </c>
    </row>
    <row r="191" spans="1:1" ht="19.8" x14ac:dyDescent="0.4">
      <c r="A191" s="5" t="s">
        <v>21</v>
      </c>
    </row>
    <row r="193" spans="1:1" x14ac:dyDescent="0.3">
      <c r="A193" t="s">
        <v>56</v>
      </c>
    </row>
    <row r="195" spans="1:1" x14ac:dyDescent="0.3">
      <c r="A195" s="3" t="s">
        <v>29</v>
      </c>
    </row>
    <row r="197" spans="1:1" x14ac:dyDescent="0.3">
      <c r="A197" s="2" t="s">
        <v>38</v>
      </c>
    </row>
    <row r="243" spans="1:1" x14ac:dyDescent="0.3">
      <c r="A243" s="2" t="s">
        <v>44</v>
      </c>
    </row>
    <row r="245" spans="1:1" x14ac:dyDescent="0.3">
      <c r="A245" t="s">
        <v>57</v>
      </c>
    </row>
    <row r="246" spans="1:1" x14ac:dyDescent="0.3">
      <c r="A246" t="s">
        <v>58</v>
      </c>
    </row>
    <row r="247" spans="1:1" x14ac:dyDescent="0.3">
      <c r="A247" t="s">
        <v>66</v>
      </c>
    </row>
    <row r="248" spans="1:1" x14ac:dyDescent="0.3">
      <c r="A248" t="s">
        <v>59</v>
      </c>
    </row>
    <row r="249" spans="1:1" x14ac:dyDescent="0.3">
      <c r="A249" t="s">
        <v>63</v>
      </c>
    </row>
    <row r="250" spans="1:1" x14ac:dyDescent="0.3">
      <c r="A250" t="s">
        <v>64</v>
      </c>
    </row>
    <row r="251" spans="1:1" x14ac:dyDescent="0.3">
      <c r="A251" t="s">
        <v>30</v>
      </c>
    </row>
    <row r="254" spans="1:1" ht="19.8" x14ac:dyDescent="0.4">
      <c r="A254" s="5" t="s">
        <v>31</v>
      </c>
    </row>
    <row r="256" spans="1:1" x14ac:dyDescent="0.3">
      <c r="A256" t="s">
        <v>67</v>
      </c>
    </row>
    <row r="258" spans="1:1" x14ac:dyDescent="0.3">
      <c r="A258" s="3" t="s">
        <v>32</v>
      </c>
    </row>
    <row r="260" spans="1:1" x14ac:dyDescent="0.3">
      <c r="A260" s="2" t="s">
        <v>38</v>
      </c>
    </row>
    <row r="302" spans="1:1" x14ac:dyDescent="0.3">
      <c r="A302" s="2" t="s">
        <v>44</v>
      </c>
    </row>
    <row r="304" spans="1:1" x14ac:dyDescent="0.3">
      <c r="A304" t="s">
        <v>68</v>
      </c>
    </row>
    <row r="305" spans="1:1" x14ac:dyDescent="0.3">
      <c r="A305" t="s">
        <v>69</v>
      </c>
    </row>
    <row r="306" spans="1:1" x14ac:dyDescent="0.3">
      <c r="A306" t="s">
        <v>70</v>
      </c>
    </row>
    <row r="307" spans="1:1" x14ac:dyDescent="0.3">
      <c r="A307" t="s">
        <v>71</v>
      </c>
    </row>
    <row r="308" spans="1:1" x14ac:dyDescent="0.3">
      <c r="A308" t="s">
        <v>72</v>
      </c>
    </row>
    <row r="311" spans="1:1" x14ac:dyDescent="0.3">
      <c r="A311" s="3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4267A-96FD-42EA-83FE-58B049C1E839}">
  <sheetPr codeName="Sheet2"/>
  <dimension ref="A1:AZ61"/>
  <sheetViews>
    <sheetView topLeftCell="A7" workbookViewId="0">
      <selection activeCell="BH32" sqref="BH32"/>
    </sheetView>
  </sheetViews>
  <sheetFormatPr defaultRowHeight="14.4" x14ac:dyDescent="0.3"/>
  <cols>
    <col min="3" max="4" width="12" bestFit="1" customWidth="1"/>
  </cols>
  <sheetData>
    <row r="1" spans="1:52" x14ac:dyDescent="0.3">
      <c r="A1" t="s">
        <v>13</v>
      </c>
      <c r="C1" t="s">
        <v>12</v>
      </c>
    </row>
    <row r="2" spans="1:52" x14ac:dyDescent="0.3">
      <c r="C2">
        <v>0.1</v>
      </c>
      <c r="D2">
        <v>0.2</v>
      </c>
      <c r="E2" s="2">
        <v>0.3</v>
      </c>
      <c r="F2" s="2">
        <v>0.4</v>
      </c>
      <c r="G2" s="2">
        <v>0.5</v>
      </c>
      <c r="H2" s="2">
        <v>0.6</v>
      </c>
      <c r="I2" s="2">
        <v>0.7</v>
      </c>
      <c r="J2" s="2">
        <v>0.8</v>
      </c>
      <c r="K2" s="2">
        <v>0.9</v>
      </c>
      <c r="L2" s="2">
        <v>1</v>
      </c>
      <c r="M2" s="2">
        <v>1.1000000000000001</v>
      </c>
      <c r="N2" s="2">
        <v>1.2</v>
      </c>
      <c r="O2" s="2">
        <v>1.3</v>
      </c>
      <c r="P2" s="2">
        <v>1.4</v>
      </c>
      <c r="Q2" s="2">
        <v>1.5</v>
      </c>
      <c r="R2" s="2">
        <v>1.6</v>
      </c>
      <c r="S2" s="2">
        <v>1.7</v>
      </c>
      <c r="T2" s="2">
        <v>1.8</v>
      </c>
      <c r="U2" s="2">
        <v>1.9</v>
      </c>
      <c r="V2" s="2">
        <v>2</v>
      </c>
      <c r="W2" s="2">
        <v>2.1</v>
      </c>
      <c r="X2" s="2">
        <v>2.2000000000000002</v>
      </c>
      <c r="Y2" s="2">
        <v>2.2999999999999998</v>
      </c>
      <c r="Z2" s="2">
        <v>2.4</v>
      </c>
      <c r="AA2" s="2">
        <v>2.5</v>
      </c>
      <c r="AB2" s="2">
        <v>2.6</v>
      </c>
      <c r="AC2" s="2">
        <v>2.7</v>
      </c>
      <c r="AD2" s="2">
        <v>2.8</v>
      </c>
      <c r="AE2" s="2">
        <v>2.9</v>
      </c>
      <c r="AF2" s="2">
        <v>3</v>
      </c>
      <c r="AG2" s="2">
        <v>3.1</v>
      </c>
      <c r="AH2" s="2">
        <v>3.2</v>
      </c>
      <c r="AI2" s="2">
        <v>3.3</v>
      </c>
      <c r="AJ2" s="2">
        <v>3.4</v>
      </c>
      <c r="AK2" s="2">
        <v>3.5</v>
      </c>
      <c r="AL2" s="2">
        <v>3.6</v>
      </c>
      <c r="AM2" s="2">
        <v>3.7</v>
      </c>
      <c r="AN2" s="2">
        <v>3.8</v>
      </c>
      <c r="AO2" s="2">
        <v>3.9</v>
      </c>
      <c r="AP2" s="2">
        <v>4</v>
      </c>
      <c r="AQ2" s="2">
        <v>4.0999999999999996</v>
      </c>
      <c r="AR2" s="2">
        <v>4.2</v>
      </c>
      <c r="AS2" s="2">
        <v>4.3</v>
      </c>
      <c r="AT2" s="2">
        <v>4.4000000000000004</v>
      </c>
      <c r="AU2" s="2">
        <v>4.5</v>
      </c>
      <c r="AV2" s="2">
        <v>4.5999999999999996</v>
      </c>
      <c r="AW2" s="2">
        <v>4.7</v>
      </c>
      <c r="AX2" s="2">
        <v>4.8</v>
      </c>
      <c r="AY2" s="2">
        <v>4.9000000000000004</v>
      </c>
      <c r="AZ2" s="2">
        <v>5</v>
      </c>
    </row>
    <row r="3" spans="1:52" x14ac:dyDescent="0.3">
      <c r="A3" t="s">
        <v>11</v>
      </c>
      <c r="B3">
        <v>60</v>
      </c>
      <c r="C3" cm="1">
        <f t="array" ref="C3">DELTAGREEK($B3,100,0.01,C$2,0.1)</f>
        <v>1.152199866581208E-58</v>
      </c>
      <c r="D3" s="2" cm="1">
        <f t="array" ref="D3">DELTAGREEK($B3,100,0.01,D$2,0.1)</f>
        <v>3.4889502026674058E-30</v>
      </c>
      <c r="E3" s="2" cm="1">
        <f t="array" ref="E3">DELTAGREEK($B3,100,0.01,E$2,0.1)</f>
        <v>1.1850476086013734E-20</v>
      </c>
      <c r="F3" s="2" cm="1">
        <f t="array" ref="F3">DELTAGREEK($B3,100,0.01,F$2,0.1)</f>
        <v>7.1994037560856216E-16</v>
      </c>
      <c r="G3" s="2" cm="1">
        <f t="array" ref="G3">DELTAGREEK($B3,100,0.01,G$2,0.1)</f>
        <v>5.4712789718469201E-13</v>
      </c>
      <c r="H3" s="2" cm="1">
        <f t="array" ref="H3">DELTAGREEK($B3,100,0.01,H$2,0.1)</f>
        <v>4.6306900470662182E-11</v>
      </c>
      <c r="I3" s="2" cm="1">
        <f t="array" ref="I3">DELTAGREEK($B3,100,0.01,I$2,0.1)</f>
        <v>1.1154484392717851E-9</v>
      </c>
      <c r="J3" s="2" cm="1">
        <f t="array" ref="J3">DELTAGREEK($B3,100,0.01,J$2,0.1)</f>
        <v>1.2232280237899387E-8</v>
      </c>
      <c r="K3" s="2" cm="1">
        <f t="array" ref="K3">DELTAGREEK($B3,100,0.01,K$2,0.1)</f>
        <v>7.9305503738124461E-8</v>
      </c>
      <c r="L3" s="2" cm="1">
        <f t="array" ref="L3">DELTAGREEK($B3,100,0.01,L$2,0.1)</f>
        <v>3.5564355541459468E-7</v>
      </c>
      <c r="M3" s="2" cm="1">
        <f t="array" ref="M3">DELTAGREEK($B3,100,0.01,M$2,0.1)</f>
        <v>1.2192239835265874E-6</v>
      </c>
      <c r="N3" s="2" cm="1">
        <f t="array" ref="N3">DELTAGREEK($B3,100,0.01,N$2,0.1)</f>
        <v>3.415911667608909E-6</v>
      </c>
      <c r="O3" s="2" cm="1">
        <f t="array" ref="O3">DELTAGREEK($B3,100,0.01,O$2,0.1)</f>
        <v>8.1919080088907209E-6</v>
      </c>
      <c r="P3" s="2" cm="1">
        <f t="array" ref="P3">DELTAGREEK($B3,100,0.01,P$2,0.1)</f>
        <v>1.738179344392611E-5</v>
      </c>
      <c r="Q3" s="2" cm="1">
        <f t="array" ref="Q3">DELTAGREEK($B3,100,0.01,Q$2,0.1)</f>
        <v>3.3434181313195163E-5</v>
      </c>
      <c r="R3" s="2" cm="1">
        <f t="array" ref="R3">DELTAGREEK($B3,100,0.01,R$2,0.1)</f>
        <v>5.9374498876366369E-5</v>
      </c>
      <c r="S3" s="2" cm="1">
        <f t="array" ref="S3">DELTAGREEK($B3,100,0.01,S$2,0.1)</f>
        <v>9.8716886963735742E-5</v>
      </c>
      <c r="T3" s="2" cm="1">
        <f t="array" ref="T3">DELTAGREEK($B3,100,0.01,T$2,0.1)</f>
        <v>1.5534291777073779E-4</v>
      </c>
      <c r="U3" s="2" cm="1">
        <f t="array" ref="U3">DELTAGREEK($B3,100,0.01,U$2,0.1)</f>
        <v>2.3336509406720306E-4</v>
      </c>
      <c r="V3" s="2" cm="1">
        <f t="array" ref="V3">DELTAGREEK($B3,100,0.01,V$2,0.1)</f>
        <v>3.3699015309893626E-4</v>
      </c>
      <c r="W3" s="2" cm="1">
        <f t="array" ref="W3">DELTAGREEK($B3,100,0.01,W$2,0.1)</f>
        <v>4.7039300664574287E-4</v>
      </c>
      <c r="X3" s="2" cm="1">
        <f t="array" ref="X3">DELTAGREEK($B3,100,0.01,X$2,0.1)</f>
        <v>6.3760798348354254E-4</v>
      </c>
      <c r="Y3" s="2" cm="1">
        <f t="array" ref="Y3">DELTAGREEK($B3,100,0.01,Y$2,0.1)</f>
        <v>8.4244055402268544E-4</v>
      </c>
      <c r="Z3" s="2" cm="1">
        <f t="array" ref="Z3">DELTAGREEK($B3,100,0.01,Z$2,0.1)</f>
        <v>1.088400124627938E-3</v>
      </c>
      <c r="AA3" s="2" cm="1">
        <f t="array" ref="AA3">DELTAGREEK($B3,100,0.01,AA$2,0.1)</f>
        <v>1.3786527570004673E-3</v>
      </c>
      <c r="AB3" s="2" cm="1">
        <f t="array" ref="AB3">DELTAGREEK($B3,100,0.01,AB$2,0.1)</f>
        <v>1.7159916486753394E-3</v>
      </c>
      <c r="AC3" s="2" cm="1">
        <f t="array" ref="AC3">DELTAGREEK($B3,100,0.01,AC$2,0.1)</f>
        <v>2.1028227265520614E-3</v>
      </c>
      <c r="AD3" s="2" cm="1">
        <f t="array" ref="AD3">DELTAGREEK($B3,100,0.01,AD$2,0.1)</f>
        <v>2.541162591487144E-3</v>
      </c>
      <c r="AE3" s="2" cm="1">
        <f t="array" ref="AE3">DELTAGREEK($B3,100,0.01,AE$2,0.1)</f>
        <v>3.0326461735267879E-3</v>
      </c>
      <c r="AF3" s="2" cm="1">
        <f t="array" ref="AF3">DELTAGREEK($B3,100,0.01,AF$2,0.1)</f>
        <v>3.5785417129918693E-3</v>
      </c>
      <c r="AG3" s="2" cm="1">
        <f t="array" ref="AG3">DELTAGREEK($B3,100,0.01,AG$2,0.1)</f>
        <v>4.1797710010394503E-3</v>
      </c>
      <c r="AH3" s="2" cm="1">
        <f t="array" ref="AH3">DELTAGREEK($B3,100,0.01,AH$2,0.1)</f>
        <v>4.8369331474042961E-3</v>
      </c>
      <c r="AI3" s="2" cm="1">
        <f t="array" ref="AI3">DELTAGREEK($B3,100,0.01,AI$2,0.1)</f>
        <v>5.5503304638071342E-3</v>
      </c>
      <c r="AJ3" s="2" cm="1">
        <f t="array" ref="AJ3">DELTAGREEK($B3,100,0.01,AJ$2,0.1)</f>
        <v>6.3199953429158087E-3</v>
      </c>
      <c r="AK3" s="2" cm="1">
        <f t="array" ref="AK3">DELTAGREEK($B3,100,0.01,AK$2,0.1)</f>
        <v>7.1457172673657209E-3</v>
      </c>
      <c r="AL3" s="2" cm="1">
        <f t="array" ref="AL3">DELTAGREEK($B3,100,0.01,AL$2,0.1)</f>
        <v>8.027069299356775E-3</v>
      </c>
      <c r="AM3" s="2" cm="1">
        <f t="array" ref="AM3">DELTAGREEK($B3,100,0.01,AM$2,0.1)</f>
        <v>8.9634335802569205E-3</v>
      </c>
      <c r="AN3" s="2" cm="1">
        <f t="array" ref="AN3">DELTAGREEK($B3,100,0.01,AN$2,0.1)</f>
        <v>9.9540255147849734E-3</v>
      </c>
      <c r="AO3" s="2" cm="1">
        <f t="array" ref="AO3">DELTAGREEK($B3,100,0.01,AO$2,0.1)</f>
        <v>1.0997916429864574E-2</v>
      </c>
      <c r="AP3" s="2" cm="1">
        <f t="array" ref="AP3">DELTAGREEK($B3,100,0.01,AP$2,0.1)</f>
        <v>1.2094054588474413E-2</v>
      </c>
      <c r="AQ3" s="2" cm="1">
        <f t="array" ref="AQ3">DELTAGREEK($B3,100,0.01,AQ$2,0.1)</f>
        <v>1.3241284507931566E-2</v>
      </c>
      <c r="AR3" s="2" cm="1">
        <f t="array" ref="AR3">DELTAGREEK($B3,100,0.01,AR$2,0.1)</f>
        <v>1.4438364583820629E-2</v>
      </c>
      <c r="AS3" s="2" cm="1">
        <f t="array" ref="AS3">DELTAGREEK($B3,100,0.01,AS$2,0.1)</f>
        <v>1.5683983058551419E-2</v>
      </c>
      <c r="AT3" s="2" cm="1">
        <f t="array" ref="AT3">DELTAGREEK($B3,100,0.01,AT$2,0.1)</f>
        <v>1.6976772400142889E-2</v>
      </c>
      <c r="AU3" s="2" cm="1">
        <f t="array" ref="AU3">DELTAGREEK($B3,100,0.01,AU$2,0.1)</f>
        <v>1.8315322174678777E-2</v>
      </c>
      <c r="AV3" s="2" cm="1">
        <f t="array" ref="AV3">DELTAGREEK($B3,100,0.01,AV$2,0.1)</f>
        <v>1.969819050694243E-2</v>
      </c>
      <c r="AW3" s="2" cm="1">
        <f t="array" ref="AW3">DELTAGREEK($B3,100,0.01,AW$2,0.1)</f>
        <v>2.1123914229619057E-2</v>
      </c>
      <c r="AX3" s="2" cm="1">
        <f t="array" ref="AX3">DELTAGREEK($B3,100,0.01,AX$2,0.1)</f>
        <v>2.2591017823454376E-2</v>
      </c>
      <c r="AY3" s="2" cm="1">
        <f t="array" ref="AY3">DELTAGREEK($B3,100,0.01,AY$2,0.1)</f>
        <v>2.4098021249908813E-2</v>
      </c>
      <c r="AZ3" s="2" cm="1">
        <f t="array" ref="AZ3">DELTAGREEK($B3,100,0.01,AZ$2,0.1)</f>
        <v>2.564344677496205E-2</v>
      </c>
    </row>
    <row r="4" spans="1:52" x14ac:dyDescent="0.3">
      <c r="B4">
        <v>65</v>
      </c>
      <c r="C4" s="2" cm="1">
        <f t="array" ref="C4">DELTAGREEK($B4,100,0.01,C$2,0.1)</f>
        <v>2.8126612880568554E-42</v>
      </c>
      <c r="D4" s="2" cm="1">
        <f t="array" ref="D4">DELTAGREEK($B4,100,0.01,D$2,0.1)</f>
        <v>5.5821144851587517E-22</v>
      </c>
      <c r="E4" s="2" cm="1">
        <f t="array" ref="E4">DELTAGREEK($B4,100,0.01,E$2,0.1)</f>
        <v>3.5461176703588084E-15</v>
      </c>
      <c r="F4" s="2" cm="1">
        <f t="array" ref="F4">DELTAGREEK($B4,100,0.01,F$2,0.1)</f>
        <v>9.3129642843239855E-12</v>
      </c>
      <c r="G4" s="2" cm="1">
        <f t="array" ref="G4">DELTAGREEK($B4,100,0.01,G$2,0.1)</f>
        <v>1.0745001039870842E-9</v>
      </c>
      <c r="H4" s="2" cm="1">
        <f t="array" ref="H4">DELTAGREEK($B4,100,0.01,H$2,0.1)</f>
        <v>2.5874472084445203E-8</v>
      </c>
      <c r="I4" s="2" cm="1">
        <f t="array" ref="I4">DELTAGREEK($B4,100,0.01,I$2,0.1)</f>
        <v>2.5390046836316418E-7</v>
      </c>
      <c r="J4" s="2" cm="1">
        <f t="array" ref="J4">DELTAGREEK($B4,100,0.01,J$2,0.1)</f>
        <v>1.4195096494921114E-6</v>
      </c>
      <c r="K4" s="2" cm="1">
        <f t="array" ref="K4">DELTAGREEK($B4,100,0.01,K$2,0.1)</f>
        <v>5.4488726576165433E-6</v>
      </c>
      <c r="L4" s="2" cm="1">
        <f t="array" ref="L4">DELTAGREEK($B4,100,0.01,L$2,0.1)</f>
        <v>1.6064307266339651E-5</v>
      </c>
      <c r="M4" s="2" cm="1">
        <f t="array" ref="M4">DELTAGREEK($B4,100,0.01,M$2,0.1)</f>
        <v>3.907027174904934E-5</v>
      </c>
      <c r="N4" s="2" cm="1">
        <f t="array" ref="N4">DELTAGREEK($B4,100,0.01,N$2,0.1)</f>
        <v>8.2222623433287958E-5</v>
      </c>
      <c r="O4" s="2" cm="1">
        <f t="array" ref="O4">DELTAGREEK($B4,100,0.01,O$2,0.1)</f>
        <v>1.5476562431086335E-4</v>
      </c>
      <c r="P4" s="2" cm="1">
        <f t="array" ref="P4">DELTAGREEK($B4,100,0.01,P$2,0.1)</f>
        <v>2.667987852032896E-4</v>
      </c>
      <c r="Q4" s="2" cm="1">
        <f t="array" ref="Q4">DELTAGREEK($B4,100,0.01,Q$2,0.1)</f>
        <v>4.2862450998820586E-4</v>
      </c>
      <c r="R4" s="2" cm="1">
        <f t="array" ref="R4">DELTAGREEK($B4,100,0.01,R$2,0.1)</f>
        <v>6.5017768652727822E-4</v>
      </c>
      <c r="S4" s="2" cm="1">
        <f t="array" ref="S4">DELTAGREEK($B4,100,0.01,S$2,0.1)</f>
        <v>9.4058624669536085E-4</v>
      </c>
      <c r="T4" s="2" cm="1">
        <f t="array" ref="T4">DELTAGREEK($B4,100,0.01,T$2,0.1)</f>
        <v>1.3078729350655168E-3</v>
      </c>
      <c r="U4" s="2" cm="1">
        <f t="array" ref="U4">DELTAGREEK($B4,100,0.01,U$2,0.1)</f>
        <v>1.7587854442977021E-3</v>
      </c>
      <c r="V4" s="2" cm="1">
        <f t="array" ref="V4">DELTAGREEK($B4,100,0.01,V$2,0.1)</f>
        <v>2.2987314592982288E-3</v>
      </c>
      <c r="W4" s="2" cm="1">
        <f t="array" ref="W4">DELTAGREEK($B4,100,0.01,W$2,0.1)</f>
        <v>2.9317926417498997E-3</v>
      </c>
      <c r="X4" s="2" cm="1">
        <f t="array" ref="X4">DELTAGREEK($B4,100,0.01,X$2,0.1)</f>
        <v>3.6607935408569472E-3</v>
      </c>
      <c r="Y4" s="2" cm="1">
        <f t="array" ref="Y4">DELTAGREEK($B4,100,0.01,Y$2,0.1)</f>
        <v>4.4874053415493382E-3</v>
      </c>
      <c r="Z4" s="2" cm="1">
        <f t="array" ref="Z4">DELTAGREEK($B4,100,0.01,Z$2,0.1)</f>
        <v>5.4122687664904913E-3</v>
      </c>
      <c r="AA4" s="2" cm="1">
        <f t="array" ref="AA4">DELTAGREEK($B4,100,0.01,AA$2,0.1)</f>
        <v>6.4351245531634443E-3</v>
      </c>
      <c r="AB4" s="2" cm="1">
        <f t="array" ref="AB4">DELTAGREEK($B4,100,0.01,AB$2,0.1)</f>
        <v>7.5549433987338694E-3</v>
      </c>
      <c r="AC4" s="2" cm="1">
        <f t="array" ref="AC4">DELTAGREEK($B4,100,0.01,AC$2,0.1)</f>
        <v>8.7700500228962055E-3</v>
      </c>
      <c r="AD4" s="2" cm="1">
        <f t="array" ref="AD4">DELTAGREEK($B4,100,0.01,AD$2,0.1)</f>
        <v>1.0078238089572712E-2</v>
      </c>
      <c r="AE4" s="2" cm="1">
        <f t="array" ref="AE4">DELTAGREEK($B4,100,0.01,AE$2,0.1)</f>
        <v>1.1476874252260325E-2</v>
      </c>
      <c r="AF4" s="2" cm="1">
        <f t="array" ref="AF4">DELTAGREEK($B4,100,0.01,AF$2,0.1)</f>
        <v>1.296299065751454E-2</v>
      </c>
      <c r="AG4" s="2" cm="1">
        <f t="array" ref="AG4">DELTAGREEK($B4,100,0.01,AG$2,0.1)</f>
        <v>1.4533365961512369E-2</v>
      </c>
      <c r="AH4" s="2" cm="1">
        <f t="array" ref="AH4">DELTAGREEK($B4,100,0.01,AH$2,0.1)</f>
        <v>1.618459537522899E-2</v>
      </c>
      <c r="AI4" s="2" cm="1">
        <f t="array" ref="AI4">DELTAGREEK($B4,100,0.01,AI$2,0.1)</f>
        <v>1.7913150526462699E-2</v>
      </c>
      <c r="AJ4" s="2" cm="1">
        <f t="array" ref="AJ4">DELTAGREEK($B4,100,0.01,AJ$2,0.1)</f>
        <v>1.9715430067525904E-2</v>
      </c>
      <c r="AK4" s="2" cm="1">
        <f t="array" ref="AK4">DELTAGREEK($B4,100,0.01,AK$2,0.1)</f>
        <v>2.1587802007871103E-2</v>
      </c>
      <c r="AL4" s="2" cm="1">
        <f t="array" ref="AL4">DELTAGREEK($B4,100,0.01,AL$2,0.1)</f>
        <v>2.352663874210921E-2</v>
      </c>
      <c r="AM4" s="2" cm="1">
        <f t="array" ref="AM4">DELTAGREEK($B4,100,0.01,AM$2,0.1)</f>
        <v>2.5528345698005158E-2</v>
      </c>
      <c r="AN4" s="2" cm="1">
        <f t="array" ref="AN4">DELTAGREEK($B4,100,0.01,AN$2,0.1)</f>
        <v>2.758938446174752E-2</v>
      </c>
      <c r="AO4" s="2" cm="1">
        <f t="array" ref="AO4">DELTAGREEK($B4,100,0.01,AO$2,0.1)</f>
        <v>2.9706291159851256E-2</v>
      </c>
      <c r="AP4" s="2" cm="1">
        <f t="array" ref="AP4">DELTAGREEK($B4,100,0.01,AP$2,0.1)</f>
        <v>3.1875690795675732E-2</v>
      </c>
      <c r="AQ4" s="2" cm="1">
        <f t="array" ref="AQ4">DELTAGREEK($B4,100,0.01,AQ$2,0.1)</f>
        <v>3.4094308158393052E-2</v>
      </c>
      <c r="AR4" s="2" cm="1">
        <f t="array" ref="AR4">DELTAGREEK($B4,100,0.01,AR$2,0.1)</f>
        <v>3.6358975846180697E-2</v>
      </c>
      <c r="AS4" s="2" cm="1">
        <f t="array" ref="AS4">DELTAGREEK($B4,100,0.01,AS$2,0.1)</f>
        <v>3.8666639875059861E-2</v>
      </c>
      <c r="AT4" s="2" cm="1">
        <f t="array" ref="AT4">DELTAGREEK($B4,100,0.01,AT$2,0.1)</f>
        <v>4.1014363280924726E-2</v>
      </c>
      <c r="AU4" s="2" cm="1">
        <f t="array" ref="AU4">DELTAGREEK($B4,100,0.01,AU$2,0.1)</f>
        <v>4.3399328065114873E-2</v>
      </c>
      <c r="AV4" s="2" cm="1">
        <f t="array" ref="AV4">DELTAGREEK($B4,100,0.01,AV$2,0.1)</f>
        <v>4.5818835783233397E-2</v>
      </c>
      <c r="AW4" s="2" cm="1">
        <f t="array" ref="AW4">DELTAGREEK($B4,100,0.01,AW$2,0.1)</f>
        <v>4.8270307032435032E-2</v>
      </c>
      <c r="AX4" s="2" cm="1">
        <f t="array" ref="AX4">DELTAGREEK($B4,100,0.01,AX$2,0.1)</f>
        <v>5.0751280053630464E-2</v>
      </c>
      <c r="AY4" s="2" cm="1">
        <f t="array" ref="AY4">DELTAGREEK($B4,100,0.01,AY$2,0.1)</f>
        <v>5.3259408631430298E-2</v>
      </c>
      <c r="AZ4" s="2" cm="1">
        <f t="array" ref="AZ4">DELTAGREEK($B4,100,0.01,AZ$2,0.1)</f>
        <v>5.5792459445646918E-2</v>
      </c>
    </row>
    <row r="5" spans="1:52" x14ac:dyDescent="0.3">
      <c r="B5" s="2">
        <v>70</v>
      </c>
      <c r="C5" s="2" cm="1">
        <f t="array" ref="C5">DELTAGREEK($B5,100,0.01,C$2,0.1)</f>
        <v>1.4260381787833992E-29</v>
      </c>
      <c r="D5" s="2" cm="1">
        <f t="array" ref="D5">DELTAGREEK($B5,100,0.01,D$2,0.1)</f>
        <v>1.3034623767509508E-15</v>
      </c>
      <c r="E5" s="2" cm="1">
        <f t="array" ref="E5">DELTAGREEK($B5,100,0.01,E$2,0.1)</f>
        <v>6.3883719199083217E-11</v>
      </c>
      <c r="F5" s="2" cm="1">
        <f t="array" ref="F5">DELTAGREEK($B5,100,0.01,F$2,0.1)</f>
        <v>1.4726488482514349E-8</v>
      </c>
      <c r="G5" s="2" cm="1">
        <f t="array" ref="G5">DELTAGREEK($B5,100,0.01,G$2,0.1)</f>
        <v>3.9447858056893467E-7</v>
      </c>
      <c r="H5" s="2" cm="1">
        <f t="array" ref="H5">DELTAGREEK($B5,100,0.01,H$2,0.1)</f>
        <v>3.5869233961988741E-6</v>
      </c>
      <c r="I5" s="2" cm="1">
        <f t="array" ref="I5">DELTAGREEK($B5,100,0.01,I$2,0.1)</f>
        <v>1.7549254029347776E-5</v>
      </c>
      <c r="J5" s="2" cm="1">
        <f t="array" ref="J5">DELTAGREEK($B5,100,0.01,J$2,0.1)</f>
        <v>5.820088365787128E-5</v>
      </c>
      <c r="K5" s="2" cm="1">
        <f t="array" ref="K5">DELTAGREEK($B5,100,0.01,K$2,0.1)</f>
        <v>1.4879923588186897E-4</v>
      </c>
      <c r="L5" s="2" cm="1">
        <f t="array" ref="L5">DELTAGREEK($B5,100,0.01,L$2,0.1)</f>
        <v>3.1686788675612499E-4</v>
      </c>
      <c r="M5" s="2" cm="1">
        <f t="array" ref="M5">DELTAGREEK($B5,100,0.01,M$2,0.1)</f>
        <v>5.9047668779207887E-4</v>
      </c>
      <c r="N5" s="2" cm="1">
        <f t="array" ref="N5">DELTAGREEK($B5,100,0.01,N$2,0.1)</f>
        <v>9.9518629476550054E-4</v>
      </c>
      <c r="O5" s="2" cm="1">
        <f t="array" ref="O5">DELTAGREEK($B5,100,0.01,O$2,0.1)</f>
        <v>1.552133298857856E-3</v>
      </c>
      <c r="P5" s="2" cm="1">
        <f t="array" ref="P5">DELTAGREEK($B5,100,0.01,P$2,0.1)</f>
        <v>2.2771869196615271E-3</v>
      </c>
      <c r="Q5" s="2" cm="1">
        <f t="array" ref="Q5">DELTAGREEK($B5,100,0.01,Q$2,0.1)</f>
        <v>3.1808941795645205E-3</v>
      </c>
      <c r="R5" s="2" cm="1">
        <f t="array" ref="R5">DELTAGREEK($B5,100,0.01,R$2,0.1)</f>
        <v>4.2689124102571066E-3</v>
      </c>
      <c r="S5" s="2" cm="1">
        <f t="array" ref="S5">DELTAGREEK($B5,100,0.01,S$2,0.1)</f>
        <v>5.5426888646884264E-3</v>
      </c>
      <c r="T5" s="2" cm="1">
        <f t="array" ref="T5">DELTAGREEK($B5,100,0.01,T$2,0.1)</f>
        <v>7.0002229297079265E-3</v>
      </c>
      <c r="U5" s="2" cm="1">
        <f t="array" ref="U5">DELTAGREEK($B5,100,0.01,U$2,0.1)</f>
        <v>8.6368108141478394E-3</v>
      </c>
      <c r="V5" s="2" cm="1">
        <f t="array" ref="V5">DELTAGREEK($B5,100,0.01,V$2,0.1)</f>
        <v>1.0445719216560163E-2</v>
      </c>
      <c r="W5" s="2" cm="1">
        <f t="array" ref="W5">DELTAGREEK($B5,100,0.01,W$2,0.1)</f>
        <v>1.2418765024384366E-2</v>
      </c>
      <c r="X5" s="2" cm="1">
        <f t="array" ref="X5">DELTAGREEK($B5,100,0.01,X$2,0.1)</f>
        <v>1.4546796507460432E-2</v>
      </c>
      <c r="Y5" s="2" cm="1">
        <f t="array" ref="Y5">DELTAGREEK($B5,100,0.01,Y$2,0.1)</f>
        <v>1.6820081585756378E-2</v>
      </c>
      <c r="Z5" s="2" cm="1">
        <f t="array" ref="Z5">DELTAGREEK($B5,100,0.01,Z$2,0.1)</f>
        <v>1.922861358058979E-2</v>
      </c>
      <c r="AA5" s="2" cm="1">
        <f t="array" ref="AA5">DELTAGREEK($B5,100,0.01,AA$2,0.1)</f>
        <v>2.1762346517717208E-2</v>
      </c>
      <c r="AB5" s="2" cm="1">
        <f t="array" ref="AB5">DELTAGREEK($B5,100,0.01,AB$2,0.1)</f>
        <v>2.4411371935072829E-2</v>
      </c>
      <c r="AC5" s="2" cm="1">
        <f t="array" ref="AC5">DELTAGREEK($B5,100,0.01,AC$2,0.1)</f>
        <v>2.7166048132505883E-2</v>
      </c>
      <c r="AD5" s="2" cm="1">
        <f t="array" ref="AD5">DELTAGREEK($B5,100,0.01,AD$2,0.1)</f>
        <v>3.0017091409052326E-2</v>
      </c>
      <c r="AE5" s="2" cm="1">
        <f t="array" ref="AE5">DELTAGREEK($B5,100,0.01,AE$2,0.1)</f>
        <v>3.2955637362176854E-2</v>
      </c>
      <c r="AF5" s="2" cm="1">
        <f t="array" ref="AF5">DELTAGREEK($B5,100,0.01,AF$2,0.1)</f>
        <v>3.5973278929724156E-2</v>
      </c>
      <c r="AG5" s="2" cm="1">
        <f t="array" ref="AG5">DELTAGREEK($B5,100,0.01,AG$2,0.1)</f>
        <v>3.9062086611687148E-2</v>
      </c>
      <c r="AH5" s="2" cm="1">
        <f t="array" ref="AH5">DELTAGREEK($B5,100,0.01,AH$2,0.1)</f>
        <v>4.22146152397938E-2</v>
      </c>
      <c r="AI5" s="2" cm="1">
        <f t="array" ref="AI5">DELTAGREEK($B5,100,0.01,AI$2,0.1)</f>
        <v>4.5423900766636327E-2</v>
      </c>
      <c r="AJ5" s="2" cm="1">
        <f t="array" ref="AJ5">DELTAGREEK($B5,100,0.01,AJ$2,0.1)</f>
        <v>4.8683449807988971E-2</v>
      </c>
      <c r="AK5" s="2" cm="1">
        <f t="array" ref="AK5">DELTAGREEK($B5,100,0.01,AK$2,0.1)</f>
        <v>5.1987224072187123E-2</v>
      </c>
      <c r="AL5" s="2" cm="1">
        <f t="array" ref="AL5">DELTAGREEK($B5,100,0.01,AL$2,0.1)</f>
        <v>5.5329621328033506E-2</v>
      </c>
      <c r="AM5" s="2" cm="1">
        <f t="array" ref="AM5">DELTAGREEK($B5,100,0.01,AM$2,0.1)</f>
        <v>5.8705454177880395E-2</v>
      </c>
      <c r="AN5" s="2" cm="1">
        <f t="array" ref="AN5">DELTAGREEK($B5,100,0.01,AN$2,0.1)</f>
        <v>6.2109927597691503E-2</v>
      </c>
      <c r="AO5" s="2" cm="1">
        <f t="array" ref="AO5">DELTAGREEK($B5,100,0.01,AO$2,0.1)</f>
        <v>6.5538615965857763E-2</v>
      </c>
      <c r="AP5" s="2" cm="1">
        <f t="array" ref="AP5">DELTAGREEK($B5,100,0.01,AP$2,0.1)</f>
        <v>6.8987440114615495E-2</v>
      </c>
      <c r="AQ5" s="2" cm="1">
        <f t="array" ref="AQ5">DELTAGREEK($B5,100,0.01,AQ$2,0.1)</f>
        <v>7.2452644791597673E-2</v>
      </c>
      <c r="AR5" s="2" cm="1">
        <f t="array" ref="AR5">DELTAGREEK($B5,100,0.01,AR$2,0.1)</f>
        <v>7.5930776805775785E-2</v>
      </c>
      <c r="AS5" s="2" cm="1">
        <f t="array" ref="AS5">DELTAGREEK($B5,100,0.01,AS$2,0.1)</f>
        <v>7.9418664044906662E-2</v>
      </c>
      <c r="AT5" s="2" cm="1">
        <f t="array" ref="AT5">DELTAGREEK($B5,100,0.01,AT$2,0.1)</f>
        <v>8.2913395485036331E-2</v>
      </c>
      <c r="AU5" s="2" cm="1">
        <f t="array" ref="AU5">DELTAGREEK($B5,100,0.01,AU$2,0.1)</f>
        <v>8.6412302262187254E-2</v>
      </c>
      <c r="AV5" s="2" cm="1">
        <f t="array" ref="AV5">DELTAGREEK($B5,100,0.01,AV$2,0.1)</f>
        <v>8.9912939838559261E-2</v>
      </c>
      <c r="AW5" s="2" cm="1">
        <f t="array" ref="AW5">DELTAGREEK($B5,100,0.01,AW$2,0.1)</f>
        <v>9.341307126760022E-2</v>
      </c>
      <c r="AX5" s="2" cm="1">
        <f t="array" ref="AX5">DELTAGREEK($B5,100,0.01,AX$2,0.1)</f>
        <v>9.6910651541957563E-2</v>
      </c>
      <c r="AY5" s="2" cm="1">
        <f t="array" ref="AY5">DELTAGREEK($B5,100,0.01,AY$2,0.1)</f>
        <v>0.10040381299385966</v>
      </c>
      <c r="AZ5" s="2" cm="1">
        <f t="array" ref="AZ5">DELTAGREEK($B5,100,0.01,AZ$2,0.1)</f>
        <v>0.10389085170754279</v>
      </c>
    </row>
    <row r="6" spans="1:52" x14ac:dyDescent="0.3">
      <c r="B6" s="2">
        <v>75</v>
      </c>
      <c r="C6" s="2" cm="1">
        <f t="array" ref="C6">DELTAGREEK($B6,100,0.01,C$2,0.1)</f>
        <v>7.1568181094979558E-20</v>
      </c>
      <c r="D6" s="2" cm="1">
        <f t="array" ref="D6">DELTAGREEK($B6,100,0.01,D$2,0.1)</f>
        <v>9.7210253802256359E-11</v>
      </c>
      <c r="E6" s="2" cm="1">
        <f t="array" ref="E6">DELTAGREEK($B6,100,0.01,E$2,0.1)</f>
        <v>1.1693829518833723E-7</v>
      </c>
      <c r="F6" s="2" cm="1">
        <f t="array" ref="F6">DELTAGREEK($B6,100,0.01,F$2,0.1)</f>
        <v>4.2184867637814504E-6</v>
      </c>
      <c r="G6" s="2" cm="1">
        <f t="array" ref="G6">DELTAGREEK($B6,100,0.01,G$2,0.1)</f>
        <v>3.710426223234792E-5</v>
      </c>
      <c r="H6" s="2" cm="1">
        <f t="array" ref="H6">DELTAGREEK($B6,100,0.01,H$2,0.1)</f>
        <v>1.6047856986437583E-4</v>
      </c>
      <c r="I6" s="2" cm="1">
        <f t="array" ref="I6">DELTAGREEK($B6,100,0.01,I$2,0.1)</f>
        <v>4.6157184850289406E-4</v>
      </c>
      <c r="J6" s="2" cm="1">
        <f t="array" ref="J6">DELTAGREEK($B6,100,0.01,J$2,0.1)</f>
        <v>1.0273171406440292E-3</v>
      </c>
      <c r="K6" s="2" cm="1">
        <f t="array" ref="K6">DELTAGREEK($B6,100,0.01,K$2,0.1)</f>
        <v>1.9253955209529885E-3</v>
      </c>
      <c r="L6" s="2" cm="1">
        <f t="array" ref="L6">DELTAGREEK($B6,100,0.01,L$2,0.1)</f>
        <v>3.1973886164727121E-3</v>
      </c>
      <c r="M6" s="2" cm="1">
        <f t="array" ref="M6">DELTAGREEK($B6,100,0.01,M$2,0.1)</f>
        <v>4.8602070072897236E-3</v>
      </c>
      <c r="N6" s="2" cm="1">
        <f t="array" ref="N6">DELTAGREEK($B6,100,0.01,N$2,0.1)</f>
        <v>6.9111376894053084E-3</v>
      </c>
      <c r="O6" s="2" cm="1">
        <f t="array" ref="O6">DELTAGREEK($B6,100,0.01,O$2,0.1)</f>
        <v>9.3335672932984472E-3</v>
      </c>
      <c r="P6" s="2" cm="1">
        <f t="array" ref="P6">DELTAGREEK($B6,100,0.01,P$2,0.1)</f>
        <v>1.2102020134801496E-2</v>
      </c>
      <c r="Q6" s="2" cm="1">
        <f t="array" ref="Q6">DELTAGREEK($B6,100,0.01,Q$2,0.1)</f>
        <v>1.5186088393001264E-2</v>
      </c>
      <c r="R6" s="2" cm="1">
        <f t="array" ref="R6">DELTAGREEK($B6,100,0.01,R$2,0.1)</f>
        <v>1.8553274771013178E-2</v>
      </c>
      <c r="S6" s="2" cm="1">
        <f t="array" ref="S6">DELTAGREEK($B6,100,0.01,S$2,0.1)</f>
        <v>2.217093134450733E-2</v>
      </c>
      <c r="T6" s="2" cm="1">
        <f t="array" ref="T6">DELTAGREEK($B6,100,0.01,T$2,0.1)</f>
        <v>2.6007508364530859E-2</v>
      </c>
      <c r="U6" s="2" cm="1">
        <f t="array" ref="U6">DELTAGREEK($B6,100,0.01,U$2,0.1)</f>
        <v>3.0033303343949984E-2</v>
      </c>
      <c r="V6" s="2" cm="1">
        <f t="array" ref="V6">DELTAGREEK($B6,100,0.01,V$2,0.1)</f>
        <v>3.4220862001572677E-2</v>
      </c>
      <c r="W6" s="2" cm="1">
        <f t="array" ref="W6">DELTAGREEK($B6,100,0.01,W$2,0.1)</f>
        <v>3.8545144673195579E-2</v>
      </c>
      <c r="X6" s="2" cm="1">
        <f t="array" ref="X6">DELTAGREEK($B6,100,0.01,X$2,0.1)</f>
        <v>4.2983540147969686E-2</v>
      </c>
      <c r="Y6" s="2" cm="1">
        <f t="array" ref="Y6">DELTAGREEK($B6,100,0.01,Y$2,0.1)</f>
        <v>4.7515784462583199E-2</v>
      </c>
      <c r="Z6" s="2" cm="1">
        <f t="array" ref="Z6">DELTAGREEK($B6,100,0.01,Z$2,0.1)</f>
        <v>5.2123824151022791E-2</v>
      </c>
      <c r="AA6" s="2" cm="1">
        <f t="array" ref="AA6">DELTAGREEK($B6,100,0.01,AA$2,0.1)</f>
        <v>5.6791650503502759E-2</v>
      </c>
      <c r="AB6" s="2" cm="1">
        <f t="array" ref="AB6">DELTAGREEK($B6,100,0.01,AB$2,0.1)</f>
        <v>6.1505122281147004E-2</v>
      </c>
      <c r="AC6" s="2" cm="1">
        <f t="array" ref="AC6">DELTAGREEK($B6,100,0.01,AC$2,0.1)</f>
        <v>6.625178802488664E-2</v>
      </c>
      <c r="AD6" s="2" cm="1">
        <f t="array" ref="AD6">DELTAGREEK($B6,100,0.01,AD$2,0.1)</f>
        <v>7.1020714787426456E-2</v>
      </c>
      <c r="AE6" s="2" cm="1">
        <f t="array" ref="AE6">DELTAGREEK($B6,100,0.01,AE$2,0.1)</f>
        <v>7.5802327213493892E-2</v>
      </c>
      <c r="AF6" s="2" cm="1">
        <f t="array" ref="AF6">DELTAGREEK($B6,100,0.01,AF$2,0.1)</f>
        <v>8.0588258967957002E-2</v>
      </c>
      <c r="AG6" s="2" cm="1">
        <f t="array" ref="AG6">DELTAGREEK($B6,100,0.01,AG$2,0.1)</f>
        <v>8.5371217259688589E-2</v>
      </c>
      <c r="AH6" s="2" cm="1">
        <f t="array" ref="AH6">DELTAGREEK($B6,100,0.01,AH$2,0.1)</f>
        <v>9.0144860417563852E-2</v>
      </c>
      <c r="AI6" s="2" cm="1">
        <f t="array" ref="AI6">DELTAGREEK($B6,100,0.01,AI$2,0.1)</f>
        <v>9.4903687994794705E-2</v>
      </c>
      <c r="AJ6" s="2" cm="1">
        <f t="array" ref="AJ6">DELTAGREEK($B6,100,0.01,AJ$2,0.1)</f>
        <v>9.9642942605819476E-2</v>
      </c>
      <c r="AK6" s="2" cm="1">
        <f t="array" ref="AK6">DELTAGREEK($B6,100,0.01,AK$2,0.1)</f>
        <v>0.10435852256522872</v>
      </c>
      <c r="AL6" s="2" cm="1">
        <f t="array" ref="AL6">DELTAGREEK($B6,100,0.01,AL$2,0.1)</f>
        <v>0.10904690435218471</v>
      </c>
      <c r="AM6" s="2" cm="1">
        <f t="array" ref="AM6">DELTAGREEK($B6,100,0.01,AM$2,0.1)</f>
        <v>0.11370507393349005</v>
      </c>
      <c r="AN6" s="2" cm="1">
        <f t="array" ref="AN6">DELTAGREEK($B6,100,0.01,AN$2,0.1)</f>
        <v>0.11833046602166508</v>
      </c>
      <c r="AO6" s="2" cm="1">
        <f t="array" ref="AO6">DELTAGREEK($B6,100,0.01,AO$2,0.1)</f>
        <v>0.12292091040627794</v>
      </c>
      <c r="AP6" s="2" cm="1">
        <f t="array" ref="AP6">DELTAGREEK($B6,100,0.01,AP$2,0.1)</f>
        <v>0.127474584567597</v>
      </c>
      <c r="AQ6" s="2" cm="1">
        <f t="array" ref="AQ6">DELTAGREEK($B6,100,0.01,AQ$2,0.1)</f>
        <v>0.13198997185514169</v>
      </c>
      <c r="AR6" s="2" cm="1">
        <f t="array" ref="AR6">DELTAGREEK($B6,100,0.01,AR$2,0.1)</f>
        <v>0.13646582458596654</v>
      </c>
      <c r="AS6" s="2" cm="1">
        <f t="array" ref="AS6">DELTAGREEK($B6,100,0.01,AS$2,0.1)</f>
        <v>0.14090113148620204</v>
      </c>
      <c r="AT6" s="2" cm="1">
        <f t="array" ref="AT6">DELTAGREEK($B6,100,0.01,AT$2,0.1)</f>
        <v>0.14529508896321683</v>
      </c>
      <c r="AU6" s="2" cm="1">
        <f t="array" ref="AU6">DELTAGREEK($B6,100,0.01,AU$2,0.1)</f>
        <v>0.1496470757541617</v>
      </c>
      <c r="AV6" s="2" cm="1">
        <f t="array" ref="AV6">DELTAGREEK($B6,100,0.01,AV$2,0.1)</f>
        <v>0.15395663054948716</v>
      </c>
      <c r="AW6" s="2" cm="1">
        <f t="array" ref="AW6">DELTAGREEK($B6,100,0.01,AW$2,0.1)</f>
        <v>0.1582234322373938</v>
      </c>
      <c r="AX6" s="2" cm="1">
        <f t="array" ref="AX6">DELTAGREEK($B6,100,0.01,AX$2,0.1)</f>
        <v>0.16244728245741094</v>
      </c>
      <c r="AY6" s="2" cm="1">
        <f t="array" ref="AY6">DELTAGREEK($B6,100,0.01,AY$2,0.1)</f>
        <v>0.1666280901887506</v>
      </c>
      <c r="AZ6" s="2" cm="1">
        <f t="array" ref="AZ6">DELTAGREEK($B6,100,0.01,AZ$2,0.1)</f>
        <v>0.17076585813219761</v>
      </c>
    </row>
    <row r="7" spans="1:52" x14ac:dyDescent="0.3">
      <c r="B7" s="2">
        <v>80</v>
      </c>
      <c r="C7" s="2" cm="1">
        <f t="array" ref="C7">DELTAGREEK($B7,100,0.01,C$2,0.1)</f>
        <v>1.2002701474206063E-12</v>
      </c>
      <c r="D7" s="2" cm="1">
        <f t="array" ref="D7">DELTAGREEK($B7,100,0.01,D$2,0.1)</f>
        <v>4.2709800292238633E-7</v>
      </c>
      <c r="E7" s="2" cm="1">
        <f t="array" ref="E7">DELTAGREEK($B7,100,0.01,E$2,0.1)</f>
        <v>3.2777591453569817E-5</v>
      </c>
      <c r="F7" s="2" cm="1">
        <f t="array" ref="F7">DELTAGREEK($B7,100,0.01,F$2,0.1)</f>
        <v>2.9809587513643615E-4</v>
      </c>
      <c r="G7" s="2" cm="1">
        <f t="array" ref="G7">DELTAGREEK($B7,100,0.01,G$2,0.1)</f>
        <v>1.1455014907192074E-3</v>
      </c>
      <c r="H7" s="2" cm="1">
        <f t="array" ref="H7">DELTAGREEK($B7,100,0.01,H$2,0.1)</f>
        <v>2.8497945838167151E-3</v>
      </c>
      <c r="I7" s="2" cm="1">
        <f t="array" ref="I7">DELTAGREEK($B7,100,0.01,I$2,0.1)</f>
        <v>5.517688733437851E-3</v>
      </c>
      <c r="J7" s="2" cm="1">
        <f t="array" ref="J7">DELTAGREEK($B7,100,0.01,J$2,0.1)</f>
        <v>9.1213054737095019E-3</v>
      </c>
      <c r="K7" s="2" cm="1">
        <f t="array" ref="K7">DELTAGREEK($B7,100,0.01,K$2,0.1)</f>
        <v>1.3558236229164227E-2</v>
      </c>
      <c r="L7" s="2" cm="1">
        <f t="array" ref="L7">DELTAGREEK($B7,100,0.01,L$2,0.1)</f>
        <v>1.8697030468110387E-2</v>
      </c>
      <c r="M7" s="2" cm="1">
        <f t="array" ref="M7">DELTAGREEK($B7,100,0.01,M$2,0.1)</f>
        <v>2.4403777229606925E-2</v>
      </c>
      <c r="N7" s="2" cm="1">
        <f t="array" ref="N7">DELTAGREEK($B7,100,0.01,N$2,0.1)</f>
        <v>3.0555198866539471E-2</v>
      </c>
      <c r="O7" s="2" cm="1">
        <f t="array" ref="O7">DELTAGREEK($B7,100,0.01,O$2,0.1)</f>
        <v>3.7043792634853058E-2</v>
      </c>
      <c r="P7" s="2" cm="1">
        <f t="array" ref="P7">DELTAGREEK($B7,100,0.01,P$2,0.1)</f>
        <v>4.3778772136576119E-2</v>
      </c>
      <c r="Q7" s="2" cm="1">
        <f t="array" ref="Q7">DELTAGREEK($B7,100,0.01,Q$2,0.1)</f>
        <v>5.0685012629913921E-2</v>
      </c>
      <c r="R7" s="2" cm="1">
        <f t="array" ref="R7">DELTAGREEK($B7,100,0.01,R$2,0.1)</f>
        <v>5.7701197664116008E-2</v>
      </c>
      <c r="S7" s="2" cm="1">
        <f t="array" ref="S7">DELTAGREEK($B7,100,0.01,S$2,0.1)</f>
        <v>6.4777777721525362E-2</v>
      </c>
      <c r="T7" s="2" cm="1">
        <f t="array" ref="T7">DELTAGREEK($B7,100,0.01,T$2,0.1)</f>
        <v>7.1875028777760502E-2</v>
      </c>
      <c r="U7" s="2" cm="1">
        <f t="array" ref="U7">DELTAGREEK($B7,100,0.01,U$2,0.1)</f>
        <v>7.8961328493355798E-2</v>
      </c>
      <c r="V7" s="2" cm="1">
        <f t="array" ref="V7">DELTAGREEK($B7,100,0.01,V$2,0.1)</f>
        <v>8.6011681908250856E-2</v>
      </c>
      <c r="W7" s="2" cm="1">
        <f t="array" ref="W7">DELTAGREEK($B7,100,0.01,W$2,0.1)</f>
        <v>9.3006487936707821E-2</v>
      </c>
      <c r="X7" s="2" cm="1">
        <f t="array" ref="X7">DELTAGREEK($B7,100,0.01,X$2,0.1)</f>
        <v>9.9930521013580242E-2</v>
      </c>
      <c r="Y7" s="2" cm="1">
        <f t="array" ref="Y7">DELTAGREEK($B7,100,0.01,Y$2,0.1)</f>
        <v>0.10677209719831002</v>
      </c>
      <c r="Z7" s="2" cm="1">
        <f t="array" ref="Z7">DELTAGREEK($B7,100,0.01,Z$2,0.1)</f>
        <v>0.11352239466227652</v>
      </c>
      <c r="AA7" s="2" cm="1">
        <f t="array" ref="AA7">DELTAGREEK($B7,100,0.01,AA$2,0.1)</f>
        <v>0.12017490151796226</v>
      </c>
      <c r="AB7" s="2" cm="1">
        <f t="array" ref="AB7">DELTAGREEK($B7,100,0.01,AB$2,0.1)</f>
        <v>0.12672496775243697</v>
      </c>
      <c r="AC7" s="2" cm="1">
        <f t="array" ref="AC7">DELTAGREEK($B7,100,0.01,AC$2,0.1)</f>
        <v>0.13316944181476806</v>
      </c>
      <c r="AD7" s="2" cm="1">
        <f t="array" ref="AD7">DELTAGREEK($B7,100,0.01,AD$2,0.1)</f>
        <v>0.13950637583498959</v>
      </c>
      <c r="AE7" s="2" cm="1">
        <f t="array" ref="AE7">DELTAGREEK($B7,100,0.01,AE$2,0.1)</f>
        <v>0.14573478640555623</v>
      </c>
      <c r="AF7" s="2" cm="1">
        <f t="array" ref="AF7">DELTAGREEK($B7,100,0.01,AF$2,0.1)</f>
        <v>0.15185446032881006</v>
      </c>
      <c r="AG7" s="2" cm="1">
        <f t="array" ref="AG7">DELTAGREEK($B7,100,0.01,AG$2,0.1)</f>
        <v>0.15786579676833712</v>
      </c>
      <c r="AH7" s="2" cm="1">
        <f t="array" ref="AH7">DELTAGREEK($B7,100,0.01,AH$2,0.1)</f>
        <v>0.16376967889779431</v>
      </c>
      <c r="AI7" s="2" cm="1">
        <f t="array" ref="AI7">DELTAGREEK($B7,100,0.01,AI$2,0.1)</f>
        <v>0.1695673694792961</v>
      </c>
      <c r="AJ7" s="2" cm="1">
        <f t="array" ref="AJ7">DELTAGREEK($B7,100,0.01,AJ$2,0.1)</f>
        <v>0.1752604258812222</v>
      </c>
      <c r="AK7" s="2" cm="1">
        <f t="array" ref="AK7">DELTAGREEK($B7,100,0.01,AK$2,0.1)</f>
        <v>0.1808506309113026</v>
      </c>
      <c r="AL7" s="2" cm="1">
        <f t="array" ref="AL7">DELTAGREEK($B7,100,0.01,AL$2,0.1)</f>
        <v>0.18633993653606787</v>
      </c>
      <c r="AM7" s="2" cm="1">
        <f t="array" ref="AM7">DELTAGREEK($B7,100,0.01,AM$2,0.1)</f>
        <v>0.19173041811595362</v>
      </c>
      <c r="AN7" s="2" cm="1">
        <f t="array" ref="AN7">DELTAGREEK($B7,100,0.01,AN$2,0.1)</f>
        <v>0.19702423723384929</v>
      </c>
      <c r="AO7" s="2" cm="1">
        <f t="array" ref="AO7">DELTAGREEK($B7,100,0.01,AO$2,0.1)</f>
        <v>0.20222361155566726</v>
      </c>
      <c r="AP7" s="2" cm="1">
        <f t="array" ref="AP7">DELTAGREEK($B7,100,0.01,AP$2,0.1)</f>
        <v>0.20733079045218472</v>
      </c>
      <c r="AQ7" s="2" cm="1">
        <f t="array" ref="AQ7">DELTAGREEK($B7,100,0.01,AQ$2,0.1)</f>
        <v>0.21234803534600569</v>
      </c>
      <c r="AR7" s="2" cm="1">
        <f t="array" ref="AR7">DELTAGREEK($B7,100,0.01,AR$2,0.1)</f>
        <v>0.2172776039371884</v>
      </c>
      <c r="AS7" s="2" cm="1">
        <f t="array" ref="AS7">DELTAGREEK($B7,100,0.01,AS$2,0.1)</f>
        <v>0.22212173761478093</v>
      </c>
      <c r="AT7" s="2" cm="1">
        <f t="array" ref="AT7">DELTAGREEK($B7,100,0.01,AT$2,0.1)</f>
        <v>0.22688265148630191</v>
      </c>
      <c r="AU7" s="2" cm="1">
        <f t="array" ref="AU7">DELTAGREEK($B7,100,0.01,AU$2,0.1)</f>
        <v>0.23156252655872406</v>
      </c>
      <c r="AV7" s="2" cm="1">
        <f t="array" ref="AV7">DELTAGREEK($B7,100,0.01,AV$2,0.1)</f>
        <v>0.23616350368730088</v>
      </c>
      <c r="AW7" s="2" cm="1">
        <f t="array" ref="AW7">DELTAGREEK($B7,100,0.01,AW$2,0.1)</f>
        <v>0.24068767897619286</v>
      </c>
      <c r="AX7" s="2" cm="1">
        <f t="array" ref="AX7">DELTAGREEK($B7,100,0.01,AX$2,0.1)</f>
        <v>0.24513710037020997</v>
      </c>
      <c r="AY7" s="2" cm="1">
        <f t="array" ref="AY7">DELTAGREEK($B7,100,0.01,AY$2,0.1)</f>
        <v>0.24951376522238838</v>
      </c>
      <c r="AZ7" s="2" cm="1">
        <f t="array" ref="AZ7">DELTAGREEK($B7,100,0.01,AZ$2,0.1)</f>
        <v>0.25381961865942948</v>
      </c>
    </row>
    <row r="8" spans="1:52" x14ac:dyDescent="0.3">
      <c r="B8" s="2">
        <v>85</v>
      </c>
      <c r="C8" s="2" cm="1">
        <f t="array" ref="C8">DELTAGREEK($B8,100,0.01,C$2,0.1)</f>
        <v>1.7727866846205845E-7</v>
      </c>
      <c r="D8" s="2" cm="1">
        <f t="array" ref="D8">DELTAGREEK($B8,100,0.01,D$2,0.1)</f>
        <v>1.8057900763335621E-4</v>
      </c>
      <c r="E8" s="2" cm="1">
        <f t="array" ref="E8">DELTAGREEK($B8,100,0.01,E$2,0.1)</f>
        <v>1.9569580318317646E-3</v>
      </c>
      <c r="F8" s="2" cm="1">
        <f t="array" ref="F8">DELTAGREEK($B8,100,0.01,F$2,0.1)</f>
        <v>6.6658842436191712E-3</v>
      </c>
      <c r="G8" s="2" cm="1">
        <f t="array" ref="G8">DELTAGREEK($B8,100,0.01,G$2,0.1)</f>
        <v>1.4178971876106394E-2</v>
      </c>
      <c r="H8" s="2" cm="1">
        <f t="array" ref="H8">DELTAGREEK($B8,100,0.01,H$2,0.1)</f>
        <v>2.3744049559651252E-2</v>
      </c>
      <c r="I8" s="2" cm="1">
        <f t="array" ref="I8">DELTAGREEK($B8,100,0.01,I$2,0.1)</f>
        <v>3.4610567414057013E-2</v>
      </c>
      <c r="J8" s="2" cm="1">
        <f t="array" ref="J8">DELTAGREEK($B8,100,0.01,J$2,0.1)</f>
        <v>4.6201796215212587E-2</v>
      </c>
      <c r="K8" s="2" cm="1">
        <f t="array" ref="K8">DELTAGREEK($B8,100,0.01,K$2,0.1)</f>
        <v>5.8114853573404242E-2</v>
      </c>
      <c r="L8" s="2" cm="1">
        <f t="array" ref="L8">DELTAGREEK($B8,100,0.01,L$2,0.1)</f>
        <v>7.0080829341433393E-2</v>
      </c>
      <c r="M8" s="2" cm="1">
        <f t="array" ref="M8">DELTAGREEK($B8,100,0.01,M$2,0.1)</f>
        <v>8.192549260938034E-2</v>
      </c>
      <c r="N8" s="2" cm="1">
        <f t="array" ref="N8">DELTAGREEK($B8,100,0.01,N$2,0.1)</f>
        <v>9.3539215441209869E-2</v>
      </c>
      <c r="O8" s="2" cm="1">
        <f t="array" ref="O8">DELTAGREEK($B8,100,0.01,O$2,0.1)</f>
        <v>0.10485577570329696</v>
      </c>
      <c r="P8" s="2" cm="1">
        <f t="array" ref="P8">DELTAGREEK($B8,100,0.01,P$2,0.1)</f>
        <v>0.11583788902827481</v>
      </c>
      <c r="Q8" s="2" cm="1">
        <f t="array" ref="Q8">DELTAGREEK($B8,100,0.01,Q$2,0.1)</f>
        <v>0.12646745134739226</v>
      </c>
      <c r="R8" s="2" cm="1">
        <f t="array" ref="R8">DELTAGREEK($B8,100,0.01,R$2,0.1)</f>
        <v>0.13673897902637114</v>
      </c>
      <c r="S8" s="2" cm="1">
        <f t="array" ref="S8">DELTAGREEK($B8,100,0.01,S$2,0.1)</f>
        <v>0.14665519595166238</v>
      </c>
      <c r="T8" s="2" cm="1">
        <f t="array" ref="T8">DELTAGREEK($B8,100,0.01,T$2,0.1)</f>
        <v>0.15622405951784835</v>
      </c>
      <c r="U8" s="2" cm="1">
        <f t="array" ref="U8">DELTAGREEK($B8,100,0.01,U$2,0.1)</f>
        <v>0.16545675341548549</v>
      </c>
      <c r="V8" s="2" cm="1">
        <f t="array" ref="V8">DELTAGREEK($B8,100,0.01,V$2,0.1)</f>
        <v>0.17436633291241277</v>
      </c>
      <c r="W8" s="2" cm="1">
        <f t="array" ref="W8">DELTAGREEK($B8,100,0.01,W$2,0.1)</f>
        <v>0.18296681273021781</v>
      </c>
      <c r="X8" s="2" cm="1">
        <f t="array" ref="X8">DELTAGREEK($B8,100,0.01,X$2,0.1)</f>
        <v>0.19127255659423448</v>
      </c>
      <c r="Y8" s="2" cm="1">
        <f t="array" ref="Y8">DELTAGREEK($B8,100,0.01,Y$2,0.1)</f>
        <v>0.19929787324630263</v>
      </c>
      <c r="Z8" s="2" cm="1">
        <f t="array" ref="Z8">DELTAGREEK($B8,100,0.01,Z$2,0.1)</f>
        <v>0.20705675417048591</v>
      </c>
      <c r="AA8" s="2" cm="1">
        <f t="array" ref="AA8">DELTAGREEK($B8,100,0.01,AA$2,0.1)</f>
        <v>0.21456270871780575</v>
      </c>
      <c r="AB8" s="2" cm="1">
        <f t="array" ref="AB8">DELTAGREEK($B8,100,0.01,AB$2,0.1)</f>
        <v>0.22182866612538996</v>
      </c>
      <c r="AC8" s="2" cm="1">
        <f t="array" ref="AC8">DELTAGREEK($B8,100,0.01,AC$2,0.1)</f>
        <v>0.22886692332481046</v>
      </c>
      <c r="AD8" s="2" cm="1">
        <f t="array" ref="AD8">DELTAGREEK($B8,100,0.01,AD$2,0.1)</f>
        <v>0.23568912387707852</v>
      </c>
      <c r="AE8" s="2" cm="1">
        <f t="array" ref="AE8">DELTAGREEK($B8,100,0.01,AE$2,0.1)</f>
        <v>0.24230625781699955</v>
      </c>
      <c r="AF8" s="2" cm="1">
        <f t="array" ref="AF8">DELTAGREEK($B8,100,0.01,AF$2,0.1)</f>
        <v>0.24872867527518139</v>
      </c>
      <c r="AG8" s="2" cm="1">
        <f t="array" ref="AG8">DELTAGREEK($B8,100,0.01,AG$2,0.1)</f>
        <v>0.25496610889936555</v>
      </c>
      <c r="AH8" s="2" cm="1">
        <f t="array" ref="AH8">DELTAGREEK($B8,100,0.01,AH$2,0.1)</f>
        <v>0.2610277016065079</v>
      </c>
      <c r="AI8" s="2" cm="1">
        <f t="array" ref="AI8">DELTAGREEK($B8,100,0.01,AI$2,0.1)</f>
        <v>0.26692203725956992</v>
      </c>
      <c r="AJ8" s="2" cm="1">
        <f t="array" ref="AJ8">DELTAGREEK($B8,100,0.01,AJ$2,0.1)</f>
        <v>0.27265717261290628</v>
      </c>
      <c r="AK8" s="2" cm="1">
        <f t="array" ref="AK8">DELTAGREEK($B8,100,0.01,AK$2,0.1)</f>
        <v>0.27824066940034548</v>
      </c>
      <c r="AL8" s="2" cm="1">
        <f t="array" ref="AL8">DELTAGREEK($B8,100,0.01,AL$2,0.1)</f>
        <v>0.28367962581513939</v>
      </c>
      <c r="AM8" s="2" cm="1">
        <f t="array" ref="AM8">DELTAGREEK($B8,100,0.01,AM$2,0.1)</f>
        <v>0.28898070689601107</v>
      </c>
      <c r="AN8" s="2" cm="1">
        <f t="array" ref="AN8">DELTAGREEK($B8,100,0.01,AN$2,0.1)</f>
        <v>0.29415017352032308</v>
      </c>
      <c r="AO8" s="2" cm="1">
        <f t="array" ref="AO8">DELTAGREEK($B8,100,0.01,AO$2,0.1)</f>
        <v>0.29919390983632926</v>
      </c>
      <c r="AP8" s="2" cm="1">
        <f t="array" ref="AP8">DELTAGREEK($B8,100,0.01,AP$2,0.1)</f>
        <v>0.30411744905751403</v>
      </c>
      <c r="AQ8" s="2" cm="1">
        <f t="array" ref="AQ8">DELTAGREEK($B8,100,0.01,AQ$2,0.1)</f>
        <v>0.30892599760451955</v>
      </c>
      <c r="AR8" s="2" cm="1">
        <f t="array" ref="AR8">DELTAGREEK($B8,100,0.01,AR$2,0.1)</f>
        <v>0.31362445762225177</v>
      </c>
      <c r="AS8" s="2" cm="1">
        <f t="array" ref="AS8">DELTAGREEK($B8,100,0.01,AS$2,0.1)</f>
        <v>0.31821744792728346</v>
      </c>
      <c r="AT8" s="2" cm="1">
        <f t="array" ref="AT8">DELTAGREEK($B8,100,0.01,AT$2,0.1)</f>
        <v>0.32270932345784897</v>
      </c>
      <c r="AU8" s="2" cm="1">
        <f t="array" ref="AU8">DELTAGREEK($B8,100,0.01,AU$2,0.1)</f>
        <v>0.32710419330856966</v>
      </c>
      <c r="AV8" s="2" cm="1">
        <f t="array" ref="AV8">DELTAGREEK($B8,100,0.01,AV$2,0.1)</f>
        <v>0.3314059374367716</v>
      </c>
      <c r="AW8" s="2" cm="1">
        <f t="array" ref="AW8">DELTAGREEK($B8,100,0.01,AW$2,0.1)</f>
        <v>0.33561822212841863</v>
      </c>
      <c r="AX8" s="2" cm="1">
        <f t="array" ref="AX8">DELTAGREEK($B8,100,0.01,AX$2,0.1)</f>
        <v>0.33974451431043723</v>
      </c>
      <c r="AY8" s="2" cm="1">
        <f t="array" ref="AY8">DELTAGREEK($B8,100,0.01,AY$2,0.1)</f>
        <v>0.34378809479337102</v>
      </c>
      <c r="AZ8" s="2" cm="1">
        <f t="array" ref="AZ8">DELTAGREEK($B8,100,0.01,AZ$2,0.1)</f>
        <v>0.34775207052445578</v>
      </c>
    </row>
    <row r="9" spans="1:52" x14ac:dyDescent="0.3">
      <c r="B9" s="2">
        <v>90</v>
      </c>
      <c r="C9" s="2" cm="1">
        <f t="array" ref="C9">DELTAGREEK($B9,100,0.01,C$2,0.1)</f>
        <v>5.1107517146906892E-4</v>
      </c>
      <c r="D9" s="2" cm="1">
        <f t="array" ref="D9">DELTAGREEK($B9,100,0.01,D$2,0.1)</f>
        <v>1.1044013907594808E-2</v>
      </c>
      <c r="E9" s="2" cm="1">
        <f t="array" ref="E9">DELTAGREEK($B9,100,0.01,E$2,0.1)</f>
        <v>3.2777626460407994E-2</v>
      </c>
      <c r="F9" s="2" cm="1">
        <f t="array" ref="F9">DELTAGREEK($B9,100,0.01,F$2,0.1)</f>
        <v>5.8088107987320337E-2</v>
      </c>
      <c r="G9" s="2" cm="1">
        <f t="array" ref="G9">DELTAGREEK($B9,100,0.01,G$2,0.1)</f>
        <v>8.318585913269437E-2</v>
      </c>
      <c r="H9" s="2" cm="1">
        <f t="array" ref="H9">DELTAGREEK($B9,100,0.01,H$2,0.1)</f>
        <v>0.10674814223186847</v>
      </c>
      <c r="I9" s="2" cm="1">
        <f t="array" ref="I9">DELTAGREEK($B9,100,0.01,I$2,0.1)</f>
        <v>0.12843922086837081</v>
      </c>
      <c r="J9" s="2" cm="1">
        <f t="array" ref="J9">DELTAGREEK($B9,100,0.01,J$2,0.1)</f>
        <v>0.14828843430084729</v>
      </c>
      <c r="K9" s="2" cm="1">
        <f t="array" ref="K9">DELTAGREEK($B9,100,0.01,K$2,0.1)</f>
        <v>0.16644856677073225</v>
      </c>
      <c r="L9" s="2" cm="1">
        <f t="array" ref="L9">DELTAGREEK($B9,100,0.01,L$2,0.1)</f>
        <v>0.18310240300676622</v>
      </c>
      <c r="M9" s="2" cm="1">
        <f t="array" ref="M9">DELTAGREEK($B9,100,0.01,M$2,0.1)</f>
        <v>0.1984274006195888</v>
      </c>
      <c r="N9" s="2" cm="1">
        <f t="array" ref="N9">DELTAGREEK($B9,100,0.01,N$2,0.1)</f>
        <v>0.21258361668522863</v>
      </c>
      <c r="O9" s="2" cm="1">
        <f t="array" ref="O9">DELTAGREEK($B9,100,0.01,O$2,0.1)</f>
        <v>0.22571097448255698</v>
      </c>
      <c r="P9" s="2" cm="1">
        <f t="array" ref="P9">DELTAGREEK($B9,100,0.01,P$2,0.1)</f>
        <v>0.23793015341014412</v>
      </c>
      <c r="Q9" s="2" cm="1">
        <f t="array" ref="Q9">DELTAGREEK($B9,100,0.01,Q$2,0.1)</f>
        <v>0.24934471602621183</v>
      </c>
      <c r="R9" s="2" cm="1">
        <f t="array" ref="R9">DELTAGREEK($B9,100,0.01,R$2,0.1)</f>
        <v>0.26004348390192422</v>
      </c>
      <c r="S9" s="2" cm="1">
        <f t="array" ref="S9">DELTAGREEK($B9,100,0.01,S$2,0.1)</f>
        <v>0.2701027730928125</v>
      </c>
      <c r="T9" s="2" cm="1">
        <f t="array" ref="T9">DELTAGREEK($B9,100,0.01,T$2,0.1)</f>
        <v>0.27958835824330464</v>
      </c>
      <c r="U9" s="2" cm="1">
        <f t="array" ref="U9">DELTAGREEK($B9,100,0.01,U$2,0.1)</f>
        <v>0.28855714353037187</v>
      </c>
      <c r="V9" s="2" cm="1">
        <f t="array" ref="V9">DELTAGREEK($B9,100,0.01,V$2,0.1)</f>
        <v>0.29705856189617313</v>
      </c>
      <c r="W9" s="2" cm="1">
        <f t="array" ref="W9">DELTAGREEK($B9,100,0.01,W$2,0.1)</f>
        <v>0.3051357381823091</v>
      </c>
      <c r="X9" s="2" cm="1">
        <f t="array" ref="X9">DELTAGREEK($B9,100,0.01,X$2,0.1)</f>
        <v>0.31282645348407856</v>
      </c>
      <c r="Y9" s="2" cm="1">
        <f t="array" ref="Y9">DELTAGREEK($B9,100,0.01,Y$2,0.1)</f>
        <v>0.32016394482469379</v>
      </c>
      <c r="Z9" s="2" cm="1">
        <f t="array" ref="Z9">DELTAGREEK($B9,100,0.01,Z$2,0.1)</f>
        <v>0.32717756948209387</v>
      </c>
      <c r="AA9" s="2" cm="1">
        <f t="array" ref="AA9">DELTAGREEK($B9,100,0.01,AA$2,0.1)</f>
        <v>0.33389335844063728</v>
      </c>
      <c r="AB9" s="2" cm="1">
        <f t="array" ref="AB9">DELTAGREEK($B9,100,0.01,AB$2,0.1)</f>
        <v>0.34033447905731729</v>
      </c>
      <c r="AC9" s="2" cm="1">
        <f t="array" ref="AC9">DELTAGREEK($B9,100,0.01,AC$2,0.1)</f>
        <v>0.34652162329709002</v>
      </c>
      <c r="AD9" s="2" cm="1">
        <f t="array" ref="AD9">DELTAGREEK($B9,100,0.01,AD$2,0.1)</f>
        <v>0.35247333480098308</v>
      </c>
      <c r="AE9" s="2" cm="1">
        <f t="array" ref="AE9">DELTAGREEK($B9,100,0.01,AE$2,0.1)</f>
        <v>0.35820628553342138</v>
      </c>
      <c r="AF9" s="2" cm="1">
        <f t="array" ref="AF9">DELTAGREEK($B9,100,0.01,AF$2,0.1)</f>
        <v>0.36373551072271876</v>
      </c>
      <c r="AG9" s="2" cm="1">
        <f t="array" ref="AG9">DELTAGREEK($B9,100,0.01,AG$2,0.1)</f>
        <v>0.36907460917439161</v>
      </c>
      <c r="AH9" s="2" cm="1">
        <f t="array" ref="AH9">DELTAGREEK($B9,100,0.01,AH$2,0.1)</f>
        <v>0.37423591472466627</v>
      </c>
      <c r="AI9" s="2" cm="1">
        <f t="array" ref="AI9">DELTAGREEK($B9,100,0.01,AI$2,0.1)</f>
        <v>0.37923064354740299</v>
      </c>
      <c r="AJ9" s="2" cm="1">
        <f t="array" ref="AJ9">DELTAGREEK($B9,100,0.01,AJ$2,0.1)</f>
        <v>0.3840690211795289</v>
      </c>
      <c r="AK9" s="2" cm="1">
        <f t="array" ref="AK9">DELTAGREEK($B9,100,0.01,AK$2,0.1)</f>
        <v>0.3887603924460919</v>
      </c>
      <c r="AL9" s="2" cm="1">
        <f t="array" ref="AL9">DELTAGREEK($B9,100,0.01,AL$2,0.1)</f>
        <v>0.39331331691285482</v>
      </c>
      <c r="AM9" s="2" cm="1">
        <f t="array" ref="AM9">DELTAGREEK($B9,100,0.01,AM$2,0.1)</f>
        <v>0.39773565204549999</v>
      </c>
      <c r="AN9" s="2" cm="1">
        <f t="array" ref="AN9">DELTAGREEK($B9,100,0.01,AN$2,0.1)</f>
        <v>0.40203462588908345</v>
      </c>
      <c r="AO9" s="2" cm="1">
        <f t="array" ref="AO9">DELTAGREEK($B9,100,0.01,AO$2,0.1)</f>
        <v>0.40621690078280426</v>
      </c>
      <c r="AP9" s="2" cm="1">
        <f t="array" ref="AP9">DELTAGREEK($B9,100,0.01,AP$2,0.1)</f>
        <v>0.4102886293803284</v>
      </c>
      <c r="AQ9" s="2" cm="1">
        <f t="array" ref="AQ9">DELTAGREEK($B9,100,0.01,AQ$2,0.1)</f>
        <v>0.41425550404442851</v>
      </c>
      <c r="AR9" s="2" cm="1">
        <f t="array" ref="AR9">DELTAGREEK($B9,100,0.01,AR$2,0.1)</f>
        <v>0.41812280051829681</v>
      </c>
      <c r="AS9" s="2" cm="1">
        <f t="array" ref="AS9">DELTAGREEK($B9,100,0.01,AS$2,0.1)</f>
        <v>0.42189541663796432</v>
      </c>
      <c r="AT9" s="2" cm="1">
        <f t="array" ref="AT9">DELTAGREEK($B9,100,0.01,AT$2,0.1)</f>
        <v>0.42557790673554369</v>
      </c>
      <c r="AU9" s="2" cm="1">
        <f t="array" ref="AU9">DELTAGREEK($B9,100,0.01,AU$2,0.1)</f>
        <v>0.42917451228726622</v>
      </c>
      <c r="AV9" s="2" cm="1">
        <f t="array" ref="AV9">DELTAGREEK($B9,100,0.01,AV$2,0.1)</f>
        <v>0.43268918928011146</v>
      </c>
      <c r="AW9" s="2" cm="1">
        <f t="array" ref="AW9">DELTAGREEK($B9,100,0.01,AW$2,0.1)</f>
        <v>0.43612563270346605</v>
      </c>
      <c r="AX9" s="2" cm="1">
        <f t="array" ref="AX9">DELTAGREEK($B9,100,0.01,AX$2,0.1)</f>
        <v>0.43948729851547702</v>
      </c>
      <c r="AY9" s="2" cm="1">
        <f t="array" ref="AY9">DELTAGREEK($B9,100,0.01,AY$2,0.1)</f>
        <v>0.44277742338577031</v>
      </c>
      <c r="AZ9" s="2" cm="1">
        <f t="array" ref="AZ9">DELTAGREEK($B9,100,0.01,AZ$2,0.1)</f>
        <v>0.44599904247550076</v>
      </c>
    </row>
    <row r="10" spans="1:52" x14ac:dyDescent="0.3">
      <c r="B10" s="2">
        <v>95</v>
      </c>
      <c r="C10" s="2" cm="1">
        <f t="array" ref="C10">DELTAGREEK($B10,100,0.01,C$2,0.1)</f>
        <v>5.7674144516076838E-2</v>
      </c>
      <c r="D10" s="2" cm="1">
        <f t="array" ref="D10">DELTAGREEK($B10,100,0.01,D$2,0.1)</f>
        <v>0.14009983864577802</v>
      </c>
      <c r="E10" s="2" cm="1">
        <f t="array" ref="E10">DELTAGREEK($B10,100,0.01,E$2,0.1)</f>
        <v>0.19646253524083446</v>
      </c>
      <c r="F10" s="2" cm="1">
        <f t="array" ref="F10">DELTAGREEK($B10,100,0.01,F$2,0.1)</f>
        <v>0.23694940812133697</v>
      </c>
      <c r="G10" s="2" cm="1">
        <f t="array" ref="G10">DELTAGREEK($B10,100,0.01,G$2,0.1)</f>
        <v>0.26784925915213059</v>
      </c>
      <c r="H10" s="2" cm="1">
        <f t="array" ref="H10">DELTAGREEK($B10,100,0.01,H$2,0.1)</f>
        <v>0.29253156538610559</v>
      </c>
      <c r="I10" s="2" cm="1">
        <f t="array" ref="I10">DELTAGREEK($B10,100,0.01,I$2,0.1)</f>
        <v>0.31292611764332445</v>
      </c>
      <c r="J10" s="2" cm="1">
        <f t="array" ref="J10">DELTAGREEK($B10,100,0.01,J$2,0.1)</f>
        <v>0.33021760012856716</v>
      </c>
      <c r="K10" s="2" cm="1">
        <f t="array" ref="K10">DELTAGREEK($B10,100,0.01,K$2,0.1)</f>
        <v>0.34517641190667869</v>
      </c>
      <c r="L10" s="2" cm="1">
        <f t="array" ref="L10">DELTAGREEK($B10,100,0.01,L$2,0.1)</f>
        <v>0.35832748828828459</v>
      </c>
      <c r="M10" s="2" cm="1">
        <f t="array" ref="M10">DELTAGREEK($B10,100,0.01,M$2,0.1)</f>
        <v>0.37004240212686801</v>
      </c>
      <c r="N10" s="2" cm="1">
        <f t="array" ref="N10">DELTAGREEK($B10,100,0.01,N$2,0.1)</f>
        <v>0.38059258942421637</v>
      </c>
      <c r="O10" s="2" cm="1">
        <f t="array" ref="O10">DELTAGREEK($B10,100,0.01,O$2,0.1)</f>
        <v>0.39018164443398484</v>
      </c>
      <c r="P10" s="2" cm="1">
        <f t="array" ref="P10">DELTAGREEK($B10,100,0.01,P$2,0.1)</f>
        <v>0.39896574100733556</v>
      </c>
      <c r="Q10" s="2" cm="1">
        <f t="array" ref="Q10">DELTAGREEK($B10,100,0.01,Q$2,0.1)</f>
        <v>0.4070670090892004</v>
      </c>
      <c r="R10" s="2" cm="1">
        <f t="array" ref="R10">DELTAGREEK($B10,100,0.01,R$2,0.1)</f>
        <v>0.41458256684793182</v>
      </c>
      <c r="S10" s="2" cm="1">
        <f t="array" ref="S10">DELTAGREEK($B10,100,0.01,S$2,0.1)</f>
        <v>0.42159078251774884</v>
      </c>
      <c r="T10" s="2" cm="1">
        <f t="array" ref="T10">DELTAGREEK($B10,100,0.01,T$2,0.1)</f>
        <v>0.42815571724814666</v>
      </c>
      <c r="U10" s="2" cm="1">
        <f t="array" ref="U10">DELTAGREEK($B10,100,0.01,U$2,0.1)</f>
        <v>0.43433034242333324</v>
      </c>
      <c r="V10" s="2" cm="1">
        <f t="array" ref="V10">DELTAGREEK($B10,100,0.01,V$2,0.1)</f>
        <v>0.44015891222205472</v>
      </c>
      <c r="W10" s="2" cm="1">
        <f t="array" ref="W10">DELTAGREEK($B10,100,0.01,W$2,0.1)</f>
        <v>0.4456787419001188</v>
      </c>
      <c r="X10" s="2" cm="1">
        <f t="array" ref="X10">DELTAGREEK($B10,100,0.01,X$2,0.1)</f>
        <v>0.4509215602938963</v>
      </c>
      <c r="Y10" s="2" cm="1">
        <f t="array" ref="Y10">DELTAGREEK($B10,100,0.01,Y$2,0.1)</f>
        <v>0.45591455219490995</v>
      </c>
      <c r="Z10" s="2" cm="1">
        <f t="array" ref="Z10">DELTAGREEK($B10,100,0.01,Z$2,0.1)</f>
        <v>0.46068117142946274</v>
      </c>
      <c r="AA10" s="2" cm="1">
        <f t="array" ref="AA10">DELTAGREEK($B10,100,0.01,AA$2,0.1)</f>
        <v>0.46524178208363065</v>
      </c>
      <c r="AB10" s="2" cm="1">
        <f t="array" ref="AB10">DELTAGREEK($B10,100,0.01,AB$2,0.1)</f>
        <v>0.4696141693105278</v>
      </c>
      <c r="AC10" s="2" cm="1">
        <f t="array" ref="AC10">DELTAGREEK($B10,100,0.01,AC$2,0.1)</f>
        <v>0.4738139500277308</v>
      </c>
      <c r="AD10" s="2" cm="1">
        <f t="array" ref="AD10">DELTAGREEK($B10,100,0.01,AD$2,0.1)</f>
        <v>0.47785490595601071</v>
      </c>
      <c r="AE10" s="2" cm="1">
        <f t="array" ref="AE10">DELTAGREEK($B10,100,0.01,AE$2,0.1)</f>
        <v>0.48174925582644129</v>
      </c>
      <c r="AF10" s="2" cm="1">
        <f t="array" ref="AF10">DELTAGREEK($B10,100,0.01,AF$2,0.1)</f>
        <v>0.48550787950516516</v>
      </c>
      <c r="AG10" s="2" cm="1">
        <f t="array" ref="AG10">DELTAGREEK($B10,100,0.01,AG$2,0.1)</f>
        <v>0.48914050379315976</v>
      </c>
      <c r="AH10" s="2" cm="1">
        <f t="array" ref="AH10">DELTAGREEK($B10,100,0.01,AH$2,0.1)</f>
        <v>0.49265585743875995</v>
      </c>
      <c r="AI10" s="2" cm="1">
        <f t="array" ref="AI10">DELTAGREEK($B10,100,0.01,AI$2,0.1)</f>
        <v>0.49606180123707883</v>
      </c>
      <c r="AJ10" s="2" cm="1">
        <f t="array" ref="AJ10">DELTAGREEK($B10,100,0.01,AJ$2,0.1)</f>
        <v>0.49936543783154741</v>
      </c>
      <c r="AK10" s="2" cm="1">
        <f t="array" ref="AK10">DELTAGREEK($B10,100,0.01,AK$2,0.1)</f>
        <v>0.50257320487151724</v>
      </c>
      <c r="AL10" s="2" cm="1">
        <f t="array" ref="AL10">DELTAGREEK($B10,100,0.01,AL$2,0.1)</f>
        <v>0.5056909544396696</v>
      </c>
      <c r="AM10" s="2" cm="1">
        <f t="array" ref="AM10">DELTAGREEK($B10,100,0.01,AM$2,0.1)</f>
        <v>0.50872402108847026</v>
      </c>
      <c r="AN10" s="2" cm="1">
        <f t="array" ref="AN10">DELTAGREEK($B10,100,0.01,AN$2,0.1)</f>
        <v>0.5116772803756795</v>
      </c>
      <c r="AO10" s="2" cm="1">
        <f t="array" ref="AO10">DELTAGREEK($B10,100,0.01,AO$2,0.1)</f>
        <v>0.51455519943517491</v>
      </c>
      <c r="AP10" s="2" cm="1">
        <f t="array" ref="AP10">DELTAGREEK($B10,100,0.01,AP$2,0.1)</f>
        <v>0.51736188083892132</v>
      </c>
      <c r="AQ10" s="2" cm="1">
        <f t="array" ref="AQ10">DELTAGREEK($B10,100,0.01,AQ$2,0.1)</f>
        <v>0.52010110078223115</v>
      </c>
      <c r="AR10" s="2" cm="1">
        <f t="array" ref="AR10">DELTAGREEK($B10,100,0.01,AR$2,0.1)</f>
        <v>0.52277634244495297</v>
      </c>
      <c r="AS10" s="2" cm="1">
        <f t="array" ref="AS10">DELTAGREEK($B10,100,0.01,AS$2,0.1)</f>
        <v>0.52539082523635683</v>
      </c>
      <c r="AT10" s="2" cm="1">
        <f t="array" ref="AT10">DELTAGREEK($B10,100,0.01,AT$2,0.1)</f>
        <v>0.52794753051395849</v>
      </c>
      <c r="AU10" s="2" cm="1">
        <f t="array" ref="AU10">DELTAGREEK($B10,100,0.01,AU$2,0.1)</f>
        <v>0.53044922427066177</v>
      </c>
      <c r="AV10" s="2" cm="1">
        <f t="array" ref="AV10">DELTAGREEK($B10,100,0.01,AV$2,0.1)</f>
        <v>0.53289847720605765</v>
      </c>
      <c r="AW10" s="2" cm="1">
        <f t="array" ref="AW10">DELTAGREEK($B10,100,0.01,AW$2,0.1)</f>
        <v>0.53529768253304311</v>
      </c>
      <c r="AX10" s="2" cm="1">
        <f t="array" ref="AX10">DELTAGREEK($B10,100,0.01,AX$2,0.1)</f>
        <v>0.53764907181744637</v>
      </c>
      <c r="AY10" s="2" cm="1">
        <f t="array" ref="AY10">DELTAGREEK($B10,100,0.01,AY$2,0.1)</f>
        <v>0.53995472910393039</v>
      </c>
      <c r="AZ10" s="2" cm="1">
        <f t="array" ref="AZ10">DELTAGREEK($B10,100,0.01,AZ$2,0.1)</f>
        <v>0.54221660354441636</v>
      </c>
    </row>
    <row r="11" spans="1:52" x14ac:dyDescent="0.3">
      <c r="B11" s="2">
        <v>100</v>
      </c>
      <c r="C11" s="2" cm="1">
        <f t="array" ref="C11">DELTAGREEK($B11,100,0.01,C$2,0.1)</f>
        <v>0.51891639999929629</v>
      </c>
      <c r="D11" s="2" cm="1">
        <f t="array" ref="D11">DELTAGREEK($B11,100,0.01,D$2,0.1)</f>
        <v>0.5267418038869226</v>
      </c>
      <c r="E11" s="2" cm="1">
        <f t="array" ref="E11">DELTAGREEK($B11,100,0.01,E$2,0.1)</f>
        <v>0.53273961671267711</v>
      </c>
      <c r="F11" s="2" cm="1">
        <f t="array" ref="F11">DELTAGREEK($B11,100,0.01,F$2,0.1)</f>
        <v>0.53779029390666466</v>
      </c>
      <c r="G11" s="2" cm="1">
        <f t="array" ref="G11">DELTAGREEK($B11,100,0.01,G$2,0.1)</f>
        <v>0.54223501331161406</v>
      </c>
      <c r="H11" s="2" cm="1">
        <f t="array" ref="H11">DELTAGREEK($B11,100,0.01,H$2,0.1)</f>
        <v>0.54624882106468031</v>
      </c>
      <c r="I11" s="2" cm="1">
        <f t="array" ref="I11">DELTAGREEK($B11,100,0.01,I$2,0.1)</f>
        <v>0.54993574324296035</v>
      </c>
      <c r="J11" s="2" cm="1">
        <f t="array" ref="J11">DELTAGREEK($B11,100,0.01,J$2,0.1)</f>
        <v>0.55336358492889404</v>
      </c>
      <c r="K11" s="2" cm="1">
        <f t="array" ref="K11">DELTAGREEK($B11,100,0.01,K$2,0.1)</f>
        <v>0.55657946195545982</v>
      </c>
      <c r="L11" s="2" cm="1">
        <f t="array" ref="L11">DELTAGREEK($B11,100,0.01,L$2,0.1)</f>
        <v>0.5596176923702425</v>
      </c>
      <c r="M11" s="2" cm="1">
        <f t="array" ref="M11">DELTAGREEK($B11,100,0.01,M$2,0.1)</f>
        <v>0.56250419357487125</v>
      </c>
      <c r="N11" s="2" cm="1">
        <f t="array" ref="N11">DELTAGREEK($B11,100,0.01,N$2,0.1)</f>
        <v>0.56525910863091922</v>
      </c>
      <c r="O11" s="2" cm="1">
        <f t="array" ref="O11">DELTAGREEK($B11,100,0.01,O$2,0.1)</f>
        <v>0.56789846248781028</v>
      </c>
      <c r="P11" s="2" cm="1">
        <f t="array" ref="P11">DELTAGREEK($B11,100,0.01,P$2,0.1)</f>
        <v>0.57043525317537325</v>
      </c>
      <c r="Q11" s="2" cm="1">
        <f t="array" ref="Q11">DELTAGREEK($B11,100,0.01,Q$2,0.1)</f>
        <v>0.57288019711595339</v>
      </c>
      <c r="R11" s="2" cm="1">
        <f t="array" ref="R11">DELTAGREEK($B11,100,0.01,R$2,0.1)</f>
        <v>0.57524225381748262</v>
      </c>
      <c r="S11" s="2" cm="1">
        <f t="array" ref="S11">DELTAGREEK($B11,100,0.01,S$2,0.1)</f>
        <v>0.57752900488282433</v>
      </c>
      <c r="T11" s="2" cm="1">
        <f t="array" ref="T11">DELTAGREEK($B11,100,0.01,T$2,0.1)</f>
        <v>0.57974693392650745</v>
      </c>
      <c r="U11" s="2" cm="1">
        <f t="array" ref="U11">DELTAGREEK($B11,100,0.01,U$2,0.1)</f>
        <v>0.58190163734082867</v>
      </c>
      <c r="V11" s="2" cm="1">
        <f t="array" ref="V11">DELTAGREEK($B11,100,0.01,V$2,0.1)</f>
        <v>0.58399798571368178</v>
      </c>
      <c r="W11" s="2" cm="1">
        <f t="array" ref="W11">DELTAGREEK($B11,100,0.01,W$2,0.1)</f>
        <v>0.58604024932793053</v>
      </c>
      <c r="X11" s="2" cm="1">
        <f t="array" ref="X11">DELTAGREEK($B11,100,0.01,X$2,0.1)</f>
        <v>0.58803219705493692</v>
      </c>
      <c r="Y11" s="2" cm="1">
        <f t="array" ref="Y11">DELTAGREEK($B11,100,0.01,Y$2,0.1)</f>
        <v>0.5899771752288796</v>
      </c>
      <c r="Z11" s="2" cm="1">
        <f t="array" ref="Z11">DELTAGREEK($B11,100,0.01,Z$2,0.1)</f>
        <v>0.59187817124380615</v>
      </c>
      <c r="AA11" s="2" cm="1">
        <f t="array" ref="AA11">DELTAGREEK($B11,100,0.01,AA$2,0.1)</f>
        <v>0.59373786534231576</v>
      </c>
      <c r="AB11" s="2" cm="1">
        <f t="array" ref="AB11">DELTAGREEK($B11,100,0.01,AB$2,0.1)</f>
        <v>0.5955586731705319</v>
      </c>
      <c r="AC11" s="2" cm="1">
        <f t="array" ref="AC11">DELTAGREEK($B11,100,0.01,AC$2,0.1)</f>
        <v>0.59734278103568972</v>
      </c>
      <c r="AD11" s="2" cm="1">
        <f t="array" ref="AD11">DELTAGREEK($B11,100,0.01,AD$2,0.1)</f>
        <v>0.59909217534027071</v>
      </c>
      <c r="AE11" s="2" cm="1">
        <f t="array" ref="AE11">DELTAGREEK($B11,100,0.01,AE$2,0.1)</f>
        <v>0.60080866732714822</v>
      </c>
      <c r="AF11" s="2" cm="1">
        <f t="array" ref="AF11">DELTAGREEK($B11,100,0.01,AF$2,0.1)</f>
        <v>0.60249391401788088</v>
      </c>
      <c r="AG11" s="2" cm="1">
        <f t="array" ref="AG11">DELTAGREEK($B11,100,0.01,AG$2,0.1)</f>
        <v>0.60414943603659454</v>
      </c>
      <c r="AH11" s="2" cm="1">
        <f t="array" ref="AH11">DELTAGREEK($B11,100,0.01,AH$2,0.1)</f>
        <v>0.60577663286776451</v>
      </c>
      <c r="AI11" s="2" cm="1">
        <f t="array" ref="AI11">DELTAGREEK($B11,100,0.01,AI$2,0.1)</f>
        <v>0.60737679598563687</v>
      </c>
      <c r="AJ11" s="2" cm="1">
        <f t="array" ref="AJ11">DELTAGREEK($B11,100,0.01,AJ$2,0.1)</f>
        <v>0.60895112020740272</v>
      </c>
      <c r="AK11" s="2" cm="1">
        <f t="array" ref="AK11">DELTAGREEK($B11,100,0.01,AK$2,0.1)</f>
        <v>0.61050071355539248</v>
      </c>
      <c r="AL11" s="2" cm="1">
        <f t="array" ref="AL11">DELTAGREEK($B11,100,0.01,AL$2,0.1)</f>
        <v>0.6120266058609285</v>
      </c>
      <c r="AM11" s="2" cm="1">
        <f t="array" ref="AM11">DELTAGREEK($B11,100,0.01,AM$2,0.1)</f>
        <v>0.61352975630075135</v>
      </c>
      <c r="AN11" s="2" cm="1">
        <f t="array" ref="AN11">DELTAGREEK($B11,100,0.01,AN$2,0.1)</f>
        <v>0.61501106002361017</v>
      </c>
      <c r="AO11" s="2" cm="1">
        <f t="array" ref="AO11">DELTAGREEK($B11,100,0.01,AO$2,0.1)</f>
        <v>0.61647135399782416</v>
      </c>
      <c r="AP11" s="2" cm="1">
        <f t="array" ref="AP11">DELTAGREEK($B11,100,0.01,AP$2,0.1)</f>
        <v>0.61791142218895267</v>
      </c>
      <c r="AQ11" s="2" cm="1">
        <f t="array" ref="AQ11">DELTAGREEK($B11,100,0.01,AQ$2,0.1)</f>
        <v>0.61933200015909173</v>
      </c>
      <c r="AR11" s="2" cm="1">
        <f t="array" ref="AR11">DELTAGREEK($B11,100,0.01,AR$2,0.1)</f>
        <v>0.62073377916488592</v>
      </c>
      <c r="AS11" s="2" cm="1">
        <f t="array" ref="AS11">DELTAGREEK($B11,100,0.01,AS$2,0.1)</f>
        <v>0.62211740981949015</v>
      </c>
      <c r="AT11" s="2" cm="1">
        <f t="array" ref="AT11">DELTAGREEK($B11,100,0.01,AT$2,0.1)</f>
        <v>0.62348350537390962</v>
      </c>
      <c r="AU11" s="2" cm="1">
        <f t="array" ref="AU11">DELTAGREEK($B11,100,0.01,AU$2,0.1)</f>
        <v>0.62483264466500554</v>
      </c>
      <c r="AV11" s="2" cm="1">
        <f t="array" ref="AV11">DELTAGREEK($B11,100,0.01,AV$2,0.1)</f>
        <v>0.62616537477066125</v>
      </c>
      <c r="AW11" s="2" cm="1">
        <f t="array" ref="AW11">DELTAGREEK($B11,100,0.01,AW$2,0.1)</f>
        <v>0.6274822134069169</v>
      </c>
      <c r="AX11" s="2" cm="1">
        <f t="array" ref="AX11">DELTAGREEK($B11,100,0.01,AX$2,0.1)</f>
        <v>0.62878365109708745</v>
      </c>
      <c r="AY11" s="2" cm="1">
        <f t="array" ref="AY11">DELTAGREEK($B11,100,0.01,AY$2,0.1)</f>
        <v>0.63007015313884207</v>
      </c>
      <c r="AZ11" s="2" cm="1">
        <f t="array" ref="AZ11">DELTAGREEK($B11,100,0.01,AZ$2,0.1)</f>
        <v>0.63134216139179089</v>
      </c>
    </row>
    <row r="12" spans="1:52" x14ac:dyDescent="0.3">
      <c r="B12" s="2">
        <v>105</v>
      </c>
      <c r="C12" s="2" cm="1">
        <f t="array" ref="C12">DELTAGREEK($B12,100,0.01,C$2,0.1)</f>
        <v>0.94411804837488877</v>
      </c>
      <c r="D12" s="2" cm="1">
        <f t="array" ref="D12">DELTAGREEK($B12,100,0.01,D$2,0.1)</f>
        <v>0.87658089249568349</v>
      </c>
      <c r="E12" s="2" cm="1">
        <f t="array" ref="E12">DELTAGREEK($B12,100,0.01,E$2,0.1)</f>
        <v>0.83470864554501079</v>
      </c>
      <c r="F12" s="2" cm="1">
        <f t="array" ref="F12">DELTAGREEK($B12,100,0.01,F$2,0.1)</f>
        <v>0.80683951354982253</v>
      </c>
      <c r="G12" s="2" cm="1">
        <f t="array" ref="G12">DELTAGREEK($B12,100,0.01,G$2,0.1)</f>
        <v>0.7870023302677005</v>
      </c>
      <c r="H12" s="2" cm="1">
        <f t="array" ref="H12">DELTAGREEK($B12,100,0.01,H$2,0.1)</f>
        <v>0.77218677368637112</v>
      </c>
      <c r="I12" s="2" cm="1">
        <f t="array" ref="I12">DELTAGREEK($B12,100,0.01,I$2,0.1)</f>
        <v>0.76073008250523411</v>
      </c>
      <c r="J12" s="2" cm="1">
        <f t="array" ref="J12">DELTAGREEK($B12,100,0.01,J$2,0.1)</f>
        <v>0.75163843630541693</v>
      </c>
      <c r="K12" s="2" cm="1">
        <f t="array" ref="K12">DELTAGREEK($B12,100,0.01,K$2,0.1)</f>
        <v>0.74427963343394432</v>
      </c>
      <c r="L12" s="2" cm="1">
        <f t="array" ref="L12">DELTAGREEK($B12,100,0.01,L$2,0.1)</f>
        <v>0.73823114549048119</v>
      </c>
      <c r="M12" s="2" cm="1">
        <f t="array" ref="M12">DELTAGREEK($B12,100,0.01,M$2,0.1)</f>
        <v>0.73319911077777067</v>
      </c>
      <c r="N12" s="2" cm="1">
        <f t="array" ref="N12">DELTAGREEK($B12,100,0.01,N$2,0.1)</f>
        <v>0.72897237035085394</v>
      </c>
      <c r="O12" s="2" cm="1">
        <f t="array" ref="O12">DELTAGREEK($B12,100,0.01,O$2,0.1)</f>
        <v>0.72539500608617968</v>
      </c>
      <c r="P12" s="2" cm="1">
        <f t="array" ref="P12">DELTAGREEK($B12,100,0.01,P$2,0.1)</f>
        <v>0.72234920878700581</v>
      </c>
      <c r="Q12" s="2" cm="1">
        <f t="array" ref="Q12">DELTAGREEK($B12,100,0.01,Q$2,0.1)</f>
        <v>0.71974419236044374</v>
      </c>
      <c r="R12" s="2" cm="1">
        <f t="array" ref="R12">DELTAGREEK($B12,100,0.01,R$2,0.1)</f>
        <v>0.71750879197376316</v>
      </c>
      <c r="S12" s="2" cm="1">
        <f t="array" ref="S12">DELTAGREEK($B12,100,0.01,S$2,0.1)</f>
        <v>0.71558638607725866</v>
      </c>
      <c r="T12" s="2" cm="1">
        <f t="array" ref="T12">DELTAGREEK($B12,100,0.01,T$2,0.1)</f>
        <v>0.71393132917372026</v>
      </c>
      <c r="U12" s="2" cm="1">
        <f t="array" ref="U12">DELTAGREEK($B12,100,0.01,U$2,0.1)</f>
        <v>0.71250639302625385</v>
      </c>
      <c r="V12" s="2" cm="1">
        <f t="array" ref="V12">DELTAGREEK($B12,100,0.01,V$2,0.1)</f>
        <v>0.71128089691736807</v>
      </c>
      <c r="W12" s="2" cm="1">
        <f t="array" ref="W12">DELTAGREEK($B12,100,0.01,W$2,0.1)</f>
        <v>0.71022931861784977</v>
      </c>
      <c r="X12" s="2" cm="1">
        <f t="array" ref="X12">DELTAGREEK($B12,100,0.01,X$2,0.1)</f>
        <v>0.70933024702161462</v>
      </c>
      <c r="Y12" s="2" cm="1">
        <f t="array" ref="Y12">DELTAGREEK($B12,100,0.01,Y$2,0.1)</f>
        <v>0.70856558172848372</v>
      </c>
      <c r="Z12" s="2" cm="1">
        <f t="array" ref="Z12">DELTAGREEK($B12,100,0.01,Z$2,0.1)</f>
        <v>0.7079199138464588</v>
      </c>
      <c r="AA12" s="2" cm="1">
        <f t="array" ref="AA12">DELTAGREEK($B12,100,0.01,AA$2,0.1)</f>
        <v>0.70738004162955448</v>
      </c>
      <c r="AB12" s="2" cm="1">
        <f t="array" ref="AB12">DELTAGREEK($B12,100,0.01,AB$2,0.1)</f>
        <v>0.70693458771362583</v>
      </c>
      <c r="AC12" s="2" cm="1">
        <f t="array" ref="AC12">DELTAGREEK($B12,100,0.01,AC$2,0.1)</f>
        <v>0.70657369379706458</v>
      </c>
      <c r="AD12" s="2" cm="1">
        <f t="array" ref="AD12">DELTAGREEK($B12,100,0.01,AD$2,0.1)</f>
        <v>0.70628877498747411</v>
      </c>
      <c r="AE12" s="2" cm="1">
        <f t="array" ref="AE12">DELTAGREEK($B12,100,0.01,AE$2,0.1)</f>
        <v>0.70607232057134661</v>
      </c>
      <c r="AF12" s="2" cm="1">
        <f t="array" ref="AF12">DELTAGREEK($B12,100,0.01,AF$2,0.1)</f>
        <v>0.70591773123367962</v>
      </c>
      <c r="AG12" s="2" cm="1">
        <f t="array" ref="AG12">DELTAGREEK($B12,100,0.01,AG$2,0.1)</f>
        <v>0.70581918514023934</v>
      </c>
      <c r="AH12" s="2" cm="1">
        <f t="array" ref="AH12">DELTAGREEK($B12,100,0.01,AH$2,0.1)</f>
        <v>0.70577152705536794</v>
      </c>
      <c r="AI12" s="2" cm="1">
        <f t="array" ref="AI12">DELTAGREEK($B12,100,0.01,AI$2,0.1)</f>
        <v>0.70577017598045377</v>
      </c>
      <c r="AJ12" s="2" cm="1">
        <f t="array" ref="AJ12">DELTAGREEK($B12,100,0.01,AJ$2,0.1)</f>
        <v>0.7058110477859646</v>
      </c>
      <c r="AK12" s="2" cm="1">
        <f t="array" ref="AK12">DELTAGREEK($B12,100,0.01,AK$2,0.1)</f>
        <v>0.70589049006026316</v>
      </c>
      <c r="AL12" s="2" cm="1">
        <f t="array" ref="AL12">DELTAGREEK($B12,100,0.01,AL$2,0.1)</f>
        <v>0.7060052269732483</v>
      </c>
      <c r="AM12" s="2" cm="1">
        <f t="array" ref="AM12">DELTAGREEK($B12,100,0.01,AM$2,0.1)</f>
        <v>0.70615231239675857</v>
      </c>
      <c r="AN12" s="2" cm="1">
        <f t="array" ref="AN12">DELTAGREEK($B12,100,0.01,AN$2,0.1)</f>
        <v>0.70632908986904663</v>
      </c>
      <c r="AO12" s="2" cm="1">
        <f t="array" ref="AO12">DELTAGREEK($B12,100,0.01,AO$2,0.1)</f>
        <v>0.70653315826126828</v>
      </c>
      <c r="AP12" s="2" cm="1">
        <f t="array" ref="AP12">DELTAGREEK($B12,100,0.01,AP$2,0.1)</f>
        <v>0.70676234221741052</v>
      </c>
      <c r="AQ12" s="2" cm="1">
        <f t="array" ref="AQ12">DELTAGREEK($B12,100,0.01,AQ$2,0.1)</f>
        <v>0.70701466660856827</v>
      </c>
      <c r="AR12" s="2" cm="1">
        <f t="array" ref="AR12">DELTAGREEK($B12,100,0.01,AR$2,0.1)</f>
        <v>0.70728833437781802</v>
      </c>
      <c r="AS12" s="2" cm="1">
        <f t="array" ref="AS12">DELTAGREEK($B12,100,0.01,AS$2,0.1)</f>
        <v>0.7075817072606565</v>
      </c>
      <c r="AT12" s="2" cm="1">
        <f t="array" ref="AT12">DELTAGREEK($B12,100,0.01,AT$2,0.1)</f>
        <v>0.70789328895375159</v>
      </c>
      <c r="AU12" s="2" cm="1">
        <f t="array" ref="AU12">DELTAGREEK($B12,100,0.01,AU$2,0.1)</f>
        <v>0.70822171037601489</v>
      </c>
      <c r="AV12" s="2" cm="1">
        <f t="array" ref="AV12">DELTAGREEK($B12,100,0.01,AV$2,0.1)</f>
        <v>0.70856571672412105</v>
      </c>
      <c r="AW12" s="2" cm="1">
        <f t="array" ref="AW12">DELTAGREEK($B12,100,0.01,AW$2,0.1)</f>
        <v>0.70892415607223513</v>
      </c>
      <c r="AX12" s="2" cm="1">
        <f t="array" ref="AX12">DELTAGREEK($B12,100,0.01,AX$2,0.1)</f>
        <v>0.70929596930491157</v>
      </c>
      <c r="AY12" s="2" cm="1">
        <f t="array" ref="AY12">DELTAGREEK($B12,100,0.01,AY$2,0.1)</f>
        <v>0.70968018120454324</v>
      </c>
      <c r="AZ12" s="2" cm="1">
        <f t="array" ref="AZ12">DELTAGREEK($B12,100,0.01,AZ$2,0.1)</f>
        <v>0.71007589254163683</v>
      </c>
    </row>
    <row r="13" spans="1:52" x14ac:dyDescent="0.3">
      <c r="B13" s="2">
        <v>110</v>
      </c>
      <c r="C13" s="2" cm="1">
        <f t="array" ref="C13">DELTAGREEK($B13,100,0.01,C$2,0.1)</f>
        <v>0.99889850177275419</v>
      </c>
      <c r="D13" s="2" cm="1">
        <f t="array" ref="D13">DELTAGREEK($B13,100,0.01,D$2,0.1)</f>
        <v>0.98603550784275051</v>
      </c>
      <c r="E13" s="2" cm="1">
        <f t="array" ref="E13">DELTAGREEK($B13,100,0.01,E$2,0.1)</f>
        <v>0.96579345861513155</v>
      </c>
      <c r="F13" s="2" cm="1">
        <f t="array" ref="F13">DELTAGREEK($B13,100,0.01,F$2,0.1)</f>
        <v>0.94540611613468872</v>
      </c>
      <c r="G13" s="2" cm="1">
        <f t="array" ref="G13">DELTAGREEK($B13,100,0.01,G$2,0.1)</f>
        <v>0.9270206788480384</v>
      </c>
      <c r="H13" s="2" cm="1">
        <f t="array" ref="H13">DELTAGREEK($B13,100,0.01,H$2,0.1)</f>
        <v>0.910951676948353</v>
      </c>
      <c r="I13" s="2" cm="1">
        <f t="array" ref="I13">DELTAGREEK($B13,100,0.01,I$2,0.1)</f>
        <v>0.8970058106562373</v>
      </c>
      <c r="J13" s="2" cm="1">
        <f t="array" ref="J13">DELTAGREEK($B13,100,0.01,J$2,0.1)</f>
        <v>0.88488455046683934</v>
      </c>
      <c r="K13" s="2" cm="1">
        <f t="array" ref="K13">DELTAGREEK($B13,100,0.01,K$2,0.1)</f>
        <v>0.87430092401455395</v>
      </c>
      <c r="L13" s="2" cm="1">
        <f t="array" ref="L13">DELTAGREEK($B13,100,0.01,L$2,0.1)</f>
        <v>0.86500851994546202</v>
      </c>
      <c r="M13" s="2" cm="1">
        <f t="array" ref="M13">DELTAGREEK($B13,100,0.01,M$2,0.1)</f>
        <v>0.85680360128681021</v>
      </c>
      <c r="N13" s="2" cm="1">
        <f t="array" ref="N13">DELTAGREEK($B13,100,0.01,N$2,0.1)</f>
        <v>0.84951971797288017</v>
      </c>
      <c r="O13" s="2" cm="1">
        <f t="array" ref="O13">DELTAGREEK($B13,100,0.01,O$2,0.1)</f>
        <v>0.84302105265016702</v>
      </c>
      <c r="P13" s="2" cm="1">
        <f t="array" ref="P13">DELTAGREEK($B13,100,0.01,P$2,0.1)</f>
        <v>0.83719638729960366</v>
      </c>
      <c r="Q13" s="2" cm="1">
        <f t="array" ref="Q13">DELTAGREEK($B13,100,0.01,Q$2,0.1)</f>
        <v>0.83195412227184673</v>
      </c>
      <c r="R13" s="2" cm="1">
        <f t="array" ref="R13">DELTAGREEK($B13,100,0.01,R$2,0.1)</f>
        <v>0.82721831062849005</v>
      </c>
      <c r="S13" s="2" cm="1">
        <f t="array" ref="S13">DELTAGREEK($B13,100,0.01,S$2,0.1)</f>
        <v>0.82292554427765707</v>
      </c>
      <c r="T13" s="2" cm="1">
        <f t="array" ref="T13">DELTAGREEK($B13,100,0.01,T$2,0.1)</f>
        <v>0.81902251757027233</v>
      </c>
      <c r="U13" s="2" cm="1">
        <f t="array" ref="U13">DELTAGREEK($B13,100,0.01,U$2,0.1)</f>
        <v>0.8154641178418276</v>
      </c>
      <c r="V13" s="2" cm="1">
        <f t="array" ref="V13">DELTAGREEK($B13,100,0.01,V$2,0.1)</f>
        <v>0.81221192244611107</v>
      </c>
      <c r="W13" s="2" cm="1">
        <f t="array" ref="W13">DELTAGREEK($B13,100,0.01,W$2,0.1)</f>
        <v>0.80923300896921235</v>
      </c>
      <c r="X13" s="2" cm="1">
        <f t="array" ref="X13">DELTAGREEK($B13,100,0.01,X$2,0.1)</f>
        <v>0.80649900733468938</v>
      </c>
      <c r="Y13" s="2" cm="1">
        <f t="array" ref="Y13">DELTAGREEK($B13,100,0.01,Y$2,0.1)</f>
        <v>0.80398533958806007</v>
      </c>
      <c r="Z13" s="2" cm="1">
        <f t="array" ref="Z13">DELTAGREEK($B13,100,0.01,Z$2,0.1)</f>
        <v>0.80167060612202534</v>
      </c>
      <c r="AA13" s="2" cm="1">
        <f t="array" ref="AA13">DELTAGREEK($B13,100,0.01,AA$2,0.1)</f>
        <v>0.79953608687521549</v>
      </c>
      <c r="AB13" s="2" cm="1">
        <f t="array" ref="AB13">DELTAGREEK($B13,100,0.01,AB$2,0.1)</f>
        <v>0.79756533338085844</v>
      </c>
      <c r="AC13" s="2" cm="1">
        <f t="array" ref="AC13">DELTAGREEK($B13,100,0.01,AC$2,0.1)</f>
        <v>0.79574383306864604</v>
      </c>
      <c r="AD13" s="2" cm="1">
        <f t="array" ref="AD13">DELTAGREEK($B13,100,0.01,AD$2,0.1)</f>
        <v>0.79405873139729799</v>
      </c>
      <c r="AE13" s="2" cm="1">
        <f t="array" ref="AE13">DELTAGREEK($B13,100,0.01,AE$2,0.1)</f>
        <v>0.79249860056296639</v>
      </c>
      <c r="AF13" s="2" cm="1">
        <f t="array" ref="AF13">DELTAGREEK($B13,100,0.01,AF$2,0.1)</f>
        <v>0.79105324594553816</v>
      </c>
      <c r="AG13" s="2" cm="1">
        <f t="array" ref="AG13">DELTAGREEK($B13,100,0.01,AG$2,0.1)</f>
        <v>0.78971354330978982</v>
      </c>
      <c r="AH13" s="2" cm="1">
        <f t="array" ref="AH13">DELTAGREEK($B13,100,0.01,AH$2,0.1)</f>
        <v>0.78847130121047404</v>
      </c>
      <c r="AI13" s="2" cm="1">
        <f t="array" ref="AI13">DELTAGREEK($B13,100,0.01,AI$2,0.1)</f>
        <v>0.78731914416281867</v>
      </c>
      <c r="AJ13" s="2" cm="1">
        <f t="array" ref="AJ13">DELTAGREEK($B13,100,0.01,AJ$2,0.1)</f>
        <v>0.78625041300914611</v>
      </c>
      <c r="AK13" s="2" cm="1">
        <f t="array" ref="AK13">DELTAGREEK($B13,100,0.01,AK$2,0.1)</f>
        <v>0.7852590795955392</v>
      </c>
      <c r="AL13" s="2" cm="1">
        <f t="array" ref="AL13">DELTAGREEK($B13,100,0.01,AL$2,0.1)</f>
        <v>0.78433967341256072</v>
      </c>
      <c r="AM13" s="2" cm="1">
        <f t="array" ref="AM13">DELTAGREEK($B13,100,0.01,AM$2,0.1)</f>
        <v>0.78348721828335621</v>
      </c>
      <c r="AN13" s="2" cm="1">
        <f t="array" ref="AN13">DELTAGREEK($B13,100,0.01,AN$2,0.1)</f>
        <v>0.78269717752557544</v>
      </c>
      <c r="AO13" s="2" cm="1">
        <f t="array" ref="AO13">DELTAGREEK($B13,100,0.01,AO$2,0.1)</f>
        <v>0.78196540628918443</v>
      </c>
      <c r="AP13" s="2" cm="1">
        <f t="array" ref="AP13">DELTAGREEK($B13,100,0.01,AP$2,0.1)</f>
        <v>0.78128810999478626</v>
      </c>
      <c r="AQ13" s="2" cm="1">
        <f t="array" ref="AQ13">DELTAGREEK($B13,100,0.01,AQ$2,0.1)</f>
        <v>0.78066180797761175</v>
      </c>
      <c r="AR13" s="2" cm="1">
        <f t="array" ref="AR13">DELTAGREEK($B13,100,0.01,AR$2,0.1)</f>
        <v>0.78008330158949979</v>
      </c>
      <c r="AS13" s="2" cm="1">
        <f t="array" ref="AS13">DELTAGREEK($B13,100,0.01,AS$2,0.1)</f>
        <v>0.77954964613166378</v>
      </c>
      <c r="AT13" s="2" cm="1">
        <f t="array" ref="AT13">DELTAGREEK($B13,100,0.01,AT$2,0.1)</f>
        <v>0.77905812609010128</v>
      </c>
      <c r="AU13" s="2" cm="1">
        <f t="array" ref="AU13">DELTAGREEK($B13,100,0.01,AU$2,0.1)</f>
        <v>0.77860623322729372</v>
      </c>
      <c r="AV13" s="2" cm="1">
        <f t="array" ref="AV13">DELTAGREEK($B13,100,0.01,AV$2,0.1)</f>
        <v>0.77819164715163924</v>
      </c>
      <c r="AW13" s="2" cm="1">
        <f t="array" ref="AW13">DELTAGREEK($B13,100,0.01,AW$2,0.1)</f>
        <v>0.77781221804248057</v>
      </c>
      <c r="AX13" s="2" cm="1">
        <f t="array" ref="AX13">DELTAGREEK($B13,100,0.01,AX$2,0.1)</f>
        <v>0.77746595125570284</v>
      </c>
      <c r="AY13" s="2" cm="1">
        <f t="array" ref="AY13">DELTAGREEK($B13,100,0.01,AY$2,0.1)</f>
        <v>0.777150993574375</v>
      </c>
      <c r="AZ13" s="2" cm="1">
        <f t="array" ref="AZ13">DELTAGREEK($B13,100,0.01,AZ$2,0.1)</f>
        <v>0.77686562090211797</v>
      </c>
    </row>
    <row r="14" spans="1:52" x14ac:dyDescent="0.3">
      <c r="B14" s="2">
        <v>115</v>
      </c>
      <c r="C14" s="2" cm="1">
        <f t="array" ref="C14">DELTAGREEK($B14,100,0.01,C$2,0.1)</f>
        <v>0.99999603555087258</v>
      </c>
      <c r="D14" s="2" cm="1">
        <f t="array" ref="D14">DELTAGREEK($B14,100,0.01,D$2,0.1)</f>
        <v>0.99929416451516662</v>
      </c>
      <c r="E14" s="2" cm="1">
        <f t="array" ref="E14">DELTAGREEK($B14,100,0.01,E$2,0.1)</f>
        <v>0.99577886954542294</v>
      </c>
      <c r="F14" s="2" cm="1">
        <f t="array" ref="F14">DELTAGREEK($B14,100,0.01,F$2,0.1)</f>
        <v>0.98940827229066197</v>
      </c>
      <c r="G14" s="2" cm="1">
        <f t="array" ref="G14">DELTAGREEK($B14,100,0.01,G$2,0.1)</f>
        <v>0.98135607564044858</v>
      </c>
      <c r="H14" s="2" cm="1">
        <f t="array" ref="H14">DELTAGREEK($B14,100,0.01,H$2,0.1)</f>
        <v>0.97260314455363983</v>
      </c>
      <c r="I14" s="2" cm="1">
        <f t="array" ref="I14">DELTAGREEK($B14,100,0.01,I$2,0.1)</f>
        <v>0.96375065198429899</v>
      </c>
      <c r="J14" s="2" cm="1">
        <f t="array" ref="J14">DELTAGREEK($B14,100,0.01,J$2,0.1)</f>
        <v>0.95512804158206499</v>
      </c>
      <c r="K14" s="2" cm="1">
        <f t="array" ref="K14">DELTAGREEK($B14,100,0.01,K$2,0.1)</f>
        <v>0.94690122807155452</v>
      </c>
      <c r="L14" s="2" cm="1">
        <f t="array" ref="L14">DELTAGREEK($B14,100,0.01,L$2,0.1)</f>
        <v>0.9391430239591263</v>
      </c>
      <c r="M14" s="2" cm="1">
        <f t="array" ref="M14">DELTAGREEK($B14,100,0.01,M$2,0.1)</f>
        <v>0.93187462399429133</v>
      </c>
      <c r="N14" s="2" cm="1">
        <f t="array" ref="N14">DELTAGREEK($B14,100,0.01,N$2,0.1)</f>
        <v>0.92508934289885425</v>
      </c>
      <c r="O14" s="2" cm="1">
        <f t="array" ref="O14">DELTAGREEK($B14,100,0.01,O$2,0.1)</f>
        <v>0.91876609223586825</v>
      </c>
      <c r="P14" s="2" cm="1">
        <f t="array" ref="P14">DELTAGREEK($B14,100,0.01,P$2,0.1)</f>
        <v>0.91287700762209345</v>
      </c>
      <c r="Q14" s="2" cm="1">
        <f t="array" ref="Q14">DELTAGREEK($B14,100,0.01,Q$2,0.1)</f>
        <v>0.90739173774187276</v>
      </c>
      <c r="R14" s="2" cm="1">
        <f t="array" ref="R14">DELTAGREEK($B14,100,0.01,R$2,0.1)</f>
        <v>0.90227981796128587</v>
      </c>
      <c r="S14" s="2" cm="1">
        <f t="array" ref="S14">DELTAGREEK($B14,100,0.01,S$2,0.1)</f>
        <v>0.89751193937030227</v>
      </c>
      <c r="T14" s="2" cm="1">
        <f t="array" ref="T14">DELTAGREEK($B14,100,0.01,T$2,0.1)</f>
        <v>0.89306057975365505</v>
      </c>
      <c r="U14" s="2" cm="1">
        <f t="array" ref="U14">DELTAGREEK($B14,100,0.01,U$2,0.1)</f>
        <v>0.88890026752973417</v>
      </c>
      <c r="V14" s="2" cm="1">
        <f t="array" ref="V14">DELTAGREEK($B14,100,0.01,V$2,0.1)</f>
        <v>0.88500763743571798</v>
      </c>
      <c r="W14" s="2" cm="1">
        <f t="array" ref="W14">DELTAGREEK($B14,100,0.01,W$2,0.1)</f>
        <v>0.88136137147711779</v>
      </c>
      <c r="X14" s="2" cm="1">
        <f t="array" ref="X14">DELTAGREEK($B14,100,0.01,X$2,0.1)</f>
        <v>0.877942080295945</v>
      </c>
      <c r="Y14" s="2" cm="1">
        <f t="array" ref="Y14">DELTAGREEK($B14,100,0.01,Y$2,0.1)</f>
        <v>0.87473215734415188</v>
      </c>
      <c r="Z14" s="2" cm="1">
        <f t="array" ref="Z14">DELTAGREEK($B14,100,0.01,Z$2,0.1)</f>
        <v>0.87171562464036623</v>
      </c>
      <c r="AA14" s="2" cm="1">
        <f t="array" ref="AA14">DELTAGREEK($B14,100,0.01,AA$2,0.1)</f>
        <v>0.86887798071975164</v>
      </c>
      <c r="AB14" s="2" cm="1">
        <f t="array" ref="AB14">DELTAGREEK($B14,100,0.01,AB$2,0.1)</f>
        <v>0.86620605648227167</v>
      </c>
      <c r="AC14" s="2" cm="1">
        <f t="array" ref="AC14">DELTAGREEK($B14,100,0.01,AC$2,0.1)</f>
        <v>0.86368788171352939</v>
      </c>
      <c r="AD14" s="2" cm="1">
        <f t="array" ref="AD14">DELTAGREEK($B14,100,0.01,AD$2,0.1)</f>
        <v>0.86131256332132544</v>
      </c>
      <c r="AE14" s="2" cm="1">
        <f t="array" ref="AE14">DELTAGREEK($B14,100,0.01,AE$2,0.1)</f>
        <v>0.8590701753320007</v>
      </c>
      <c r="AF14" s="2" cm="1">
        <f t="array" ref="AF14">DELTAGREEK($B14,100,0.01,AF$2,0.1)</f>
        <v>0.85695166013778001</v>
      </c>
      <c r="AG14" s="2" cm="1">
        <f t="array" ref="AG14">DELTAGREEK($B14,100,0.01,AG$2,0.1)</f>
        <v>0.85494874020419165</v>
      </c>
      <c r="AH14" s="2" cm="1">
        <f t="array" ref="AH14">DELTAGREEK($B14,100,0.01,AH$2,0.1)</f>
        <v>0.85305383932689993</v>
      </c>
      <c r="AI14" s="2" cm="1">
        <f t="array" ref="AI14">DELTAGREEK($B14,100,0.01,AI$2,0.1)</f>
        <v>0.85126001250300243</v>
      </c>
      <c r="AJ14" s="2" cm="1">
        <f t="array" ref="AJ14">DELTAGREEK($B14,100,0.01,AJ$2,0.1)</f>
        <v>0.84956088351165571</v>
      </c>
      <c r="AK14" s="2" cm="1">
        <f t="array" ref="AK14">DELTAGREEK($B14,100,0.01,AK$2,0.1)</f>
        <v>0.84795058935739509</v>
      </c>
      <c r="AL14" s="2" cm="1">
        <f t="array" ref="AL14">DELTAGREEK($B14,100,0.01,AL$2,0.1)</f>
        <v>0.84642373080124722</v>
      </c>
      <c r="AM14" s="2" cm="1">
        <f t="array" ref="AM14">DELTAGREEK($B14,100,0.01,AM$2,0.1)</f>
        <v>0.84497532828048072</v>
      </c>
      <c r="AN14" s="2" cm="1">
        <f t="array" ref="AN14">DELTAGREEK($B14,100,0.01,AN$2,0.1)</f>
        <v>0.84360078259224991</v>
      </c>
      <c r="AO14" s="2" cm="1">
        <f t="array" ref="AO14">DELTAGREEK($B14,100,0.01,AO$2,0.1)</f>
        <v>0.84229583978655631</v>
      </c>
      <c r="AP14" s="2" cm="1">
        <f t="array" ref="AP14">DELTAGREEK($B14,100,0.01,AP$2,0.1)</f>
        <v>0.84105655977843707</v>
      </c>
      <c r="AQ14" s="2" cm="1">
        <f t="array" ref="AQ14">DELTAGREEK($B14,100,0.01,AQ$2,0.1)</f>
        <v>0.83987928824756342</v>
      </c>
      <c r="AR14" s="2" cm="1">
        <f t="array" ref="AR14">DELTAGREEK($B14,100,0.01,AR$2,0.1)</f>
        <v>0.83876063144549129</v>
      </c>
      <c r="AS14" s="2" cm="1">
        <f t="array" ref="AS14">DELTAGREEK($B14,100,0.01,AS$2,0.1)</f>
        <v>0.83769743357694604</v>
      </c>
      <c r="AT14" s="2" cm="1">
        <f t="array" ref="AT14">DELTAGREEK($B14,100,0.01,AT$2,0.1)</f>
        <v>0.83668675646219781</v>
      </c>
      <c r="AU14" s="2" cm="1">
        <f t="array" ref="AU14">DELTAGREEK($B14,100,0.01,AU$2,0.1)</f>
        <v>0.83572586122329284</v>
      </c>
      <c r="AV14" s="2" cm="1">
        <f t="array" ref="AV14">DELTAGREEK($B14,100,0.01,AV$2,0.1)</f>
        <v>0.83481219176819266</v>
      </c>
      <c r="AW14" s="2" cm="1">
        <f t="array" ref="AW14">DELTAGREEK($B14,100,0.01,AW$2,0.1)</f>
        <v>0.8339433598742273</v>
      </c>
      <c r="AX14" s="2" cm="1">
        <f t="array" ref="AX14">DELTAGREEK($B14,100,0.01,AX$2,0.1)</f>
        <v>0.83311713169616897</v>
      </c>
      <c r="AY14" s="2" cm="1">
        <f t="array" ref="AY14">DELTAGREEK($B14,100,0.01,AY$2,0.1)</f>
        <v>0.83233141554510681</v>
      </c>
      <c r="AZ14" s="2" cm="1">
        <f t="array" ref="AZ14">DELTAGREEK($B14,100,0.01,AZ$2,0.1)</f>
        <v>0.83158425080253329</v>
      </c>
    </row>
    <row r="15" spans="1:52" x14ac:dyDescent="0.3">
      <c r="B15" s="2">
        <v>120</v>
      </c>
      <c r="C15" s="2" cm="1">
        <f t="array" ref="C15">DELTAGREEK($B15,100,0.01,C$2,0.1)</f>
        <v>0.99999999693089381</v>
      </c>
      <c r="D15" s="2" cm="1">
        <f t="array" ref="D15">DELTAGREEK($B15,100,0.01,D$2,0.1)</f>
        <v>0.9999829287565416</v>
      </c>
      <c r="E15" s="2" cm="1">
        <f t="array" ref="E15">DELTAGREEK($B15,100,0.01,E$2,0.1)</f>
        <v>0.99967623132709937</v>
      </c>
      <c r="F15" s="2" cm="1">
        <f t="array" ref="F15">DELTAGREEK($B15,100,0.01,F$2,0.1)</f>
        <v>0.99854754541412227</v>
      </c>
      <c r="G15" s="2" cm="1">
        <f t="array" ref="G15">DELTAGREEK($B15,100,0.01,G$2,0.1)</f>
        <v>0.99636788743791604</v>
      </c>
      <c r="H15" s="2" cm="1">
        <f t="array" ref="H15">DELTAGREEK($B15,100,0.01,H$2,0.1)</f>
        <v>0.99324341588079323</v>
      </c>
      <c r="I15" s="2" cm="1">
        <f t="array" ref="I15">DELTAGREEK($B15,100,0.01,I$2,0.1)</f>
        <v>0.98940714410148023</v>
      </c>
      <c r="J15" s="2" cm="1">
        <f t="array" ref="J15">DELTAGREEK($B15,100,0.01,J$2,0.1)</f>
        <v>0.98509406838389901</v>
      </c>
      <c r="K15" s="2" cm="1">
        <f t="array" ref="K15">DELTAGREEK($B15,100,0.01,K$2,0.1)</f>
        <v>0.98049779905589118</v>
      </c>
      <c r="L15" s="2" cm="1">
        <f t="array" ref="L15">DELTAGREEK($B15,100,0.01,L$2,0.1)</f>
        <v>0.9757644962341846</v>
      </c>
      <c r="M15" s="2" cm="1">
        <f t="array" ref="M15">DELTAGREEK($B15,100,0.01,M$2,0.1)</f>
        <v>0.97099942044834375</v>
      </c>
      <c r="N15" s="2" cm="1">
        <f t="array" ref="N15">DELTAGREEK($B15,100,0.01,N$2,0.1)</f>
        <v>0.96627601425519338</v>
      </c>
      <c r="O15" s="2" cm="1">
        <f t="array" ref="O15">DELTAGREEK($B15,100,0.01,O$2,0.1)</f>
        <v>0.96164410435767511</v>
      </c>
      <c r="P15" s="2" cm="1">
        <f t="array" ref="P15">DELTAGREEK($B15,100,0.01,P$2,0.1)</f>
        <v>0.95713640886693985</v>
      </c>
      <c r="Q15" s="2" cm="1">
        <f t="array" ref="Q15">DELTAGREEK($B15,100,0.01,Q$2,0.1)</f>
        <v>0.95277342197785431</v>
      </c>
      <c r="R15" s="2" cm="1">
        <f t="array" ref="R15">DELTAGREEK($B15,100,0.01,R$2,0.1)</f>
        <v>0.94856698506264592</v>
      </c>
      <c r="S15" s="2" cm="1">
        <f t="array" ref="S15">DELTAGREEK($B15,100,0.01,S$2,0.1)</f>
        <v>0.94452286381593165</v>
      </c>
      <c r="T15" s="2" cm="1">
        <f t="array" ref="T15">DELTAGREEK($B15,100,0.01,T$2,0.1)</f>
        <v>0.94064259658277027</v>
      </c>
      <c r="U15" s="2" cm="1">
        <f t="array" ref="U15">DELTAGREEK($B15,100,0.01,U$2,0.1)</f>
        <v>0.93692481623013713</v>
      </c>
      <c r="V15" s="2" cm="1">
        <f t="array" ref="V15">DELTAGREEK($B15,100,0.01,V$2,0.1)</f>
        <v>0.93336619424077227</v>
      </c>
      <c r="W15" s="2" cm="1">
        <f t="array" ref="W15">DELTAGREEK($B15,100,0.01,W$2,0.1)</f>
        <v>0.92996211429073083</v>
      </c>
      <c r="X15" s="2" cm="1">
        <f t="array" ref="X15">DELTAGREEK($B15,100,0.01,X$2,0.1)</f>
        <v>0.92670715205766785</v>
      </c>
      <c r="Y15" s="2" cm="1">
        <f t="array" ref="Y15">DELTAGREEK($B15,100,0.01,Y$2,0.1)</f>
        <v>0.92359541602198303</v>
      </c>
      <c r="Z15" s="2" cm="1">
        <f t="array" ref="Z15">DELTAGREEK($B15,100,0.01,Z$2,0.1)</f>
        <v>0.92062078834855354</v>
      </c>
      <c r="AA15" s="2" cm="1">
        <f t="array" ref="AA15">DELTAGREEK($B15,100,0.01,AA$2,0.1)</f>
        <v>0.91777709380648875</v>
      </c>
      <c r="AB15" s="2" cm="1">
        <f t="array" ref="AB15">DELTAGREEK($B15,100,0.01,AB$2,0.1)</f>
        <v>0.91505821678332366</v>
      </c>
      <c r="AC15" s="2" cm="1">
        <f t="array" ref="AC15">DELTAGREEK($B15,100,0.01,AC$2,0.1)</f>
        <v>0.91245818083100905</v>
      </c>
      <c r="AD15" s="2" cm="1">
        <f t="array" ref="AD15">DELTAGREEK($B15,100,0.01,AD$2,0.1)</f>
        <v>0.90997120117239527</v>
      </c>
      <c r="AE15" s="2" cm="1">
        <f t="array" ref="AE15">DELTAGREEK($B15,100,0.01,AE$2,0.1)</f>
        <v>0.90759171772618374</v>
      </c>
      <c r="AF15" s="2" cm="1">
        <f t="array" ref="AF15">DELTAGREEK($B15,100,0.01,AF$2,0.1)</f>
        <v>0.90531441414396252</v>
      </c>
      <c r="AG15" s="2" cm="1">
        <f t="array" ref="AG15">DELTAGREEK($B15,100,0.01,AG$2,0.1)</f>
        <v>0.90313422686215272</v>
      </c>
      <c r="AH15" s="2" cm="1">
        <f t="array" ref="AH15">DELTAGREEK($B15,100,0.01,AH$2,0.1)</f>
        <v>0.90104634709064535</v>
      </c>
      <c r="AI15" s="2" cm="1">
        <f t="array" ref="AI15">DELTAGREEK($B15,100,0.01,AI$2,0.1)</f>
        <v>0.89904621787289307</v>
      </c>
      <c r="AJ15" s="2" cm="1">
        <f t="array" ref="AJ15">DELTAGREEK($B15,100,0.01,AJ$2,0.1)</f>
        <v>0.89712952777719546</v>
      </c>
      <c r="AK15" s="2" cm="1">
        <f t="array" ref="AK15">DELTAGREEK($B15,100,0.01,AK$2,0.1)</f>
        <v>0.89529220235741847</v>
      </c>
      <c r="AL15" s="2" cm="1">
        <f t="array" ref="AL15">DELTAGREEK($B15,100,0.01,AL$2,0.1)</f>
        <v>0.89353039421157032</v>
      </c>
      <c r="AM15" s="2" cm="1">
        <f t="array" ref="AM15">DELTAGREEK($B15,100,0.01,AM$2,0.1)</f>
        <v>0.89184047223843377</v>
      </c>
      <c r="AN15" s="2" cm="1">
        <f t="array" ref="AN15">DELTAGREEK($B15,100,0.01,AN$2,0.1)</f>
        <v>0.89021901052405272</v>
      </c>
      <c r="AO15" s="2" cm="1">
        <f t="array" ref="AO15">DELTAGREEK($B15,100,0.01,AO$2,0.1)</f>
        <v>0.88866277716551834</v>
      </c>
      <c r="AP15" s="2" cm="1">
        <f t="array" ref="AP15">DELTAGREEK($B15,100,0.01,AP$2,0.1)</f>
        <v>0.88716872324765816</v>
      </c>
      <c r="AQ15" s="2" cm="1">
        <f t="array" ref="AQ15">DELTAGREEK($B15,100,0.01,AQ$2,0.1)</f>
        <v>0.88573397212047589</v>
      </c>
      <c r="AR15" s="2" cm="1">
        <f t="array" ref="AR15">DELTAGREEK($B15,100,0.01,AR$2,0.1)</f>
        <v>0.88435580907530342</v>
      </c>
      <c r="AS15" s="2" cm="1">
        <f t="array" ref="AS15">DELTAGREEK($B15,100,0.01,AS$2,0.1)</f>
        <v>0.88303167148104</v>
      </c>
      <c r="AT15" s="2" cm="1">
        <f t="array" ref="AT15">DELTAGREEK($B15,100,0.01,AT$2,0.1)</f>
        <v>0.88175913941515971</v>
      </c>
      <c r="AU15" s="2" cm="1">
        <f t="array" ref="AU15">DELTAGREEK($B15,100,0.01,AU$2,0.1)</f>
        <v>0.88053592680486381</v>
      </c>
      <c r="AV15" s="2" cm="1">
        <f t="array" ref="AV15">DELTAGREEK($B15,100,0.01,AV$2,0.1)</f>
        <v>0.87935987307993746</v>
      </c>
      <c r="AW15" s="2" cm="1">
        <f t="array" ref="AW15">DELTAGREEK($B15,100,0.01,AW$2,0.1)</f>
        <v>0.8782289353291568</v>
      </c>
      <c r="AX15" s="2" cm="1">
        <f t="array" ref="AX15">DELTAGREEK($B15,100,0.01,AX$2,0.1)</f>
        <v>0.8771411809454196</v>
      </c>
      <c r="AY15" s="2" cm="1">
        <f t="array" ref="AY15">DELTAGREEK($B15,100,0.01,AY$2,0.1)</f>
        <v>0.87609478074035985</v>
      </c>
      <c r="AZ15" s="2" cm="1">
        <f t="array" ref="AZ15">DELTAGREEK($B15,100,0.01,AZ$2,0.1)</f>
        <v>0.87508800250645269</v>
      </c>
    </row>
    <row r="16" spans="1:52" x14ac:dyDescent="0.3">
      <c r="B16" s="2">
        <v>125</v>
      </c>
      <c r="C16" s="2" cm="1">
        <f t="array" ref="C16">DELTAGREEK($B16,100,0.01,C$2,0.1)</f>
        <v>0.99999999999939337</v>
      </c>
      <c r="D16" s="2" cm="1">
        <f t="array" ref="D16">DELTAGREEK($B16,100,0.01,D$2,0.1)</f>
        <v>0.99999978673956835</v>
      </c>
      <c r="E16" s="2" cm="1">
        <f t="array" ref="E16">DELTAGREEK($B16,100,0.01,E$2,0.1)</f>
        <v>0.99998381961018046</v>
      </c>
      <c r="F16" s="2" cm="1">
        <f t="array" ref="F16">DELTAGREEK($B16,100,0.01,F$2,0.1)</f>
        <v>0.99985444081884667</v>
      </c>
      <c r="G16" s="2" cm="1">
        <f t="array" ref="G16">DELTAGREEK($B16,100,0.01,G$2,0.1)</f>
        <v>0.99944644902317548</v>
      </c>
      <c r="H16" s="2" cm="1">
        <f t="array" ref="H16">DELTAGREEK($B16,100,0.01,H$2,0.1)</f>
        <v>0.99863656915944365</v>
      </c>
      <c r="I16" s="2" cm="1">
        <f t="array" ref="I16">DELTAGREEK($B16,100,0.01,I$2,0.1)</f>
        <v>0.9973854793151351</v>
      </c>
      <c r="J16" s="2" cm="1">
        <f t="array" ref="J16">DELTAGREEK($B16,100,0.01,J$2,0.1)</f>
        <v>0.99571799089194879</v>
      </c>
      <c r="K16" s="2" cm="1">
        <f t="array" ref="K16">DELTAGREEK($B16,100,0.01,K$2,0.1)</f>
        <v>0.99369223383243865</v>
      </c>
      <c r="L16" s="2" cm="1">
        <f t="array" ref="L16">DELTAGREEK($B16,100,0.01,L$2,0.1)</f>
        <v>0.9913773450413681</v>
      </c>
      <c r="M16" s="2" cm="1">
        <f t="array" ref="M16">DELTAGREEK($B16,100,0.01,M$2,0.1)</f>
        <v>0.98884099441358086</v>
      </c>
      <c r="N16" s="2" cm="1">
        <f t="array" ref="N16">DELTAGREEK($B16,100,0.01,N$2,0.1)</f>
        <v>0.98614364270486488</v>
      </c>
      <c r="O16" s="2" cm="1">
        <f t="array" ref="O16">DELTAGREEK($B16,100,0.01,O$2,0.1)</f>
        <v>0.98333662808822309</v>
      </c>
      <c r="P16" s="2" cm="1">
        <f t="array" ref="P16">DELTAGREEK($B16,100,0.01,P$2,0.1)</f>
        <v>0.98046218692134313</v>
      </c>
      <c r="Q16" s="2" cm="1">
        <f t="array" ref="Q16">DELTAGREEK($B16,100,0.01,Q$2,0.1)</f>
        <v>0.9775543299353403</v>
      </c>
      <c r="R16" s="2" cm="1">
        <f t="array" ref="R16">DELTAGREEK($B16,100,0.01,R$2,0.1)</f>
        <v>0.97464000748133717</v>
      </c>
      <c r="S16" s="2" cm="1">
        <f t="array" ref="S16">DELTAGREEK($B16,100,0.01,S$2,0.1)</f>
        <v>0.97174028804272394</v>
      </c>
      <c r="T16" s="2" cm="1">
        <f t="array" ref="T16">DELTAGREEK($B16,100,0.01,T$2,0.1)</f>
        <v>0.96887142956815275</v>
      </c>
      <c r="U16" s="2" cm="1">
        <f t="array" ref="U16">DELTAGREEK($B16,100,0.01,U$2,0.1)</f>
        <v>0.96604580231089032</v>
      </c>
      <c r="V16" s="2" cm="1">
        <f t="array" ref="V16">DELTAGREEK($B16,100,0.01,V$2,0.1)</f>
        <v>0.9632726598800867</v>
      </c>
      <c r="W16" s="2" cm="1">
        <f t="array" ref="W16">DELTAGREEK($B16,100,0.01,W$2,0.1)</f>
        <v>0.96055877177785431</v>
      </c>
      <c r="X16" s="2" cm="1">
        <f t="array" ref="X16">DELTAGREEK($B16,100,0.01,X$2,0.1)</f>
        <v>0.9579089364602198</v>
      </c>
      <c r="Y16" s="2" cm="1">
        <f t="array" ref="Y16">DELTAGREEK($B16,100,0.01,Y$2,0.1)</f>
        <v>0.95532639455292756</v>
      </c>
      <c r="Z16" s="2" cm="1">
        <f t="array" ref="Z16">DELTAGREEK($B16,100,0.01,Z$2,0.1)</f>
        <v>0.95281316018774986</v>
      </c>
      <c r="AA16" s="2" cm="1">
        <f t="array" ref="AA16">DELTAGREEK($B16,100,0.01,AA$2,0.1)</f>
        <v>0.95037028596388029</v>
      </c>
      <c r="AB16" s="2" cm="1">
        <f t="array" ref="AB16">DELTAGREEK($B16,100,0.01,AB$2,0.1)</f>
        <v>0.94799807448236884</v>
      </c>
      <c r="AC16" s="2" cm="1">
        <f t="array" ref="AC16">DELTAGREEK($B16,100,0.01,AC$2,0.1)</f>
        <v>0.94569624705639399</v>
      </c>
      <c r="AD16" s="2" cm="1">
        <f t="array" ref="AD16">DELTAGREEK($B16,100,0.01,AD$2,0.1)</f>
        <v>0.94346407817585021</v>
      </c>
      <c r="AE16" s="2" cm="1">
        <f t="array" ref="AE16">DELTAGREEK($B16,100,0.01,AE$2,0.1)</f>
        <v>0.94130050261588005</v>
      </c>
      <c r="AF16" s="2" cm="1">
        <f t="array" ref="AF16">DELTAGREEK($B16,100,0.01,AF$2,0.1)</f>
        <v>0.93920420069847521</v>
      </c>
      <c r="AG16" s="2" cm="1">
        <f t="array" ref="AG16">DELTAGREEK($B16,100,0.01,AG$2,0.1)</f>
        <v>0.93717366610191544</v>
      </c>
      <c r="AH16" s="2" cm="1">
        <f t="array" ref="AH16">DELTAGREEK($B16,100,0.01,AH$2,0.1)</f>
        <v>0.93520725972030871</v>
      </c>
      <c r="AI16" s="2" cm="1">
        <f t="array" ref="AI16">DELTAGREEK($B16,100,0.01,AI$2,0.1)</f>
        <v>0.93330325236397171</v>
      </c>
      <c r="AJ16" s="2" cm="1">
        <f t="array" ref="AJ16">DELTAGREEK($B16,100,0.01,AJ$2,0.1)</f>
        <v>0.93145985852564384</v>
      </c>
      <c r="AK16" s="2" cm="1">
        <f t="array" ref="AK16">DELTAGREEK($B16,100,0.01,AK$2,0.1)</f>
        <v>0.92967526298818648</v>
      </c>
      <c r="AL16" s="2" cm="1">
        <f t="array" ref="AL16">DELTAGREEK($B16,100,0.01,AL$2,0.1)</f>
        <v>0.9279476416925958</v>
      </c>
      <c r="AM16" s="2" cm="1">
        <f t="array" ref="AM16">DELTAGREEK($B16,100,0.01,AM$2,0.1)</f>
        <v>0.92627517800165016</v>
      </c>
      <c r="AN16" s="2" cm="1">
        <f t="array" ref="AN16">DELTAGREEK($B16,100,0.01,AN$2,0.1)</f>
        <v>0.92465607526901228</v>
      </c>
      <c r="AO16" s="2" cm="1">
        <f t="array" ref="AO16">DELTAGREEK($B16,100,0.01,AO$2,0.1)</f>
        <v>0.92308856644400428</v>
      </c>
      <c r="AP16" s="2" cm="1">
        <f t="array" ref="AP16">DELTAGREEK($B16,100,0.01,AP$2,0.1)</f>
        <v>0.9215709212989972</v>
      </c>
      <c r="AQ16" s="2" cm="1">
        <f t="array" ref="AQ16">DELTAGREEK($B16,100,0.01,AQ$2,0.1)</f>
        <v>0.92010145175185043</v>
      </c>
      <c r="AR16" s="2" cm="1">
        <f t="array" ref="AR16">DELTAGREEK($B16,100,0.01,AR$2,0.1)</f>
        <v>0.91867851566416925</v>
      </c>
      <c r="AS16" s="2" cm="1">
        <f t="array" ref="AS16">DELTAGREEK($B16,100,0.01,AS$2,0.1)</f>
        <v>0.91730051942260915</v>
      </c>
      <c r="AT16" s="2" cm="1">
        <f t="array" ref="AT16">DELTAGREEK($B16,100,0.01,AT$2,0.1)</f>
        <v>0.91596591955137208</v>
      </c>
      <c r="AU16" s="2" cm="1">
        <f t="array" ref="AU16">DELTAGREEK($B16,100,0.01,AU$2,0.1)</f>
        <v>0.91467322355645819</v>
      </c>
      <c r="AV16" s="2" cm="1">
        <f t="array" ref="AV16">DELTAGREEK($B16,100,0.01,AV$2,0.1)</f>
        <v>0.91342099016387712</v>
      </c>
      <c r="AW16" s="2" cm="1">
        <f t="array" ref="AW16">DELTAGREEK($B16,100,0.01,AW$2,0.1)</f>
        <v>0.91220782908301967</v>
      </c>
      <c r="AX16" s="2" cm="1">
        <f t="array" ref="AX16">DELTAGREEK($B16,100,0.01,AX$2,0.1)</f>
        <v>0.91103240040131905</v>
      </c>
      <c r="AY16" s="2" cm="1">
        <f t="array" ref="AY16">DELTAGREEK($B16,100,0.01,AY$2,0.1)</f>
        <v>0.90989341369600374</v>
      </c>
      <c r="AZ16" s="2" cm="1">
        <f t="array" ref="AZ16">DELTAGREEK($B16,100,0.01,AZ$2,0.1)</f>
        <v>0.90878962693226017</v>
      </c>
    </row>
    <row r="17" spans="1:52" x14ac:dyDescent="0.3">
      <c r="B17" s="2">
        <v>130</v>
      </c>
      <c r="C17" s="2" cm="1">
        <f t="array" ref="C17">DELTAGREEK($B17,100,0.01,C$2,0.1)</f>
        <v>1</v>
      </c>
      <c r="D17" s="2" cm="1">
        <f t="array" ref="D17">DELTAGREEK($B17,100,0.01,D$2,0.1)</f>
        <v>0.99999999851931465</v>
      </c>
      <c r="E17" s="2" cm="1">
        <f t="array" ref="E17">DELTAGREEK($B17,100,0.01,E$2,0.1)</f>
        <v>0.99999944833507226</v>
      </c>
      <c r="F17" s="2" cm="1">
        <f t="array" ref="F17">DELTAGREEK($B17,100,0.01,F$2,0.1)</f>
        <v>0.99998898282504689</v>
      </c>
      <c r="G17" s="2" cm="1">
        <f t="array" ref="G17">DELTAGREEK($B17,100,0.01,G$2,0.1)</f>
        <v>0.99993230917992704</v>
      </c>
      <c r="H17" s="2" cm="1">
        <f t="array" ref="H17">DELTAGREEK($B17,100,0.01,H$2,0.1)</f>
        <v>0.99977023212247085</v>
      </c>
      <c r="I17" s="2" cm="1">
        <f t="array" ref="I17">DELTAGREEK($B17,100,0.01,I$2,0.1)</f>
        <v>0.99944558802202021</v>
      </c>
      <c r="J17" s="2" cm="1">
        <f t="array" ref="J17">DELTAGREEK($B17,100,0.01,J$2,0.1)</f>
        <v>0.99892066116278744</v>
      </c>
      <c r="K17" s="2" cm="1">
        <f t="array" ref="K17">DELTAGREEK($B17,100,0.01,K$2,0.1)</f>
        <v>0.99818047109526631</v>
      </c>
      <c r="L17" s="2" cm="1">
        <f t="array" ref="L17">DELTAGREEK($B17,100,0.01,L$2,0.1)</f>
        <v>0.99722837337629622</v>
      </c>
      <c r="M17" s="2" cm="1">
        <f t="array" ref="M17">DELTAGREEK($B17,100,0.01,M$2,0.1)</f>
        <v>0.99607979809325853</v>
      </c>
      <c r="N17" s="2" cm="1">
        <f t="array" ref="N17">DELTAGREEK($B17,100,0.01,N$2,0.1)</f>
        <v>0.99475680410021372</v>
      </c>
      <c r="O17" s="2" cm="1">
        <f t="array" ref="O17">DELTAGREEK($B17,100,0.01,O$2,0.1)</f>
        <v>0.99328414990689873</v>
      </c>
      <c r="P17" s="2" cm="1">
        <f t="array" ref="P17">DELTAGREEK($B17,100,0.01,P$2,0.1)</f>
        <v>0.99168676026565517</v>
      </c>
      <c r="Q17" s="2" cm="1">
        <f t="array" ref="Q17">DELTAGREEK($B17,100,0.01,Q$2,0.1)</f>
        <v>0.98998824319240519</v>
      </c>
      <c r="R17" s="2" cm="1">
        <f t="array" ref="R17">DELTAGREEK($B17,100,0.01,R$2,0.1)</f>
        <v>0.98821012202872338</v>
      </c>
      <c r="S17" s="2" cm="1">
        <f t="array" ref="S17">DELTAGREEK($B17,100,0.01,S$2,0.1)</f>
        <v>0.9863715229273039</v>
      </c>
      <c r="T17" s="2" cm="1">
        <f t="array" ref="T17">DELTAGREEK($B17,100,0.01,T$2,0.1)</f>
        <v>0.98448913611369515</v>
      </c>
      <c r="U17" s="2" cm="1">
        <f t="array" ref="U17">DELTAGREEK($B17,100,0.01,U$2,0.1)</f>
        <v>0.98257733104212408</v>
      </c>
      <c r="V17" s="2" cm="1">
        <f t="array" ref="V17">DELTAGREEK($B17,100,0.01,V$2,0.1)</f>
        <v>0.9806483495408157</v>
      </c>
      <c r="W17" s="2" cm="1">
        <f t="array" ref="W17">DELTAGREEK($B17,100,0.01,W$2,0.1)</f>
        <v>0.97871253062266728</v>
      </c>
      <c r="X17" s="2" cm="1">
        <f t="array" ref="X17">DELTAGREEK($B17,100,0.01,X$2,0.1)</f>
        <v>0.9767785398311698</v>
      </c>
      <c r="Y17" s="2" cm="1">
        <f t="array" ref="Y17">DELTAGREEK($B17,100,0.01,Y$2,0.1)</f>
        <v>0.97485358811625455</v>
      </c>
      <c r="Z17" s="2" cm="1">
        <f t="array" ref="Z17">DELTAGREEK($B17,100,0.01,Z$2,0.1)</f>
        <v>0.9729436327102019</v>
      </c>
      <c r="AA17" s="2" cm="1">
        <f t="array" ref="AA17">DELTAGREEK($B17,100,0.01,AA$2,0.1)</f>
        <v>0.97105355696070916</v>
      </c>
      <c r="AB17" s="2" cm="1">
        <f t="array" ref="AB17">DELTAGREEK($B17,100,0.01,AB$2,0.1)</f>
        <v>0.9691873286779954</v>
      </c>
      <c r="AC17" s="2" cm="1">
        <f t="array" ref="AC17">DELTAGREEK($B17,100,0.01,AC$2,0.1)</f>
        <v>0.9673481379802098</v>
      </c>
      <c r="AD17" s="2" cm="1">
        <f t="array" ref="AD17">DELTAGREEK($B17,100,0.01,AD$2,0.1)</f>
        <v>0.9655385163334701</v>
      </c>
      <c r="AE17" s="2" cm="1">
        <f t="array" ref="AE17">DELTAGREEK($B17,100,0.01,AE$2,0.1)</f>
        <v>0.96376043876843187</v>
      </c>
      <c r="AF17" s="2" cm="1">
        <f t="array" ref="AF17">DELTAGREEK($B17,100,0.01,AF$2,0.1)</f>
        <v>0.96201541129490264</v>
      </c>
      <c r="AG17" s="2" cm="1">
        <f t="array" ref="AG17">DELTAGREEK($B17,100,0.01,AG$2,0.1)</f>
        <v>0.96030454544110133</v>
      </c>
      <c r="AH17" s="2" cm="1">
        <f t="array" ref="AH17">DELTAGREEK($B17,100,0.01,AH$2,0.1)</f>
        <v>0.95862862168247132</v>
      </c>
      <c r="AI17" s="2" cm="1">
        <f t="array" ref="AI17">DELTAGREEK($B17,100,0.01,AI$2,0.1)</f>
        <v>0.95698814333675242</v>
      </c>
      <c r="AJ17" s="2" cm="1">
        <f t="array" ref="AJ17">DELTAGREEK($B17,100,0.01,AJ$2,0.1)</f>
        <v>0.95538338231049502</v>
      </c>
      <c r="AK17" s="2" cm="1">
        <f t="array" ref="AK17">DELTAGREEK($B17,100,0.01,AK$2,0.1)</f>
        <v>0.95381441790000032</v>
      </c>
      <c r="AL17" s="2" cm="1">
        <f t="array" ref="AL17">DELTAGREEK($B17,100,0.01,AL$2,0.1)</f>
        <v>0.9522811696830461</v>
      </c>
      <c r="AM17" s="2" cm="1">
        <f t="array" ref="AM17">DELTAGREEK($B17,100,0.01,AM$2,0.1)</f>
        <v>0.95078342538914784</v>
      </c>
      <c r="AN17" s="2" cm="1">
        <f t="array" ref="AN17">DELTAGREEK($B17,100,0.01,AN$2,0.1)</f>
        <v>0.9493208645057839</v>
      </c>
      <c r="AO17" s="2" cm="1">
        <f t="array" ref="AO17">DELTAGREEK($B17,100,0.01,AO$2,0.1)</f>
        <v>0.94789307826503499</v>
      </c>
      <c r="AP17" s="2" cm="1">
        <f t="array" ref="AP17">DELTAGREEK($B17,100,0.01,AP$2,0.1)</f>
        <v>0.94649958655795841</v>
      </c>
      <c r="AQ17" s="2" cm="1">
        <f t="array" ref="AQ17">DELTAGREEK($B17,100,0.01,AQ$2,0.1)</f>
        <v>0.94513985224098096</v>
      </c>
      <c r="AR17" s="2" cm="1">
        <f t="array" ref="AR17">DELTAGREEK($B17,100,0.01,AR$2,0.1)</f>
        <v>0.94381329322790464</v>
      </c>
      <c r="AS17" s="2" cm="1">
        <f t="array" ref="AS17">DELTAGREEK($B17,100,0.01,AS$2,0.1)</f>
        <v>0.94251929270110701</v>
      </c>
      <c r="AT17" s="2" cm="1">
        <f t="array" ref="AT17">DELTAGREEK($B17,100,0.01,AT$2,0.1)</f>
        <v>0.9412572077246697</v>
      </c>
      <c r="AU17" s="2" cm="1">
        <f t="array" ref="AU17">DELTAGREEK($B17,100,0.01,AU$2,0.1)</f>
        <v>0.94002637649913534</v>
      </c>
      <c r="AV17" s="2" cm="1">
        <f t="array" ref="AV17">DELTAGREEK($B17,100,0.01,AV$2,0.1)</f>
        <v>0.93882612446120028</v>
      </c>
      <c r="AW17" s="2" cm="1">
        <f t="array" ref="AW17">DELTAGREEK($B17,100,0.01,AW$2,0.1)</f>
        <v>0.93765576940088102</v>
      </c>
      <c r="AX17" s="2" cm="1">
        <f t="array" ref="AX17">DELTAGREEK($B17,100,0.01,AX$2,0.1)</f>
        <v>0.93651462574267497</v>
      </c>
      <c r="AY17" s="2" cm="1">
        <f t="array" ref="AY17">DELTAGREEK($B17,100,0.01,AY$2,0.1)</f>
        <v>0.93540200811522856</v>
      </c>
      <c r="AZ17" s="2" cm="1">
        <f t="array" ref="AZ17">DELTAGREEK($B17,100,0.01,AZ$2,0.1)</f>
        <v>0.93431723431540992</v>
      </c>
    </row>
    <row r="18" spans="1:52" x14ac:dyDescent="0.3">
      <c r="B18" s="2">
        <v>135</v>
      </c>
      <c r="C18" s="2" cm="1">
        <f t="array" ref="C18">DELTAGREEK($B18,100,0.01,C$2,0.1)</f>
        <v>1</v>
      </c>
      <c r="D18" s="2" cm="1">
        <f t="array" ref="D18">DELTAGREEK($B18,100,0.01,D$2,0.1)</f>
        <v>0.99999999999389166</v>
      </c>
      <c r="E18" s="2" cm="1">
        <f t="array" ref="E18">DELTAGREEK($B18,100,0.01,E$2,0.1)</f>
        <v>0.9999999866108833</v>
      </c>
      <c r="F18" s="2" cm="1">
        <f t="array" ref="F18">DELTAGREEK($B18,100,0.01,F$2,0.1)</f>
        <v>0.99999935060366185</v>
      </c>
      <c r="G18" s="2" cm="1">
        <f t="array" ref="G18">DELTAGREEK($B18,100,0.01,G$2,0.1)</f>
        <v>0.99999319889057736</v>
      </c>
      <c r="H18" s="2" cm="1">
        <f t="array" ref="H18">DELTAGREEK($B18,100,0.01,H$2,0.1)</f>
        <v>0.99996703614043125</v>
      </c>
      <c r="I18" s="2" cm="1">
        <f t="array" ref="I18">DELTAGREEK($B18,100,0.01,I$2,0.1)</f>
        <v>0.99989736258573836</v>
      </c>
      <c r="J18" s="2" cm="1">
        <f t="array" ref="J18">DELTAGREEK($B18,100,0.01,J$2,0.1)</f>
        <v>0.99975797900363672</v>
      </c>
      <c r="K18" s="2" cm="1">
        <f t="array" ref="K18">DELTAGREEK($B18,100,0.01,K$2,0.1)</f>
        <v>0.99952627336039468</v>
      </c>
      <c r="L18" s="2" cm="1">
        <f t="array" ref="L18">DELTAGREEK($B18,100,0.01,L$2,0.1)</f>
        <v>0.99918656546080542</v>
      </c>
      <c r="M18" s="2" cm="1">
        <f t="array" ref="M18">DELTAGREEK($B18,100,0.01,M$2,0.1)</f>
        <v>0.99873071769158261</v>
      </c>
      <c r="N18" s="2" cm="1">
        <f t="array" ref="N18">DELTAGREEK($B18,100,0.01,N$2,0.1)</f>
        <v>0.99815717861348552</v>
      </c>
      <c r="O18" s="2" cm="1">
        <f t="array" ref="O18">DELTAGREEK($B18,100,0.01,O$2,0.1)</f>
        <v>0.99746944029597062</v>
      </c>
      <c r="P18" s="2" cm="1">
        <f t="array" ref="P18">DELTAGREEK($B18,100,0.01,P$2,0.1)</f>
        <v>0.99667447683827359</v>
      </c>
      <c r="Q18" s="2" cm="1">
        <f t="array" ref="Q18">DELTAGREEK($B18,100,0.01,Q$2,0.1)</f>
        <v>0.9957814148220272</v>
      </c>
      <c r="R18" s="2" cm="1">
        <f t="array" ref="R18">DELTAGREEK($B18,100,0.01,R$2,0.1)</f>
        <v>0.99480050466004488</v>
      </c>
      <c r="S18" s="2" cm="1">
        <f t="array" ref="S18">DELTAGREEK($B18,100,0.01,S$2,0.1)</f>
        <v>0.99374237574181201</v>
      </c>
      <c r="T18" s="2" cm="1">
        <f t="array" ref="T18">DELTAGREEK($B18,100,0.01,T$2,0.1)</f>
        <v>0.99261752648253243</v>
      </c>
      <c r="U18" s="2" cm="1">
        <f t="array" ref="U18">DELTAGREEK($B18,100,0.01,U$2,0.1)</f>
        <v>0.99143599519147396</v>
      </c>
      <c r="V18" s="2" cm="1">
        <f t="array" ref="V18">DELTAGREEK($B18,100,0.01,V$2,0.1)</f>
        <v>0.99020716359662175</v>
      </c>
      <c r="W18" s="2" cm="1">
        <f t="array" ref="W18">DELTAGREEK($B18,100,0.01,W$2,0.1)</f>
        <v>0.98893965415526486</v>
      </c>
      <c r="X18" s="2" cm="1">
        <f t="array" ref="X18">DELTAGREEK($B18,100,0.01,X$2,0.1)</f>
        <v>0.98764129149111679</v>
      </c>
      <c r="Y18" s="2" cm="1">
        <f t="array" ref="Y18">DELTAGREEK($B18,100,0.01,Y$2,0.1)</f>
        <v>0.9863191061421841</v>
      </c>
      <c r="Z18" s="2" cm="1">
        <f t="array" ref="Z18">DELTAGREEK($B18,100,0.01,Z$2,0.1)</f>
        <v>0.98497936500003647</v>
      </c>
      <c r="AA18" s="2" cm="1">
        <f t="array" ref="AA18">DELTAGREEK($B18,100,0.01,AA$2,0.1)</f>
        <v>0.98362761750549088</v>
      </c>
      <c r="AB18" s="2" cm="1">
        <f t="array" ref="AB18">DELTAGREEK($B18,100,0.01,AB$2,0.1)</f>
        <v>0.98226875010645842</v>
      </c>
      <c r="AC18" s="2" cm="1">
        <f t="array" ref="AC18">DELTAGREEK($B18,100,0.01,AC$2,0.1)</f>
        <v>0.9809070439593367</v>
      </c>
      <c r="AD18" s="2" cm="1">
        <f t="array" ref="AD18">DELTAGREEK($B18,100,0.01,AD$2,0.1)</f>
        <v>0.97954623260776985</v>
      </c>
      <c r="AE18" s="2" cm="1">
        <f t="array" ref="AE18">DELTAGREEK($B18,100,0.01,AE$2,0.1)</f>
        <v>0.97818955759544346</v>
      </c>
      <c r="AF18" s="2" cm="1">
        <f t="array" ref="AF18">DELTAGREEK($B18,100,0.01,AF$2,0.1)</f>
        <v>0.97683982081086107</v>
      </c>
      <c r="AG18" s="2" cm="1">
        <f t="array" ref="AG18">DELTAGREEK($B18,100,0.01,AG$2,0.1)</f>
        <v>0.97549943293177899</v>
      </c>
      <c r="AH18" s="2" cm="1">
        <f t="array" ref="AH18">DELTAGREEK($B18,100,0.01,AH$2,0.1)</f>
        <v>0.97417045771546407</v>
      </c>
      <c r="AI18" s="2" cm="1">
        <f t="array" ref="AI18">DELTAGREEK($B18,100,0.01,AI$2,0.1)</f>
        <v>0.9728546521259781</v>
      </c>
      <c r="AJ18" s="2" cm="1">
        <f t="array" ref="AJ18">DELTAGREEK($B18,100,0.01,AJ$2,0.1)</f>
        <v>0.97155350244254257</v>
      </c>
      <c r="AK18" s="2" cm="1">
        <f t="array" ref="AK18">DELTAGREEK($B18,100,0.01,AK$2,0.1)</f>
        <v>0.9702682565828864</v>
      </c>
      <c r="AL18" s="2" cm="1">
        <f t="array" ref="AL18">DELTAGREEK($B18,100,0.01,AL$2,0.1)</f>
        <v>0.96899995292284402</v>
      </c>
      <c r="AM18" s="2" cm="1">
        <f t="array" ref="AM18">DELTAGREEK($B18,100,0.01,AM$2,0.1)</f>
        <v>0.96774944591271195</v>
      </c>
      <c r="AN18" s="2" cm="1">
        <f t="array" ref="AN18">DELTAGREEK($B18,100,0.01,AN$2,0.1)</f>
        <v>0.96651742879191405</v>
      </c>
      <c r="AO18" s="2" cm="1">
        <f t="array" ref="AO18">DELTAGREEK($B18,100,0.01,AO$2,0.1)</f>
        <v>0.96530445369324458</v>
      </c>
      <c r="AP18" s="2" cm="1">
        <f t="array" ref="AP18">DELTAGREEK($B18,100,0.01,AP$2,0.1)</f>
        <v>0.9641109494110095</v>
      </c>
      <c r="AQ18" s="2" cm="1">
        <f t="array" ref="AQ18">DELTAGREEK($B18,100,0.01,AQ$2,0.1)</f>
        <v>0.96293723708691936</v>
      </c>
      <c r="AR18" s="2" cm="1">
        <f t="array" ref="AR18">DELTAGREEK($B18,100,0.01,AR$2,0.1)</f>
        <v>0.96178354404569188</v>
      </c>
      <c r="AS18" s="2" cm="1">
        <f t="array" ref="AS18">DELTAGREEK($B18,100,0.01,AS$2,0.1)</f>
        <v>0.96065001599032818</v>
      </c>
      <c r="AT18" s="2" cm="1">
        <f t="array" ref="AT18">DELTAGREEK($B18,100,0.01,AT$2,0.1)</f>
        <v>0.95953672774578858</v>
      </c>
      <c r="AU18" s="2" cm="1">
        <f t="array" ref="AU18">DELTAGREEK($B18,100,0.01,AU$2,0.1)</f>
        <v>0.95844369271979712</v>
      </c>
      <c r="AV18" s="2" cm="1">
        <f t="array" ref="AV18">DELTAGREEK($B18,100,0.01,AV$2,0.1)</f>
        <v>0.95737087123100317</v>
      </c>
      <c r="AW18" s="2" cm="1">
        <f t="array" ref="AW18">DELTAGREEK($B18,100,0.01,AW$2,0.1)</f>
        <v>0.95631817783784678</v>
      </c>
      <c r="AX18" s="2" cm="1">
        <f t="array" ref="AX18">DELTAGREEK($B18,100,0.01,AX$2,0.1)</f>
        <v>0.95528548778619859</v>
      </c>
      <c r="AY18" s="2" cm="1">
        <f t="array" ref="AY18">DELTAGREEK($B18,100,0.01,AY$2,0.1)</f>
        <v>0.95427264268013234</v>
      </c>
      <c r="AZ18" s="2" cm="1">
        <f t="array" ref="AZ18">DELTAGREEK($B18,100,0.01,AZ$2,0.1)</f>
        <v>0.9532794554679479</v>
      </c>
    </row>
    <row r="19" spans="1:52" x14ac:dyDescent="0.3">
      <c r="B19" s="2">
        <v>140</v>
      </c>
      <c r="C19" s="2" cm="1">
        <f t="array" ref="C19">DELTAGREEK($B19,100,0.01,C$2,0.1)</f>
        <v>1</v>
      </c>
      <c r="D19" s="2" cm="1">
        <f t="array" ref="D19">DELTAGREEK($B19,100,0.01,D$2,0.1)</f>
        <v>0.99999999999998412</v>
      </c>
      <c r="E19" s="2" cm="1">
        <f t="array" ref="E19">DELTAGREEK($B19,100,0.01,E$2,0.1)</f>
        <v>0.99999999975964071</v>
      </c>
      <c r="F19" s="2" cm="1">
        <f t="array" ref="F19">DELTAGREEK($B19,100,0.01,F$2,0.1)</f>
        <v>0.99999996934905533</v>
      </c>
      <c r="G19" s="2" cm="1">
        <f t="array" ref="G19">DELTAGREEK($B19,100,0.01,G$2,0.1)</f>
        <v>0.99999942627332528</v>
      </c>
      <c r="H19" s="2" cm="1">
        <f t="array" ref="H19">DELTAGREEK($B19,100,0.01,H$2,0.1)</f>
        <v>0.99999590254116577</v>
      </c>
      <c r="I19" s="2" cm="1">
        <f t="array" ref="I19">DELTAGREEK($B19,100,0.01,I$2,0.1)</f>
        <v>0.99998316518966346</v>
      </c>
      <c r="J19" s="2" cm="1">
        <f t="array" ref="J19">DELTAGREEK($B19,100,0.01,J$2,0.1)</f>
        <v>0.99995111048223762</v>
      </c>
      <c r="K19" s="2" cm="1">
        <f t="array" ref="K19">DELTAGREEK($B19,100,0.01,K$2,0.1)</f>
        <v>0.99988744523010076</v>
      </c>
      <c r="L19" s="2" cm="1">
        <f t="array" ref="L19">DELTAGREEK($B19,100,0.01,L$2,0.1)</f>
        <v>0.99977989302522097</v>
      </c>
      <c r="M19" s="2" cm="1">
        <f t="array" ref="M19">DELTAGREEK($B19,100,0.01,M$2,0.1)</f>
        <v>0.99961791681411738</v>
      </c>
      <c r="N19" s="2" cm="1">
        <f t="array" ref="N19">DELTAGREEK($B19,100,0.01,N$2,0.1)</f>
        <v>0.99939364548979626</v>
      </c>
      <c r="O19" s="2" cm="1">
        <f t="array" ref="O19">DELTAGREEK($B19,100,0.01,O$2,0.1)</f>
        <v>0.99910211862884335</v>
      </c>
      <c r="P19" s="2" cm="1">
        <f t="array" ref="P19">DELTAGREEK($B19,100,0.01,P$2,0.1)</f>
        <v>0.9987410909933111</v>
      </c>
      <c r="Q19" s="2" cm="1">
        <f t="array" ref="Q19">DELTAGREEK($B19,100,0.01,Q$2,0.1)</f>
        <v>0.99831061454925729</v>
      </c>
      <c r="R19" s="2" cm="1">
        <f t="array" ref="R19">DELTAGREEK($B19,100,0.01,R$2,0.1)</f>
        <v>0.99781254842952793</v>
      </c>
      <c r="S19" s="2" cm="1">
        <f t="array" ref="S19">DELTAGREEK($B19,100,0.01,S$2,0.1)</f>
        <v>0.99725008449200914</v>
      </c>
      <c r="T19" s="2" cm="1">
        <f t="array" ref="T19">DELTAGREEK($B19,100,0.01,T$2,0.1)</f>
        <v>0.99662733123011071</v>
      </c>
      <c r="U19" s="2" cm="1">
        <f t="array" ref="U19">DELTAGREEK($B19,100,0.01,U$2,0.1)</f>
        <v>0.99594897098973512</v>
      </c>
      <c r="V19" s="2" cm="1">
        <f t="array" ref="V19">DELTAGREEK($B19,100,0.01,V$2,0.1)</f>
        <v>0.99521999012116835</v>
      </c>
      <c r="W19" s="2" cm="1">
        <f t="array" ref="W19">DELTAGREEK($B19,100,0.01,W$2,0.1)</f>
        <v>0.99444547435126962</v>
      </c>
      <c r="X19" s="2" cm="1">
        <f t="array" ref="X19">DELTAGREEK($B19,100,0.01,X$2,0.1)</f>
        <v>0.99363045897715341</v>
      </c>
      <c r="Y19" s="2" cm="1">
        <f t="array" ref="Y19">DELTAGREEK($B19,100,0.01,Y$2,0.1)</f>
        <v>0.9927798232885382</v>
      </c>
      <c r="Z19" s="2" cm="1">
        <f t="array" ref="Z19">DELTAGREEK($B19,100,0.01,Z$2,0.1)</f>
        <v>0.99189821961543723</v>
      </c>
      <c r="AA19" s="2" cm="1">
        <f t="array" ref="AA19">DELTAGREEK($B19,100,0.01,AA$2,0.1)</f>
        <v>0.99099002883372878</v>
      </c>
      <c r="AB19" s="2" cm="1">
        <f t="array" ref="AB19">DELTAGREEK($B19,100,0.01,AB$2,0.1)</f>
        <v>0.99005933565616466</v>
      </c>
      <c r="AC19" s="2" cm="1">
        <f t="array" ref="AC19">DELTAGREEK($B19,100,0.01,AC$2,0.1)</f>
        <v>0.98910991840697571</v>
      </c>
      <c r="AD19" s="2" cm="1">
        <f t="array" ref="AD19">DELTAGREEK($B19,100,0.01,AD$2,0.1)</f>
        <v>0.98814524915345603</v>
      </c>
      <c r="AE19" s="2" cm="1">
        <f t="array" ref="AE19">DELTAGREEK($B19,100,0.01,AE$2,0.1)</f>
        <v>0.9871685010353537</v>
      </c>
      <c r="AF19" s="2" cm="1">
        <f t="array" ref="AF19">DELTAGREEK($B19,100,0.01,AF$2,0.1)</f>
        <v>0.98618256040797059</v>
      </c>
      <c r="AG19" s="2" cm="1">
        <f t="array" ref="AG19">DELTAGREEK($B19,100,0.01,AG$2,0.1)</f>
        <v>0.985190042023943</v>
      </c>
      <c r="AH19" s="2" cm="1">
        <f t="array" ref="AH19">DELTAGREEK($B19,100,0.01,AH$2,0.1)</f>
        <v>0.98419330595036569</v>
      </c>
      <c r="AI19" s="2" cm="1">
        <f t="array" ref="AI19">DELTAGREEK($B19,100,0.01,AI$2,0.1)</f>
        <v>0.98319447527899484</v>
      </c>
      <c r="AJ19" s="2" cm="1">
        <f t="array" ref="AJ19">DELTAGREEK($B19,100,0.01,AJ$2,0.1)</f>
        <v>0.98219545396092467</v>
      </c>
      <c r="AK19" s="2" cm="1">
        <f t="array" ref="AK19">DELTAGREEK($B19,100,0.01,AK$2,0.1)</f>
        <v>0.98119794430266571</v>
      </c>
      <c r="AL19" s="2" cm="1">
        <f t="array" ref="AL19">DELTAGREEK($B19,100,0.01,AL$2,0.1)</f>
        <v>0.98020346381354773</v>
      </c>
      <c r="AM19" s="2" cm="1">
        <f t="array" ref="AM19">DELTAGREEK($B19,100,0.01,AM$2,0.1)</f>
        <v>0.97921336120717106</v>
      </c>
      <c r="AN19" s="2" cm="1">
        <f t="array" ref="AN19">DELTAGREEK($B19,100,0.01,AN$2,0.1)</f>
        <v>0.97822883144191719</v>
      </c>
      <c r="AO19" s="2" cm="1">
        <f t="array" ref="AO19">DELTAGREEK($B19,100,0.01,AO$2,0.1)</f>
        <v>0.9772509297447769</v>
      </c>
      <c r="AP19" s="2" cm="1">
        <f t="array" ref="AP19">DELTAGREEK($B19,100,0.01,AP$2,0.1)</f>
        <v>0.97628058460472156</v>
      </c>
      <c r="AQ19" s="2" cm="1">
        <f t="array" ref="AQ19">DELTAGREEK($B19,100,0.01,AQ$2,0.1)</f>
        <v>0.97531860975092755</v>
      </c>
      <c r="AR19" s="2" cm="1">
        <f t="array" ref="AR19">DELTAGREEK($B19,100,0.01,AR$2,0.1)</f>
        <v>0.97436571515070713</v>
      </c>
      <c r="AS19" s="2" cm="1">
        <f t="array" ref="AS19">DELTAGREEK($B19,100,0.01,AS$2,0.1)</f>
        <v>0.97342251707452487</v>
      </c>
      <c r="AT19" s="2" cm="1">
        <f t="array" ref="AT19">DELTAGREEK($B19,100,0.01,AT$2,0.1)</f>
        <v>0.97248954728290637</v>
      </c>
      <c r="AU19" s="2" cm="1">
        <f t="array" ref="AU19">DELTAGREEK($B19,100,0.01,AU$2,0.1)</f>
        <v>0.9715672613937939</v>
      </c>
      <c r="AV19" s="2" cm="1">
        <f t="array" ref="AV19">DELTAGREEK($B19,100,0.01,AV$2,0.1)</f>
        <v>0.97065604649004611</v>
      </c>
      <c r="AW19" s="2" cm="1">
        <f t="array" ref="AW19">DELTAGREEK($B19,100,0.01,AW$2,0.1)</f>
        <v>0.96975622802611894</v>
      </c>
      <c r="AX19" s="2" cm="1">
        <f t="array" ref="AX19">DELTAGREEK($B19,100,0.01,AX$2,0.1)</f>
        <v>0.96886807609107373</v>
      </c>
      <c r="AY19" s="2" cm="1">
        <f t="array" ref="AY19">DELTAGREEK($B19,100,0.01,AY$2,0.1)</f>
        <v>0.9679918110823913</v>
      </c>
      <c r="AZ19" s="2" cm="1">
        <f t="array" ref="AZ19">DELTAGREEK($B19,100,0.01,AZ$2,0.1)</f>
        <v>0.96712760884191817</v>
      </c>
    </row>
    <row r="22" spans="1:52" x14ac:dyDescent="0.3">
      <c r="A22" s="2" t="s">
        <v>14</v>
      </c>
      <c r="B22" s="2"/>
      <c r="C22" s="2" t="s">
        <v>12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</row>
    <row r="23" spans="1:52" x14ac:dyDescent="0.3">
      <c r="A23" s="2"/>
      <c r="B23" s="2"/>
      <c r="C23" s="2">
        <v>0.1</v>
      </c>
      <c r="D23" s="2">
        <v>0.2</v>
      </c>
      <c r="E23" s="2">
        <v>0.3</v>
      </c>
      <c r="F23" s="2">
        <v>0.4</v>
      </c>
      <c r="G23" s="2">
        <v>0.5</v>
      </c>
      <c r="H23" s="2">
        <v>0.6</v>
      </c>
      <c r="I23" s="2">
        <v>0.7</v>
      </c>
      <c r="J23" s="2">
        <v>0.8</v>
      </c>
      <c r="K23" s="2">
        <v>0.9</v>
      </c>
      <c r="L23" s="2">
        <v>1</v>
      </c>
      <c r="M23" s="2">
        <v>1.1000000000000001</v>
      </c>
      <c r="N23" s="2">
        <v>1.2</v>
      </c>
      <c r="O23" s="2">
        <v>1.3</v>
      </c>
      <c r="P23" s="2">
        <v>1.4</v>
      </c>
      <c r="Q23" s="2">
        <v>1.5</v>
      </c>
      <c r="R23" s="2">
        <v>1.6</v>
      </c>
      <c r="S23" s="2">
        <v>1.7</v>
      </c>
      <c r="T23" s="2">
        <v>1.8</v>
      </c>
      <c r="U23" s="2">
        <v>1.9</v>
      </c>
      <c r="V23" s="2">
        <v>2</v>
      </c>
      <c r="W23" s="2">
        <v>2.1</v>
      </c>
      <c r="X23" s="2">
        <v>2.2000000000000002</v>
      </c>
      <c r="Y23" s="2">
        <v>2.2999999999999998</v>
      </c>
      <c r="Z23" s="2">
        <v>2.4</v>
      </c>
      <c r="AA23" s="2">
        <v>2.5</v>
      </c>
      <c r="AB23" s="2">
        <v>2.6</v>
      </c>
      <c r="AC23" s="2">
        <v>2.7</v>
      </c>
      <c r="AD23" s="2">
        <v>2.8</v>
      </c>
      <c r="AE23" s="2">
        <v>2.9</v>
      </c>
      <c r="AF23" s="2">
        <v>3</v>
      </c>
      <c r="AG23" s="2">
        <v>3.1</v>
      </c>
      <c r="AH23" s="2">
        <v>3.2</v>
      </c>
      <c r="AI23" s="2">
        <v>3.3</v>
      </c>
      <c r="AJ23" s="2">
        <v>3.4</v>
      </c>
      <c r="AK23" s="2">
        <v>3.5</v>
      </c>
      <c r="AL23" s="2">
        <v>3.6</v>
      </c>
      <c r="AM23" s="2">
        <v>3.7</v>
      </c>
      <c r="AN23" s="2">
        <v>3.8</v>
      </c>
      <c r="AO23" s="2">
        <v>3.9</v>
      </c>
      <c r="AP23" s="2">
        <v>4</v>
      </c>
      <c r="AQ23" s="2">
        <v>4.0999999999999996</v>
      </c>
      <c r="AR23" s="2">
        <v>4.2</v>
      </c>
      <c r="AS23" s="2">
        <v>4.3</v>
      </c>
      <c r="AT23" s="2">
        <v>4.4000000000000004</v>
      </c>
      <c r="AU23" s="2">
        <v>4.5</v>
      </c>
      <c r="AV23" s="2">
        <v>4.5999999999999996</v>
      </c>
      <c r="AW23" s="2">
        <v>4.7</v>
      </c>
      <c r="AX23" s="2">
        <v>4.8</v>
      </c>
      <c r="AY23" s="2">
        <v>4.9000000000000004</v>
      </c>
      <c r="AZ23" s="2">
        <v>5</v>
      </c>
    </row>
    <row r="24" spans="1:52" x14ac:dyDescent="0.3">
      <c r="A24" s="2" t="s">
        <v>11</v>
      </c>
      <c r="B24" s="2">
        <v>60</v>
      </c>
      <c r="C24" s="2" cm="1">
        <f t="array" ref="C24">DELTAGREEK($B24,100,0.01,C$23,0.2)</f>
        <v>4.8964030371398776E-16</v>
      </c>
      <c r="D24" s="2" cm="1">
        <f t="array" ref="D24">DELTAGREEK($B24,100,0.01,D$23,0.2)</f>
        <v>8.3013130785334355E-9</v>
      </c>
      <c r="E24" s="2" cm="1">
        <f t="array" ref="E24">DELTAGREEK($B24,100,0.01,E$23,0.2)</f>
        <v>2.3135653326617134E-6</v>
      </c>
      <c r="F24" s="2" cm="1">
        <f t="array" ref="F24">DELTAGREEK($B24,100,0.01,F$23,0.2)</f>
        <v>4.0139975424484832E-5</v>
      </c>
      <c r="G24" s="2" cm="1">
        <f t="array" ref="G24">DELTAGREEK($B24,100,0.01,G$23,0.2)</f>
        <v>2.2743341786876357E-4</v>
      </c>
      <c r="H24" s="2" cm="1">
        <f t="array" ref="H24">DELTAGREEK($B24,100,0.01,H$23,0.2)</f>
        <v>7.3339315349598712E-4</v>
      </c>
      <c r="I24" s="2" cm="1">
        <f t="array" ref="I24">DELTAGREEK($B24,100,0.01,I$23,0.2)</f>
        <v>1.7097704105366383E-3</v>
      </c>
      <c r="J24" s="2" cm="1">
        <f t="array" ref="J24">DELTAGREEK($B24,100,0.01,J$23,0.2)</f>
        <v>3.2499291224938613E-3</v>
      </c>
      <c r="K24" s="2" cm="1">
        <f t="array" ref="K24">DELTAGREEK($B24,100,0.01,K$23,0.2)</f>
        <v>5.386378691307119E-3</v>
      </c>
      <c r="L24" s="2" cm="1">
        <f t="array" ref="L24">DELTAGREEK($B24,100,0.01,L$23,0.2)</f>
        <v>8.1055453543928818E-3</v>
      </c>
      <c r="M24" s="2" cm="1">
        <f t="array" ref="M24">DELTAGREEK($B24,100,0.01,M$23,0.2)</f>
        <v>1.1364948740576043E-2</v>
      </c>
      <c r="N24" s="2" cm="1">
        <f t="array" ref="N24">DELTAGREEK($B24,100,0.01,N$23,0.2)</f>
        <v>1.5107039450839943E-2</v>
      </c>
      <c r="O24" s="2" cm="1">
        <f t="array" ref="O24">DELTAGREEK($B24,100,0.01,O$23,0.2)</f>
        <v>1.9268716121201734E-2</v>
      </c>
      <c r="P24" s="2" cm="1">
        <f t="array" ref="P24">DELTAGREEK($B24,100,0.01,P$23,0.2)</f>
        <v>2.3787235471596887E-2</v>
      </c>
      <c r="Q24" s="2" cm="1">
        <f t="array" ref="Q24">DELTAGREEK($B24,100,0.01,Q$23,0.2)</f>
        <v>2.8603548354443637E-2</v>
      </c>
      <c r="R24" s="2" cm="1">
        <f t="array" ref="R24">DELTAGREEK($B24,100,0.01,R$23,0.2)</f>
        <v>3.3663947709280953E-2</v>
      </c>
      <c r="S24" s="2" cm="1">
        <f t="array" ref="S24">DELTAGREEK($B24,100,0.01,S$23,0.2)</f>
        <v>3.8920673533683454E-2</v>
      </c>
      <c r="T24" s="2" cm="1">
        <f t="array" ref="T24">DELTAGREEK($B24,100,0.01,T$23,0.2)</f>
        <v>4.4331908636077E-2</v>
      </c>
      <c r="U24" s="2" cm="1">
        <f t="array" ref="U24">DELTAGREEK($B24,100,0.01,U$23,0.2)</f>
        <v>4.98614429634959E-2</v>
      </c>
      <c r="V24" s="2" cm="1">
        <f t="array" ref="V24">DELTAGREEK($B24,100,0.01,V$23,0.2)</f>
        <v>5.5478177979400509E-2</v>
      </c>
      <c r="W24" s="2" cm="1">
        <f t="array" ref="W24">DELTAGREEK($B24,100,0.01,W$23,0.2)</f>
        <v>6.1155573265893465E-2</v>
      </c>
      <c r="X24" s="2" cm="1">
        <f t="array" ref="X24">DELTAGREEK($B24,100,0.01,X$23,0.2)</f>
        <v>6.6871093670488588E-2</v>
      </c>
      <c r="Y24" s="2" cm="1">
        <f t="array" ref="Y24">DELTAGREEK($B24,100,0.01,Y$23,0.2)</f>
        <v>7.2605688211547878E-2</v>
      </c>
      <c r="Z24" s="2" cm="1">
        <f t="array" ref="Z24">DELTAGREEK($B24,100,0.01,Z$23,0.2)</f>
        <v>7.8343315584597784E-2</v>
      </c>
      <c r="AA24" s="2" cm="1">
        <f t="array" ref="AA24">DELTAGREEK($B24,100,0.01,AA$23,0.2)</f>
        <v>8.4070521493168793E-2</v>
      </c>
      <c r="AB24" s="2" cm="1">
        <f t="array" ref="AB24">DELTAGREEK($B24,100,0.01,AB$23,0.2)</f>
        <v>8.9776067593532086E-2</v>
      </c>
      <c r="AC24" s="2" cm="1">
        <f t="array" ref="AC24">DELTAGREEK($B24,100,0.01,AC$23,0.2)</f>
        <v>9.5450608961427263E-2</v>
      </c>
      <c r="AD24" s="2" cm="1">
        <f t="array" ref="AD24">DELTAGREEK($B24,100,0.01,AD$23,0.2)</f>
        <v>0.10108641563679172</v>
      </c>
      <c r="AE24" s="2" cm="1">
        <f t="array" ref="AE24">DELTAGREEK($B24,100,0.01,AE$23,0.2)</f>
        <v>0.10667713334344281</v>
      </c>
      <c r="AF24" s="2" cm="1">
        <f t="array" ref="AF24">DELTAGREEK($B24,100,0.01,AF$23,0.2)</f>
        <v>0.11221757852337162</v>
      </c>
      <c r="AG24" s="2" cm="1">
        <f t="array" ref="AG24">DELTAGREEK($B24,100,0.01,AG$23,0.2)</f>
        <v>0.11770356313214229</v>
      </c>
      <c r="AH24" s="2" cm="1">
        <f t="array" ref="AH24">DELTAGREEK($B24,100,0.01,AH$23,0.2)</f>
        <v>0.12313174507094679</v>
      </c>
      <c r="AI24" s="2" cm="1">
        <f t="array" ref="AI24">DELTAGREEK($B24,100,0.01,AI$23,0.2)</f>
        <v>0.12849950059951584</v>
      </c>
      <c r="AJ24" s="2" cm="1">
        <f t="array" ref="AJ24">DELTAGREEK($B24,100,0.01,AJ$23,0.2)</f>
        <v>0.13380481553607543</v>
      </c>
      <c r="AK24" s="2" cm="1">
        <f t="array" ref="AK24">DELTAGREEK($B24,100,0.01,AK$23,0.2)</f>
        <v>0.13904619248168573</v>
      </c>
      <c r="AL24" s="2" cm="1">
        <f t="array" ref="AL24">DELTAGREEK($B24,100,0.01,AL$23,0.2)</f>
        <v>0.14422257169559402</v>
      </c>
      <c r="AM24" s="2" cm="1">
        <f t="array" ref="AM24">DELTAGREEK($B24,100,0.01,AM$23,0.2)</f>
        <v>0.14933326359231339</v>
      </c>
      <c r="AN24" s="2" cm="1">
        <f t="array" ref="AN24">DELTAGREEK($B24,100,0.01,AN$23,0.2)</f>
        <v>0.15437789113091641</v>
      </c>
      <c r="AO24" s="2" cm="1">
        <f t="array" ref="AO24">DELTAGREEK($B24,100,0.01,AO$23,0.2)</f>
        <v>0.159356340625636</v>
      </c>
      <c r="AP24" s="2" cm="1">
        <f t="array" ref="AP24">DELTAGREEK($B24,100,0.01,AP$23,0.2)</f>
        <v>0.16426871972840887</v>
      </c>
      <c r="AQ24" s="2" cm="1">
        <f t="array" ref="AQ24">DELTAGREEK($B24,100,0.01,AQ$23,0.2)</f>
        <v>0.16911532152288197</v>
      </c>
      <c r="AR24" s="2" cm="1">
        <f t="array" ref="AR24">DELTAGREEK($B24,100,0.01,AR$23,0.2)</f>
        <v>0.17389659382990932</v>
      </c>
      <c r="AS24" s="2" cm="1">
        <f t="array" ref="AS24">DELTAGREEK($B24,100,0.01,AS$23,0.2)</f>
        <v>0.17861311296065552</v>
      </c>
      <c r="AT24" s="2" cm="1">
        <f t="array" ref="AT24">DELTAGREEK($B24,100,0.01,AT$23,0.2)</f>
        <v>0.18326556126865992</v>
      </c>
      <c r="AU24" s="2" cm="1">
        <f t="array" ref="AU24">DELTAGREEK($B24,100,0.01,AU$23,0.2)</f>
        <v>0.18785470794970985</v>
      </c>
      <c r="AV24" s="2" cm="1">
        <f t="array" ref="AV24">DELTAGREEK($B24,100,0.01,AV$23,0.2)</f>
        <v>0.19238139262084494</v>
      </c>
      <c r="AW24" s="2" cm="1">
        <f t="array" ref="AW24">DELTAGREEK($B24,100,0.01,AW$23,0.2)</f>
        <v>0.19684651127958341</v>
      </c>
      <c r="AX24" s="2" cm="1">
        <f t="array" ref="AX24">DELTAGREEK($B24,100,0.01,AX$23,0.2)</f>
        <v>0.20125100430350551</v>
      </c>
      <c r="AY24" s="2" cm="1">
        <f t="array" ref="AY24">DELTAGREEK($B24,100,0.01,AY$23,0.2)</f>
        <v>0.20559584620033078</v>
      </c>
      <c r="AZ24" s="2" cm="1">
        <f t="array" ref="AZ24">DELTAGREEK($B24,100,0.01,AZ$23,0.2)</f>
        <v>0.20988203686100165</v>
      </c>
    </row>
    <row r="25" spans="1:52" x14ac:dyDescent="0.3">
      <c r="A25" s="2"/>
      <c r="B25" s="2">
        <v>65</v>
      </c>
      <c r="C25" s="2" cm="1">
        <f t="array" ref="C25">DELTAGREEK($B25,100,0.01,C$23,0.2)</f>
        <v>6.7189909908190016E-12</v>
      </c>
      <c r="D25" s="2" cm="1">
        <f t="array" ref="D25">DELTAGREEK($B25,100,0.01,D$23,0.2)</f>
        <v>1.0210267589266487E-6</v>
      </c>
      <c r="E25" s="2" cm="1">
        <f t="array" ref="E25">DELTAGREEK($B25,100,0.01,E$23,0.2)</f>
        <v>5.8978518150786739E-5</v>
      </c>
      <c r="F25" s="2" cm="1">
        <f t="array" ref="F25">DELTAGREEK($B25,100,0.01,F$23,0.2)</f>
        <v>4.6519881412379204E-4</v>
      </c>
      <c r="G25" s="2" cm="1">
        <f t="array" ref="G25">DELTAGREEK($B25,100,0.01,G$23,0.2)</f>
        <v>1.6409066155964713E-3</v>
      </c>
      <c r="H25" s="2" cm="1">
        <f t="array" ref="H25">DELTAGREEK($B25,100,0.01,H$23,0.2)</f>
        <v>3.8551173459696964E-3</v>
      </c>
      <c r="I25" s="2" cm="1">
        <f t="array" ref="I25">DELTAGREEK($B25,100,0.01,I$23,0.2)</f>
        <v>7.1642370961297339E-3</v>
      </c>
      <c r="J25" s="2" cm="1">
        <f t="array" ref="J25">DELTAGREEK($B25,100,0.01,J$23,0.2)</f>
        <v>1.1483425231958777E-2</v>
      </c>
      <c r="K25" s="2" cm="1">
        <f t="array" ref="K25">DELTAGREEK($B25,100,0.01,K$23,0.2)</f>
        <v>1.6663450654240793E-2</v>
      </c>
      <c r="L25" s="2" cm="1">
        <f t="array" ref="L25">DELTAGREEK($B25,100,0.01,L$23,0.2)</f>
        <v>2.2539605701555516E-2</v>
      </c>
      <c r="M25" s="2" cm="1">
        <f t="array" ref="M25">DELTAGREEK($B25,100,0.01,M$23,0.2)</f>
        <v>2.8956516367696077E-2</v>
      </c>
      <c r="N25" s="2" cm="1">
        <f t="array" ref="N25">DELTAGREEK($B25,100,0.01,N$23,0.2)</f>
        <v>3.5778269784722351E-2</v>
      </c>
      <c r="O25" s="2" cm="1">
        <f t="array" ref="O25">DELTAGREEK($B25,100,0.01,O$23,0.2)</f>
        <v>4.2890853298264454E-2</v>
      </c>
      <c r="P25" s="2" cm="1">
        <f t="array" ref="P25">DELTAGREEK($B25,100,0.01,P$23,0.2)</f>
        <v>5.020101804994808E-2</v>
      </c>
      <c r="Q25" s="2" cm="1">
        <f t="array" ref="Q25">DELTAGREEK($B25,100,0.01,Q$23,0.2)</f>
        <v>5.7633743789087324E-2</v>
      </c>
      <c r="R25" s="2" cm="1">
        <f t="array" ref="R25">DELTAGREEK($B25,100,0.01,R$23,0.2)</f>
        <v>6.5129373656786574E-2</v>
      </c>
      <c r="S25" s="2" cm="1">
        <f t="array" ref="S25">DELTAGREEK($B25,100,0.01,S$23,0.2)</f>
        <v>7.2640899642307286E-2</v>
      </c>
      <c r="T25" s="2" cm="1">
        <f t="array" ref="T25">DELTAGREEK($B25,100,0.01,T$23,0.2)</f>
        <v>8.0131582720546615E-2</v>
      </c>
      <c r="U25" s="2" cm="1">
        <f t="array" ref="U25">DELTAGREEK($B25,100,0.01,U$23,0.2)</f>
        <v>8.7572949554756502E-2</v>
      </c>
      <c r="V25" s="2" cm="1">
        <f t="array" ref="V25">DELTAGREEK($B25,100,0.01,V$23,0.2)</f>
        <v>9.4943144684704661E-2</v>
      </c>
      <c r="W25" s="2" cm="1">
        <f t="array" ref="W25">DELTAGREEK($B25,100,0.01,W$23,0.2)</f>
        <v>0.10222559338564596</v>
      </c>
      <c r="X25" s="2" cm="1">
        <f t="array" ref="X25">DELTAGREEK($B25,100,0.01,X$23,0.2)</f>
        <v>0.10940792524993151</v>
      </c>
      <c r="Y25" s="2" cm="1">
        <f t="array" ref="Y25">DELTAGREEK($B25,100,0.01,Y$23,0.2)</f>
        <v>0.11648111158152176</v>
      </c>
      <c r="Z25" s="2" cm="1">
        <f t="array" ref="Z25">DELTAGREEK($B25,100,0.01,Z$23,0.2)</f>
        <v>0.12343877576961404</v>
      </c>
      <c r="AA25" s="2" cm="1">
        <f t="array" ref="AA25">DELTAGREEK($B25,100,0.01,AA$23,0.2)</f>
        <v>0.13027664249730267</v>
      </c>
      <c r="AB25" s="2" cm="1">
        <f t="array" ref="AB25">DELTAGREEK($B25,100,0.01,AB$23,0.2)</f>
        <v>0.13699209788616373</v>
      </c>
      <c r="AC25" s="2" cm="1">
        <f t="array" ref="AC25">DELTAGREEK($B25,100,0.01,AC$23,0.2)</f>
        <v>0.14358383809023886</v>
      </c>
      <c r="AD25" s="2" cm="1">
        <f t="array" ref="AD25">DELTAGREEK($B25,100,0.01,AD$23,0.2)</f>
        <v>0.15005158836141061</v>
      </c>
      <c r="AE25" s="2" cm="1">
        <f t="array" ref="AE25">DELTAGREEK($B25,100,0.01,AE$23,0.2)</f>
        <v>0.15639587827818471</v>
      </c>
      <c r="AF25" s="2" cm="1">
        <f t="array" ref="AF25">DELTAGREEK($B25,100,0.01,AF$23,0.2)</f>
        <v>0.16261786177644788</v>
      </c>
      <c r="AG25" s="2" cm="1">
        <f t="array" ref="AG25">DELTAGREEK($B25,100,0.01,AG$23,0.2)</f>
        <v>0.16871917296701835</v>
      </c>
      <c r="AH25" s="2" cm="1">
        <f t="array" ref="AH25">DELTAGREEK($B25,100,0.01,AH$23,0.2)</f>
        <v>0.17470181058420733</v>
      </c>
      <c r="AI25" s="2" cm="1">
        <f t="array" ref="AI25">DELTAGREEK($B25,100,0.01,AI$23,0.2)</f>
        <v>0.18056804537962018</v>
      </c>
      <c r="AJ25" s="2" cm="1">
        <f t="array" ref="AJ25">DELTAGREEK($B25,100,0.01,AJ$23,0.2)</f>
        <v>0.1863203459366041</v>
      </c>
      <c r="AK25" s="2" cm="1">
        <f t="array" ref="AK25">DELTAGREEK($B25,100,0.01,AK$23,0.2)</f>
        <v>0.19196131929818727</v>
      </c>
      <c r="AL25" s="2" cm="1">
        <f t="array" ref="AL25">DELTAGREEK($B25,100,0.01,AL$23,0.2)</f>
        <v>0.19749366352693379</v>
      </c>
      <c r="AM25" s="2" cm="1">
        <f t="array" ref="AM25">DELTAGREEK($B25,100,0.01,AM$23,0.2)</f>
        <v>0.20292012988984076</v>
      </c>
      <c r="AN25" s="2" cm="1">
        <f t="array" ref="AN25">DELTAGREEK($B25,100,0.01,AN$23,0.2)</f>
        <v>0.20824349281746155</v>
      </c>
      <c r="AO25" s="2" cm="1">
        <f t="array" ref="AO25">DELTAGREEK($B25,100,0.01,AO$23,0.2)</f>
        <v>0.21346652614909953</v>
      </c>
      <c r="AP25" s="2" cm="1">
        <f t="array" ref="AP25">DELTAGREEK($B25,100,0.01,AP$23,0.2)</f>
        <v>0.21859198446496683</v>
      </c>
      <c r="AQ25" s="2" cm="1">
        <f t="array" ref="AQ25">DELTAGREEK($B25,100,0.01,AQ$23,0.2)</f>
        <v>0.22362258853712122</v>
      </c>
      <c r="AR25" s="2" cm="1">
        <f t="array" ref="AR25">DELTAGREEK($B25,100,0.01,AR$23,0.2)</f>
        <v>0.22856101411591503</v>
      </c>
      <c r="AS25" s="2" cm="1">
        <f t="array" ref="AS25">DELTAGREEK($B25,100,0.01,AS$23,0.2)</f>
        <v>0.23340988341712735</v>
      </c>
      <c r="AT25" s="2" cm="1">
        <f t="array" ref="AT25">DELTAGREEK($B25,100,0.01,AT$23,0.2)</f>
        <v>0.23817175879439145</v>
      </c>
      <c r="AU25" s="2" cm="1">
        <f t="array" ref="AU25">DELTAGREEK($B25,100,0.01,AU$23,0.2)</f>
        <v>0.24284913817784687</v>
      </c>
      <c r="AV25" s="2" cm="1">
        <f t="array" ref="AV25">DELTAGREEK($B25,100,0.01,AV$23,0.2)</f>
        <v>0.2474444519378089</v>
      </c>
      <c r="AW25" s="2" cm="1">
        <f t="array" ref="AW25">DELTAGREEK($B25,100,0.01,AW$23,0.2)</f>
        <v>0.25196006089531281</v>
      </c>
      <c r="AX25" s="2" cm="1">
        <f t="array" ref="AX25">DELTAGREEK($B25,100,0.01,AX$23,0.2)</f>
        <v>0.25639825525258453</v>
      </c>
      <c r="AY25" s="2" cm="1">
        <f t="array" ref="AY25">DELTAGREEK($B25,100,0.01,AY$23,0.2)</f>
        <v>0.26076125425812735</v>
      </c>
      <c r="AZ25" s="2" cm="1">
        <f t="array" ref="AZ25">DELTAGREEK($B25,100,0.01,AZ$23,0.2)</f>
        <v>0.26505120645503799</v>
      </c>
    </row>
    <row r="26" spans="1:52" x14ac:dyDescent="0.3">
      <c r="A26" s="2"/>
      <c r="B26" s="2">
        <v>70</v>
      </c>
      <c r="C26" s="2" cm="1">
        <f t="array" ref="C26">DELTAGREEK($B26,100,0.01,C$23,0.2)</f>
        <v>1.1217502453550677E-8</v>
      </c>
      <c r="D26" s="2" cm="1">
        <f t="array" ref="D26">DELTAGREEK($B26,100,0.01,D$23,0.2)</f>
        <v>4.4152463014191854E-5</v>
      </c>
      <c r="E26" s="2" cm="1">
        <f t="array" ref="E26">DELTAGREEK($B26,100,0.01,E$23,0.2)</f>
        <v>7.522257491842688E-4</v>
      </c>
      <c r="F26" s="2" cm="1">
        <f t="array" ref="F26">DELTAGREEK($B26,100,0.01,F$23,0.2)</f>
        <v>3.2160999955850558E-3</v>
      </c>
      <c r="G26" s="2" cm="1">
        <f t="array" ref="G26">DELTAGREEK($B26,100,0.01,G$23,0.2)</f>
        <v>7.8458863408448435E-3</v>
      </c>
      <c r="H26" s="2" cm="1">
        <f t="array" ref="H26">DELTAGREEK($B26,100,0.01,H$23,0.2)</f>
        <v>1.4402778602930108E-2</v>
      </c>
      <c r="I26" s="2" cm="1">
        <f t="array" ref="I26">DELTAGREEK($B26,100,0.01,I$23,0.2)</f>
        <v>2.2425911183962036E-2</v>
      </c>
      <c r="J26" s="2" cm="1">
        <f t="array" ref="J26">DELTAGREEK($B26,100,0.01,J$23,0.2)</f>
        <v>3.1463320553836806E-2</v>
      </c>
      <c r="K26" s="2" cm="1">
        <f t="array" ref="K26">DELTAGREEK($B26,100,0.01,K$23,0.2)</f>
        <v>4.1145992558525295E-2</v>
      </c>
      <c r="L26" s="2" cm="1">
        <f t="array" ref="L26">DELTAGREEK($B26,100,0.01,L$23,0.2)</f>
        <v>5.1195105289887979E-2</v>
      </c>
      <c r="M26" s="2" cm="1">
        <f t="array" ref="M26">DELTAGREEK($B26,100,0.01,M$23,0.2)</f>
        <v>6.1408139635557142E-2</v>
      </c>
      <c r="N26" s="2" cm="1">
        <f t="array" ref="N26">DELTAGREEK($B26,100,0.01,N$23,0.2)</f>
        <v>7.1641498120345662E-2</v>
      </c>
      <c r="O26" s="2" cm="1">
        <f t="array" ref="O26">DELTAGREEK($B26,100,0.01,O$23,0.2)</f>
        <v>8.1795262512578237E-2</v>
      </c>
      <c r="P26" s="2" cm="1">
        <f t="array" ref="P26">DELTAGREEK($B26,100,0.01,P$23,0.2)</f>
        <v>9.1801260392343501E-2</v>
      </c>
      <c r="Q26" s="2" cm="1">
        <f t="array" ref="Q26">DELTAGREEK($B26,100,0.01,Q$23,0.2)</f>
        <v>0.10161416217853982</v>
      </c>
      <c r="R26" s="2" cm="1">
        <f t="array" ref="R26">DELTAGREEK($B26,100,0.01,R$23,0.2)</f>
        <v>0.11120498467252012</v>
      </c>
      <c r="S26" s="2" cm="1">
        <f t="array" ref="S26">DELTAGREEK($B26,100,0.01,S$23,0.2)</f>
        <v>0.12055639736525385</v>
      </c>
      <c r="T26" s="2" cm="1">
        <f t="array" ref="T26">DELTAGREEK($B26,100,0.01,T$23,0.2)</f>
        <v>0.12965934377671434</v>
      </c>
      <c r="U26" s="2" cm="1">
        <f t="array" ref="U26">DELTAGREEK($B26,100,0.01,U$23,0.2)</f>
        <v>0.1385106107017941</v>
      </c>
      <c r="V26" s="2" cm="1">
        <f t="array" ref="V26">DELTAGREEK($B26,100,0.01,V$23,0.2)</f>
        <v>0.14711107776501312</v>
      </c>
      <c r="W26" s="2" cm="1">
        <f t="array" ref="W26">DELTAGREEK($B26,100,0.01,W$23,0.2)</f>
        <v>0.15546445509470658</v>
      </c>
      <c r="X26" s="2" cm="1">
        <f t="array" ref="X26">DELTAGREEK($B26,100,0.01,X$23,0.2)</f>
        <v>0.16357637189580812</v>
      </c>
      <c r="Y26" s="2" cm="1">
        <f t="array" ref="Y26">DELTAGREEK($B26,100,0.01,Y$23,0.2)</f>
        <v>0.17145371804571125</v>
      </c>
      <c r="Z26" s="2" cm="1">
        <f t="array" ref="Z26">DELTAGREEK($B26,100,0.01,Z$23,0.2)</f>
        <v>0.1791041687793658</v>
      </c>
      <c r="AA26" s="2" cm="1">
        <f t="array" ref="AA26">DELTAGREEK($B26,100,0.01,AA$23,0.2)</f>
        <v>0.1865358423295817</v>
      </c>
      <c r="AB26" s="2" cm="1">
        <f t="array" ref="AB26">DELTAGREEK($B26,100,0.01,AB$23,0.2)</f>
        <v>0.19375705443414803</v>
      </c>
      <c r="AC26" s="2" cm="1">
        <f t="array" ref="AC26">DELTAGREEK($B26,100,0.01,AC$23,0.2)</f>
        <v>0.20077614361505003</v>
      </c>
      <c r="AD26" s="2" cm="1">
        <f t="array" ref="AD26">DELTAGREEK($B26,100,0.01,AD$23,0.2)</f>
        <v>0.20760134827496235</v>
      </c>
      <c r="AE26" s="2" cm="1">
        <f t="array" ref="AE26">DELTAGREEK($B26,100,0.01,AE$23,0.2)</f>
        <v>0.21424072178129899</v>
      </c>
      <c r="AF26" s="2" cm="1">
        <f t="array" ref="AF26">DELTAGREEK($B26,100,0.01,AF$23,0.2)</f>
        <v>0.22070207540533249</v>
      </c>
      <c r="AG26" s="2" cm="1">
        <f t="array" ref="AG26">DELTAGREEK($B26,100,0.01,AG$23,0.2)</f>
        <v>0.22699294166455727</v>
      </c>
      <c r="AH26" s="2" cm="1">
        <f t="array" ref="AH26">DELTAGREEK($B26,100,0.01,AH$23,0.2)</f>
        <v>0.23312055256974043</v>
      </c>
      <c r="AI26" s="2" cm="1">
        <f t="array" ref="AI26">DELTAGREEK($B26,100,0.01,AI$23,0.2)</f>
        <v>0.23909182870816301</v>
      </c>
      <c r="AJ26" s="2" cm="1">
        <f t="array" ref="AJ26">DELTAGREEK($B26,100,0.01,AJ$23,0.2)</f>
        <v>0.24491337614629433</v>
      </c>
      <c r="AK26" s="2" cm="1">
        <f t="array" ref="AK26">DELTAGREEK($B26,100,0.01,AK$23,0.2)</f>
        <v>0.25059148891190036</v>
      </c>
      <c r="AL26" s="2" cm="1">
        <f t="array" ref="AL26">DELTAGREEK($B26,100,0.01,AL$23,0.2)</f>
        <v>0.25613215539145551</v>
      </c>
      <c r="AM26" s="2" cm="1">
        <f t="array" ref="AM26">DELTAGREEK($B26,100,0.01,AM$23,0.2)</f>
        <v>0.26154106740713817</v>
      </c>
      <c r="AN26" s="2" cm="1">
        <f t="array" ref="AN26">DELTAGREEK($B26,100,0.01,AN$23,0.2)</f>
        <v>0.26682363105734525</v>
      </c>
      <c r="AO26" s="2" cm="1">
        <f t="array" ref="AO26">DELTAGREEK($B26,100,0.01,AO$23,0.2)</f>
        <v>0.27198497864376758</v>
      </c>
      <c r="AP26" s="2" cm="1">
        <f t="array" ref="AP26">DELTAGREEK($B26,100,0.01,AP$23,0.2)</f>
        <v>0.27702998118727484</v>
      </c>
      <c r="AQ26" s="2" cm="1">
        <f t="array" ref="AQ26">DELTAGREEK($B26,100,0.01,AQ$23,0.2)</f>
        <v>0.28196326116934611</v>
      </c>
      <c r="AR26" s="2" cm="1">
        <f t="array" ref="AR26">DELTAGREEK($B26,100,0.01,AR$23,0.2)</f>
        <v>0.28678920523678819</v>
      </c>
      <c r="AS26" s="2" cm="1">
        <f t="array" ref="AS26">DELTAGREEK($B26,100,0.01,AS$23,0.2)</f>
        <v>0.29151197668332007</v>
      </c>
      <c r="AT26" s="2" cm="1">
        <f t="array" ref="AT26">DELTAGREEK($B26,100,0.01,AT$23,0.2)</f>
        <v>0.29613552757850015</v>
      </c>
      <c r="AU26" s="2" cm="1">
        <f t="array" ref="AU26">DELTAGREEK($B26,100,0.01,AU$23,0.2)</f>
        <v>0.3006636104570517</v>
      </c>
      <c r="AV26" s="2" cm="1">
        <f t="array" ref="AV26">DELTAGREEK($B26,100,0.01,AV$23,0.2)</f>
        <v>0.3050997895134186</v>
      </c>
      <c r="AW26" s="2" cm="1">
        <f t="array" ref="AW26">DELTAGREEK($B26,100,0.01,AW$23,0.2)</f>
        <v>0.30944745126994583</v>
      </c>
      <c r="AX26" s="2" cm="1">
        <f t="array" ref="AX26">DELTAGREEK($B26,100,0.01,AX$23,0.2)</f>
        <v>0.31370981470445936</v>
      </c>
      <c r="AY26" s="2" cm="1">
        <f t="array" ref="AY26">DELTAGREEK($B26,100,0.01,AY$23,0.2)</f>
        <v>0.31788994083567279</v>
      </c>
      <c r="AZ26" s="2" cm="1">
        <f t="array" ref="AZ26">DELTAGREEK($B26,100,0.01,AZ$23,0.2)</f>
        <v>0.32199074177395015</v>
      </c>
    </row>
    <row r="27" spans="1:52" x14ac:dyDescent="0.3">
      <c r="A27" s="2"/>
      <c r="B27" s="2">
        <v>75</v>
      </c>
      <c r="C27" s="2" cm="1">
        <f t="array" ref="C27">DELTAGREEK($B27,100,0.01,C$23,0.2)</f>
        <v>3.3782456328086734E-6</v>
      </c>
      <c r="D27" s="2" cm="1">
        <f t="array" ref="D27">DELTAGREEK($B27,100,0.01,D$23,0.2)</f>
        <v>8.1830678243053191E-4</v>
      </c>
      <c r="E27" s="2" cm="1">
        <f t="array" ref="E27">DELTAGREEK($B27,100,0.01,E$23,0.2)</f>
        <v>5.4794346275411467E-3</v>
      </c>
      <c r="F27" s="2" cm="1">
        <f t="array" ref="F27">DELTAGREEK($B27,100,0.01,F$23,0.2)</f>
        <v>1.4648825269289092E-2</v>
      </c>
      <c r="G27" s="2" cm="1">
        <f t="array" ref="G27">DELTAGREEK($B27,100,0.01,G$23,0.2)</f>
        <v>2.6918022682862624E-2</v>
      </c>
      <c r="H27" s="2" cm="1">
        <f t="array" ref="H27">DELTAGREEK($B27,100,0.01,H$23,0.2)</f>
        <v>4.0860172111759546E-2</v>
      </c>
      <c r="I27" s="2" cm="1">
        <f t="array" ref="I27">DELTAGREEK($B27,100,0.01,I$23,0.2)</f>
        <v>5.5498237073536412E-2</v>
      </c>
      <c r="J27" s="2" cm="1">
        <f t="array" ref="J27">DELTAGREEK($B27,100,0.01,J$23,0.2)</f>
        <v>7.0237080583764377E-2</v>
      </c>
      <c r="K27" s="2" cm="1">
        <f t="array" ref="K27">DELTAGREEK($B27,100,0.01,K$23,0.2)</f>
        <v>8.4734011793984751E-2</v>
      </c>
      <c r="L27" s="2" cm="1">
        <f t="array" ref="L27">DELTAGREEK($B27,100,0.01,L$23,0.2)</f>
        <v>9.8801576761747459E-2</v>
      </c>
      <c r="M27" s="2" cm="1">
        <f t="array" ref="M27">DELTAGREEK($B27,100,0.01,M$23,0.2)</f>
        <v>0.11234538879358122</v>
      </c>
      <c r="N27" s="2" cm="1">
        <f t="array" ref="N27">DELTAGREEK($B27,100,0.01,N$23,0.2)</f>
        <v>0.12532619251817742</v>
      </c>
      <c r="O27" s="2" cm="1">
        <f t="array" ref="O27">DELTAGREEK($B27,100,0.01,O$23,0.2)</f>
        <v>0.13773700476185918</v>
      </c>
      <c r="P27" s="2" cm="1">
        <f t="array" ref="P27">DELTAGREEK($B27,100,0.01,P$23,0.2)</f>
        <v>0.14958935042423369</v>
      </c>
      <c r="Q27" s="2" cm="1">
        <f t="array" ref="Q27">DELTAGREEK($B27,100,0.01,Q$23,0.2)</f>
        <v>0.16090495521696008</v>
      </c>
      <c r="R27" s="2" cm="1">
        <f t="array" ref="R27">DELTAGREEK($B27,100,0.01,R$23,0.2)</f>
        <v>0.17171072632004164</v>
      </c>
      <c r="S27" s="2" cm="1">
        <f t="array" ref="S27">DELTAGREEK($B27,100,0.01,S$23,0.2)</f>
        <v>0.18203572901297627</v>
      </c>
      <c r="T27" s="2" cm="1">
        <f t="array" ref="T27">DELTAGREEK($B27,100,0.01,T$23,0.2)</f>
        <v>0.19190938439799884</v>
      </c>
      <c r="U27" s="2" cm="1">
        <f t="array" ref="U27">DELTAGREEK($B27,100,0.01,U$23,0.2)</f>
        <v>0.20136041885932376</v>
      </c>
      <c r="V27" s="2" cm="1">
        <f t="array" ref="V27">DELTAGREEK($B27,100,0.01,V$23,0.2)</f>
        <v>0.21041627797587964</v>
      </c>
      <c r="W27" s="2" cm="1">
        <f t="array" ref="W27">DELTAGREEK($B27,100,0.01,W$23,0.2)</f>
        <v>0.21910282731158265</v>
      </c>
      <c r="X27" s="2" cm="1">
        <f t="array" ref="X27">DELTAGREEK($B27,100,0.01,X$23,0.2)</f>
        <v>0.22744422938818318</v>
      </c>
      <c r="Y27" s="2" cm="1">
        <f t="array" ref="Y27">DELTAGREEK($B27,100,0.01,Y$23,0.2)</f>
        <v>0.23546292738649943</v>
      </c>
      <c r="Z27" s="2" cm="1">
        <f t="array" ref="Z27">DELTAGREEK($B27,100,0.01,Z$23,0.2)</f>
        <v>0.24317969182166643</v>
      </c>
      <c r="AA27" s="2" cm="1">
        <f t="array" ref="AA27">DELTAGREEK($B27,100,0.01,AA$23,0.2)</f>
        <v>0.25061370260316312</v>
      </c>
      <c r="AB27" s="2" cm="1">
        <f t="array" ref="AB27">DELTAGREEK($B27,100,0.01,AB$23,0.2)</f>
        <v>0.2577826491380274</v>
      </c>
      <c r="AC27" s="2" cm="1">
        <f t="array" ref="AC27">DELTAGREEK($B27,100,0.01,AC$23,0.2)</f>
        <v>0.26470283767146119</v>
      </c>
      <c r="AD27" s="2" cm="1">
        <f t="array" ref="AD27">DELTAGREEK($B27,100,0.01,AD$23,0.2)</f>
        <v>0.27138929924413274</v>
      </c>
      <c r="AE27" s="2" cm="1">
        <f t="array" ref="AE27">DELTAGREEK($B27,100,0.01,AE$23,0.2)</f>
        <v>0.27785589432940017</v>
      </c>
      <c r="AF27" s="2" cm="1">
        <f t="array" ref="AF27">DELTAGREEK($B27,100,0.01,AF$23,0.2)</f>
        <v>0.2841154119321706</v>
      </c>
      <c r="AG27" s="2" cm="1">
        <f t="array" ref="AG27">DELTAGREEK($B27,100,0.01,AG$23,0.2)</f>
        <v>0.29017966202529016</v>
      </c>
      <c r="AH27" s="2" cm="1">
        <f t="array" ref="AH27">DELTAGREEK($B27,100,0.01,AH$23,0.2)</f>
        <v>0.29605956088826813</v>
      </c>
      <c r="AI27" s="2" cm="1">
        <f t="array" ref="AI27">DELTAGREEK($B27,100,0.01,AI$23,0.2)</f>
        <v>0.30176520933847961</v>
      </c>
      <c r="AJ27" s="2" cm="1">
        <f t="array" ref="AJ27">DELTAGREEK($B27,100,0.01,AJ$23,0.2)</f>
        <v>0.30730596409901423</v>
      </c>
      <c r="AK27" s="2" cm="1">
        <f t="array" ref="AK27">DELTAGREEK($B27,100,0.01,AK$23,0.2)</f>
        <v>0.31269050269041154</v>
      </c>
      <c r="AL27" s="2" cm="1">
        <f t="array" ref="AL27">DELTAGREEK($B27,100,0.01,AL$23,0.2)</f>
        <v>0.31792688230527566</v>
      </c>
      <c r="AM27" s="2" cm="1">
        <f t="array" ref="AM27">DELTAGREEK($B27,100,0.01,AM$23,0.2)</f>
        <v>0.32302259315128312</v>
      </c>
      <c r="AN27" s="2" cm="1">
        <f t="array" ref="AN27">DELTAGREEK($B27,100,0.01,AN$23,0.2)</f>
        <v>0.32798460674654939</v>
      </c>
      <c r="AO27" s="2" cm="1">
        <f t="array" ref="AO27">DELTAGREEK($B27,100,0.01,AO$23,0.2)</f>
        <v>0.33281941963298078</v>
      </c>
      <c r="AP27" s="2" cm="1">
        <f t="array" ref="AP27">DELTAGREEK($B27,100,0.01,AP$23,0.2)</f>
        <v>0.33753309294546507</v>
      </c>
      <c r="AQ27" s="2" cm="1">
        <f t="array" ref="AQ27">DELTAGREEK($B27,100,0.01,AQ$23,0.2)</f>
        <v>0.34213128824231698</v>
      </c>
      <c r="AR27" s="2" cm="1">
        <f t="array" ref="AR27">DELTAGREEK($B27,100,0.01,AR$23,0.2)</f>
        <v>0.34661929996833829</v>
      </c>
      <c r="AS27" s="2" cm="1">
        <f t="array" ref="AS27">DELTAGREEK($B27,100,0.01,AS$23,0.2)</f>
        <v>0.35100208488805074</v>
      </c>
      <c r="AT27" s="2" cm="1">
        <f t="array" ref="AT27">DELTAGREEK($B27,100,0.01,AT$23,0.2)</f>
        <v>0.35528428879426999</v>
      </c>
      <c r="AU27" s="2" cm="1">
        <f t="array" ref="AU27">DELTAGREEK($B27,100,0.01,AU$23,0.2)</f>
        <v>0.35947027076681459</v>
      </c>
      <c r="AV27" s="2" cm="1">
        <f t="array" ref="AV27">DELTAGREEK($B27,100,0.01,AV$23,0.2)</f>
        <v>0.36356412522811909</v>
      </c>
      <c r="AW27" s="2" cm="1">
        <f t="array" ref="AW27">DELTAGREEK($B27,100,0.01,AW$23,0.2)</f>
        <v>0.36756970201692407</v>
      </c>
      <c r="AX27" s="2" cm="1">
        <f t="array" ref="AX27">DELTAGREEK($B27,100,0.01,AX$23,0.2)</f>
        <v>0.37149062467802979</v>
      </c>
      <c r="AY27" s="2" cm="1">
        <f t="array" ref="AY27">DELTAGREEK($B27,100,0.01,AY$23,0.2)</f>
        <v>0.37533030714521254</v>
      </c>
      <c r="AZ27" s="2" cm="1">
        <f t="array" ref="AZ27">DELTAGREEK($B27,100,0.01,AZ$23,0.2)</f>
        <v>0.37909196897565967</v>
      </c>
    </row>
    <row r="28" spans="1:52" x14ac:dyDescent="0.3">
      <c r="A28" s="2"/>
      <c r="B28" s="2">
        <v>80</v>
      </c>
      <c r="C28" s="2" cm="1">
        <f t="array" ref="C28">DELTAGREEK($B28,100,0.01,C$23,0.2)</f>
        <v>2.4998248472572982E-4</v>
      </c>
      <c r="D28" s="2" cm="1">
        <f t="array" ref="D28">DELTAGREEK($B28,100,0.01,D$23,0.2)</f>
        <v>7.5966424381891306E-3</v>
      </c>
      <c r="E28" s="2" cm="1">
        <f t="array" ref="E28">DELTAGREEK($B28,100,0.01,E$23,0.2)</f>
        <v>2.5300139283739118E-2</v>
      </c>
      <c r="F28" s="2" cm="1">
        <f t="array" ref="F28">DELTAGREEK($B28,100,0.01,F$23,0.2)</f>
        <v>4.7535275559280651E-2</v>
      </c>
      <c r="G28" s="2" cm="1">
        <f t="array" ref="G28">DELTAGREEK($B28,100,0.01,G$23,0.2)</f>
        <v>7.0537829580775702E-2</v>
      </c>
      <c r="H28" s="2" cm="1">
        <f t="array" ref="H28">DELTAGREEK($B28,100,0.01,H$23,0.2)</f>
        <v>9.2718991154622676E-2</v>
      </c>
      <c r="I28" s="2" cm="1">
        <f t="array" ref="I28">DELTAGREEK($B28,100,0.01,I$23,0.2)</f>
        <v>0.11351617326502472</v>
      </c>
      <c r="J28" s="2" cm="1">
        <f t="array" ref="J28">DELTAGREEK($B28,100,0.01,J$23,0.2)</f>
        <v>0.1328013323700564</v>
      </c>
      <c r="K28" s="2" cm="1">
        <f t="array" ref="K28">DELTAGREEK($B28,100,0.01,K$23,0.2)</f>
        <v>0.1506224847545854</v>
      </c>
      <c r="L28" s="2" cm="1">
        <f t="array" ref="L28">DELTAGREEK($B28,100,0.01,L$23,0.2)</f>
        <v>0.16709271590694216</v>
      </c>
      <c r="M28" s="2" cm="1">
        <f t="array" ref="M28">DELTAGREEK($B28,100,0.01,M$23,0.2)</f>
        <v>0.18234255949247846</v>
      </c>
      <c r="N28" s="2" cm="1">
        <f t="array" ref="N28">DELTAGREEK($B28,100,0.01,N$23,0.2)</f>
        <v>0.19649998953177067</v>
      </c>
      <c r="O28" s="2" cm="1">
        <f t="array" ref="O28">DELTAGREEK($B28,100,0.01,O$23,0.2)</f>
        <v>0.20968264557955749</v>
      </c>
      <c r="P28" s="2" cm="1">
        <f t="array" ref="P28">DELTAGREEK($B28,100,0.01,P$23,0.2)</f>
        <v>0.22199550018168396</v>
      </c>
      <c r="Q28" s="2" cm="1">
        <f t="array" ref="Q28">DELTAGREEK($B28,100,0.01,Q$23,0.2)</f>
        <v>0.2335308976570119</v>
      </c>
      <c r="R28" s="2" cm="1">
        <f t="array" ref="R28">DELTAGREEK($B28,100,0.01,R$23,0.2)</f>
        <v>0.24436955432911361</v>
      </c>
      <c r="S28" s="2" cm="1">
        <f t="array" ref="S28">DELTAGREEK($B28,100,0.01,S$23,0.2)</f>
        <v>0.25458187243130437</v>
      </c>
      <c r="T28" s="2" cm="1">
        <f t="array" ref="T28">DELTAGREEK($B28,100,0.01,T$23,0.2)</f>
        <v>0.26422927666514739</v>
      </c>
      <c r="U28" s="2" cm="1">
        <f t="array" ref="U28">DELTAGREEK($B28,100,0.01,U$23,0.2)</f>
        <v>0.27336545117782207</v>
      </c>
      <c r="V28" s="2" cm="1">
        <f t="array" ref="V28">DELTAGREEK($B28,100,0.01,V$23,0.2)</f>
        <v>0.2820374343620774</v>
      </c>
      <c r="W28" s="2" cm="1">
        <f t="array" ref="W28">DELTAGREEK($B28,100,0.01,W$23,0.2)</f>
        <v>0.29028656558317556</v>
      </c>
      <c r="X28" s="2" cm="1">
        <f t="array" ref="X28">DELTAGREEK($B28,100,0.01,X$23,0.2)</f>
        <v>0.29814929381803845</v>
      </c>
      <c r="Y28" s="2" cm="1">
        <f t="array" ref="Y28">DELTAGREEK($B28,100,0.01,Y$23,0.2)</f>
        <v>0.30565786403090789</v>
      </c>
      <c r="Z28" s="2" cm="1">
        <f t="array" ref="Z28">DELTAGREEK($B28,100,0.01,Z$23,0.2)</f>
        <v>0.31284089822087402</v>
      </c>
      <c r="AA28" s="2" cm="1">
        <f t="array" ref="AA28">DELTAGREEK($B28,100,0.01,AA$23,0.2)</f>
        <v>0.31972388708888866</v>
      </c>
      <c r="AB28" s="2" cm="1">
        <f t="array" ref="AB28">DELTAGREEK($B28,100,0.01,AB$23,0.2)</f>
        <v>0.32632960647715559</v>
      </c>
      <c r="AC28" s="2" cm="1">
        <f t="array" ref="AC28">DELTAGREEK($B28,100,0.01,AC$23,0.2)</f>
        <v>0.33267847075158674</v>
      </c>
      <c r="AD28" s="2" cm="1">
        <f t="array" ref="AD28">DELTAGREEK($B28,100,0.01,AD$23,0.2)</f>
        <v>0.33878883340951266</v>
      </c>
      <c r="AE28" s="2" cm="1">
        <f t="array" ref="AE28">DELTAGREEK($B28,100,0.01,AE$23,0.2)</f>
        <v>0.34467724351235207</v>
      </c>
      <c r="AF28" s="2" cm="1">
        <f t="array" ref="AF28">DELTAGREEK($B28,100,0.01,AF$23,0.2)</f>
        <v>0.35035866509647884</v>
      </c>
      <c r="AG28" s="2" cm="1">
        <f t="array" ref="AG28">DELTAGREEK($B28,100,0.01,AG$23,0.2)</f>
        <v>0.35584666549700661</v>
      </c>
      <c r="AH28" s="2" cm="1">
        <f t="array" ref="AH28">DELTAGREEK($B28,100,0.01,AH$23,0.2)</f>
        <v>0.36115357750482757</v>
      </c>
      <c r="AI28" s="2" cm="1">
        <f t="array" ref="AI28">DELTAGREEK($B28,100,0.01,AI$23,0.2)</f>
        <v>0.36629063943853774</v>
      </c>
      <c r="AJ28" s="2" cm="1">
        <f t="array" ref="AJ28">DELTAGREEK($B28,100,0.01,AJ$23,0.2)</f>
        <v>0.37126811652192115</v>
      </c>
      <c r="AK28" s="2" cm="1">
        <f t="array" ref="AK28">DELTAGREEK($B28,100,0.01,AK$23,0.2)</f>
        <v>0.37609540638928918</v>
      </c>
      <c r="AL28" s="2" cm="1">
        <f t="array" ref="AL28">DELTAGREEK($B28,100,0.01,AL$23,0.2)</f>
        <v>0.38078113107346356</v>
      </c>
      <c r="AM28" s="2" cm="1">
        <f t="array" ref="AM28">DELTAGREEK($B28,100,0.01,AM$23,0.2)</f>
        <v>0.38533321744632221</v>
      </c>
      <c r="AN28" s="2" cm="1">
        <f t="array" ref="AN28">DELTAGREEK($B28,100,0.01,AN$23,0.2)</f>
        <v>0.38975896776448393</v>
      </c>
      <c r="AO28" s="2" cm="1">
        <f t="array" ref="AO28">DELTAGREEK($B28,100,0.01,AO$23,0.2)</f>
        <v>0.3940651217105211</v>
      </c>
      <c r="AP28" s="2" cm="1">
        <f t="array" ref="AP28">DELTAGREEK($B28,100,0.01,AP$23,0.2)</f>
        <v>0.39825791110296044</v>
      </c>
      <c r="AQ28" s="2" cm="1">
        <f t="array" ref="AQ28">DELTAGREEK($B28,100,0.01,AQ$23,0.2)</f>
        <v>0.40234310826805381</v>
      </c>
      <c r="AR28" s="2" cm="1">
        <f t="array" ref="AR28">DELTAGREEK($B28,100,0.01,AR$23,0.2)</f>
        <v>0.40632606891621559</v>
      </c>
      <c r="AS28" s="2" cm="1">
        <f t="array" ref="AS28">DELTAGREEK($B28,100,0.01,AS$23,0.2)</f>
        <v>0.41021177024072375</v>
      </c>
      <c r="AT28" s="2" cm="1">
        <f t="array" ref="AT28">DELTAGREEK($B28,100,0.01,AT$23,0.2)</f>
        <v>0.41400484485137434</v>
      </c>
      <c r="AU28" s="2" cm="1">
        <f t="array" ref="AU28">DELTAGREEK($B28,100,0.01,AU$23,0.2)</f>
        <v>0.41770961106769822</v>
      </c>
      <c r="AV28" s="2" cm="1">
        <f t="array" ref="AV28">DELTAGREEK($B28,100,0.01,AV$23,0.2)</f>
        <v>0.42133010002217691</v>
      </c>
      <c r="AW28" s="2" cm="1">
        <f t="array" ref="AW28">DELTAGREEK($B28,100,0.01,AW$23,0.2)</f>
        <v>0.42487007996126691</v>
      </c>
      <c r="AX28" s="2" cm="1">
        <f t="array" ref="AX28">DELTAGREEK($B28,100,0.01,AX$23,0.2)</f>
        <v>0.42833307807900156</v>
      </c>
      <c r="AY28" s="2" cm="1">
        <f t="array" ref="AY28">DELTAGREEK($B28,100,0.01,AY$23,0.2)</f>
        <v>0.43172240017291069</v>
      </c>
      <c r="AZ28" s="2" cm="1">
        <f t="array" ref="AZ28">DELTAGREEK($B28,100,0.01,AZ$23,0.2)</f>
        <v>0.4350411483736476</v>
      </c>
    </row>
    <row r="29" spans="1:52" x14ac:dyDescent="0.3">
      <c r="A29" s="2"/>
      <c r="B29" s="2">
        <v>85</v>
      </c>
      <c r="C29" s="2" cm="1">
        <f t="array" ref="C29">DELTAGREEK($B29,100,0.01,C$23,0.2)</f>
        <v>5.8309081379025133E-3</v>
      </c>
      <c r="D29" s="2" cm="1">
        <f t="array" ref="D29">DELTAGREEK($B29,100,0.01,D$23,0.2)</f>
        <v>4.006477982445996E-2</v>
      </c>
      <c r="E29" s="2" cm="1">
        <f t="array" ref="E29">DELTAGREEK($B29,100,0.01,E$23,0.2)</f>
        <v>8.0542811303141545E-2</v>
      </c>
      <c r="F29" s="2" cm="1">
        <f t="array" ref="F29">DELTAGREEK($B29,100,0.01,F$23,0.2)</f>
        <v>0.11703172121234473</v>
      </c>
      <c r="G29" s="2" cm="1">
        <f t="array" ref="G29">DELTAGREEK($B29,100,0.01,G$23,0.2)</f>
        <v>0.14844720364554423</v>
      </c>
      <c r="H29" s="2" cm="1">
        <f t="array" ref="H29">DELTAGREEK($B29,100,0.01,H$23,0.2)</f>
        <v>0.17544466250951118</v>
      </c>
      <c r="I29" s="2" cm="1">
        <f t="array" ref="I29">DELTAGREEK($B29,100,0.01,I$23,0.2)</f>
        <v>0.19884963648426759</v>
      </c>
      <c r="J29" s="2" cm="1">
        <f t="array" ref="J29">DELTAGREEK($B29,100,0.01,J$23,0.2)</f>
        <v>0.21936358982447049</v>
      </c>
      <c r="K29" s="2" cm="1">
        <f t="array" ref="K29">DELTAGREEK($B29,100,0.01,K$23,0.2)</f>
        <v>0.23753708342668731</v>
      </c>
      <c r="L29" s="2" cm="1">
        <f t="array" ref="L29">DELTAGREEK($B29,100,0.01,L$23,0.2)</f>
        <v>0.2537950995737065</v>
      </c>
      <c r="M29" s="2" cm="1">
        <f t="array" ref="M29">DELTAGREEK($B29,100,0.01,M$23,0.2)</f>
        <v>0.26846657883359648</v>
      </c>
      <c r="N29" s="2" cm="1">
        <f t="array" ref="N29">DELTAGREEK($B29,100,0.01,N$23,0.2)</f>
        <v>0.2818085467068363</v>
      </c>
      <c r="O29" s="2" cm="1">
        <f t="array" ref="O29">DELTAGREEK($B29,100,0.01,O$23,0.2)</f>
        <v>0.29402419148654468</v>
      </c>
      <c r="P29" s="2" cm="1">
        <f t="array" ref="P29">DELTAGREEK($B29,100,0.01,P$23,0.2)</f>
        <v>0.30527608448867577</v>
      </c>
      <c r="Q29" s="2" cm="1">
        <f t="array" ref="Q29">DELTAGREEK($B29,100,0.01,Q$23,0.2)</f>
        <v>0.31569582174174898</v>
      </c>
      <c r="R29" s="2" cm="1">
        <f t="array" ref="R29">DELTAGREEK($B29,100,0.01,R$23,0.2)</f>
        <v>0.32539109837098185</v>
      </c>
      <c r="S29" s="2" cm="1">
        <f t="array" ref="S29">DELTAGREEK($B29,100,0.01,S$23,0.2)</f>
        <v>0.33445094989646668</v>
      </c>
      <c r="T29" s="2" cm="1">
        <f t="array" ref="T29">DELTAGREEK($B29,100,0.01,T$23,0.2)</f>
        <v>0.34294967882467542</v>
      </c>
      <c r="U29" s="2" cm="1">
        <f t="array" ref="U29">DELTAGREEK($B29,100,0.01,U$23,0.2)</f>
        <v>0.350949830181433</v>
      </c>
      <c r="V29" s="2" cm="1">
        <f t="array" ref="V29">DELTAGREEK($B29,100,0.01,V$23,0.2)</f>
        <v>0.35850447187481499</v>
      </c>
      <c r="W29" s="2" cm="1">
        <f t="array" ref="W29">DELTAGREEK($B29,100,0.01,W$23,0.2)</f>
        <v>0.36565896130919351</v>
      </c>
      <c r="X29" s="2" cm="1">
        <f t="array" ref="X29">DELTAGREEK($B29,100,0.01,X$23,0.2)</f>
        <v>0.37245232811557638</v>
      </c>
      <c r="Y29" s="2" cm="1">
        <f t="array" ref="Y29">DELTAGREEK($B29,100,0.01,Y$23,0.2)</f>
        <v>0.37891836693560565</v>
      </c>
      <c r="Z29" s="2" cm="1">
        <f t="array" ref="Z29">DELTAGREEK($B29,100,0.01,Z$23,0.2)</f>
        <v>0.38508650893776336</v>
      </c>
      <c r="AA29" s="2" cm="1">
        <f t="array" ref="AA29">DELTAGREEK($B29,100,0.01,AA$23,0.2)</f>
        <v>0.39098252280993057</v>
      </c>
      <c r="AB29" s="2" cm="1">
        <f t="array" ref="AB29">DELTAGREEK($B29,100,0.01,AB$23,0.2)</f>
        <v>0.39662908310719347</v>
      </c>
      <c r="AC29" s="2" cm="1">
        <f t="array" ref="AC29">DELTAGREEK($B29,100,0.01,AC$23,0.2)</f>
        <v>0.40204623450961674</v>
      </c>
      <c r="AD29" s="2" cm="1">
        <f t="array" ref="AD29">DELTAGREEK($B29,100,0.01,AD$23,0.2)</f>
        <v>0.40725177371859</v>
      </c>
      <c r="AE29" s="2" cm="1">
        <f t="array" ref="AE29">DELTAGREEK($B29,100,0.01,AE$23,0.2)</f>
        <v>0.41226156567410671</v>
      </c>
      <c r="AF29" s="2" cm="1">
        <f t="array" ref="AF29">DELTAGREEK($B29,100,0.01,AF$23,0.2)</f>
        <v>0.41708980700977716</v>
      </c>
      <c r="AG29" s="2" cm="1">
        <f t="array" ref="AG29">DELTAGREEK($B29,100,0.01,AG$23,0.2)</f>
        <v>0.42174924682722104</v>
      </c>
      <c r="AH29" s="2" cm="1">
        <f t="array" ref="AH29">DELTAGREEK($B29,100,0.01,AH$23,0.2)</f>
        <v>0.42625137271853641</v>
      </c>
      <c r="AI29" s="2" cm="1">
        <f t="array" ref="AI29">DELTAGREEK($B29,100,0.01,AI$23,0.2)</f>
        <v>0.43060656831731203</v>
      </c>
      <c r="AJ29" s="2" cm="1">
        <f t="array" ref="AJ29">DELTAGREEK($B29,100,0.01,AJ$23,0.2)</f>
        <v>0.4348242473870238</v>
      </c>
      <c r="AK29" s="2" cm="1">
        <f t="array" ref="AK29">DELTAGREEK($B29,100,0.01,AK$23,0.2)</f>
        <v>0.43891296846734734</v>
      </c>
      <c r="AL29" s="2" cm="1">
        <f t="array" ref="AL29">DELTAGREEK($B29,100,0.01,AL$23,0.2)</f>
        <v>0.44288053332541777</v>
      </c>
      <c r="AM29" s="2" cm="1">
        <f t="array" ref="AM29">DELTAGREEK($B29,100,0.01,AM$23,0.2)</f>
        <v>0.44673407184965563</v>
      </c>
      <c r="AN29" s="2" cm="1">
        <f t="array" ref="AN29">DELTAGREEK($B29,100,0.01,AN$23,0.2)</f>
        <v>0.45048011554059192</v>
      </c>
      <c r="AO29" s="2" cm="1">
        <f t="array" ref="AO29">DELTAGREEK($B29,100,0.01,AO$23,0.2)</f>
        <v>0.45412466136771346</v>
      </c>
      <c r="AP29" s="2" cm="1">
        <f t="array" ref="AP29">DELTAGREEK($B29,100,0.01,AP$23,0.2)</f>
        <v>0.45767322745215844</v>
      </c>
      <c r="AQ29" s="2" cm="1">
        <f t="array" ref="AQ29">DELTAGREEK($B29,100,0.01,AQ$23,0.2)</f>
        <v>0.4611309017856835</v>
      </c>
      <c r="AR29" s="2" cm="1">
        <f t="array" ref="AR29">DELTAGREEK($B29,100,0.01,AR$23,0.2)</f>
        <v>0.46450238499409358</v>
      </c>
      <c r="AS29" s="2" cm="1">
        <f t="array" ref="AS29">DELTAGREEK($B29,100,0.01,AS$23,0.2)</f>
        <v>0.46779202798852265</v>
      </c>
      <c r="AT29" s="2" cm="1">
        <f t="array" ref="AT29">DELTAGREEK($B29,100,0.01,AT$23,0.2)</f>
        <v>0.47100386521302007</v>
      </c>
      <c r="AU29" s="2" cm="1">
        <f t="array" ref="AU29">DELTAGREEK($B29,100,0.01,AU$23,0.2)</f>
        <v>0.4741416440859037</v>
      </c>
      <c r="AV29" s="2" cm="1">
        <f t="array" ref="AV29">DELTAGREEK($B29,100,0.01,AV$23,0.2)</f>
        <v>0.47720885114065364</v>
      </c>
      <c r="AW29" s="2" cm="1">
        <f t="array" ref="AW29">DELTAGREEK($B29,100,0.01,AW$23,0.2)</f>
        <v>0.48020873529605357</v>
      </c>
      <c r="AX29" s="2" cm="1">
        <f t="array" ref="AX29">DELTAGREEK($B29,100,0.01,AX$23,0.2)</f>
        <v>0.48314432862193474</v>
      </c>
      <c r="AY29" s="2" cm="1">
        <f t="array" ref="AY29">DELTAGREEK($B29,100,0.01,AY$23,0.2)</f>
        <v>0.48601846491390588</v>
      </c>
      <c r="AZ29" s="2" cm="1">
        <f t="array" ref="AZ29">DELTAGREEK($B29,100,0.01,AZ$23,0.2)</f>
        <v>0.48883379634600066</v>
      </c>
    </row>
    <row r="30" spans="1:52" x14ac:dyDescent="0.3">
      <c r="A30" s="2"/>
      <c r="B30" s="2">
        <v>90</v>
      </c>
      <c r="C30" s="2" cm="1">
        <f t="array" ref="C30">DELTAGREEK($B30,100,0.01,C$23,0.2)</f>
        <v>5.278154999693481E-2</v>
      </c>
      <c r="D30" s="2" cm="1">
        <f t="array" ref="D30">DELTAGREEK($B30,100,0.01,D$23,0.2)</f>
        <v>0.13330906924780192</v>
      </c>
      <c r="E30" s="2" cm="1">
        <f t="array" ref="E30">DELTAGREEK($B30,100,0.01,E$23,0.2)</f>
        <v>0.18952524812777738</v>
      </c>
      <c r="F30" s="2" cm="1">
        <f t="array" ref="F30">DELTAGREEK($B30,100,0.01,F$23,0.2)</f>
        <v>0.2302330146985728</v>
      </c>
      <c r="G30" s="2" cm="1">
        <f t="array" ref="G30">DELTAGREEK($B30,100,0.01,G$23,0.2)</f>
        <v>0.26142924756390207</v>
      </c>
      <c r="H30" s="2" cm="1">
        <f t="array" ref="H30">DELTAGREEK($B30,100,0.01,H$23,0.2)</f>
        <v>0.28640779285454132</v>
      </c>
      <c r="I30" s="2" cm="1">
        <f t="array" ref="I30">DELTAGREEK($B30,100,0.01,I$23,0.2)</f>
        <v>0.30707780777053395</v>
      </c>
      <c r="J30" s="2" cm="1">
        <f t="array" ref="J30">DELTAGREEK($B30,100,0.01,J$23,0.2)</f>
        <v>0.32461969070784658</v>
      </c>
      <c r="K30" s="2" cm="1">
        <f t="array" ref="K30">DELTAGREEK($B30,100,0.01,K$23,0.2)</f>
        <v>0.33980470618375225</v>
      </c>
      <c r="L30" s="2" cm="1">
        <f t="array" ref="L30">DELTAGREEK($B30,100,0.01,L$23,0.2)</f>
        <v>0.35316016226972924</v>
      </c>
      <c r="M30" s="2" cm="1">
        <f t="array" ref="M30">DELTAGREEK($B30,100,0.01,M$23,0.2)</f>
        <v>0.36506025783707302</v>
      </c>
      <c r="N30" s="2" cm="1">
        <f t="array" ref="N30">DELTAGREEK($B30,100,0.01,N$23,0.2)</f>
        <v>0.37577888315468977</v>
      </c>
      <c r="O30" s="2" cm="1">
        <f t="array" ref="O30">DELTAGREEK($B30,100,0.01,O$23,0.2)</f>
        <v>0.38552179285122318</v>
      </c>
      <c r="P30" s="2" cm="1">
        <f t="array" ref="P30">DELTAGREEK($B30,100,0.01,P$23,0.2)</f>
        <v>0.39444701662134507</v>
      </c>
      <c r="Q30" s="2" cm="1">
        <f t="array" ref="Q30">DELTAGREEK($B30,100,0.01,Q$23,0.2)</f>
        <v>0.40267826359116315</v>
      </c>
      <c r="R30" s="2" cm="1">
        <f t="array" ref="R30">DELTAGREEK($B30,100,0.01,R$23,0.2)</f>
        <v>0.41031399247866929</v>
      </c>
      <c r="S30" s="2" cm="1">
        <f t="array" ref="S30">DELTAGREEK($B30,100,0.01,S$23,0.2)</f>
        <v>0.41743371087780085</v>
      </c>
      <c r="T30" s="2" cm="1">
        <f t="array" ref="T30">DELTAGREEK($B30,100,0.01,T$23,0.2)</f>
        <v>0.42410245130310503</v>
      </c>
      <c r="U30" s="2" cm="1">
        <f t="array" ref="U30">DELTAGREEK($B30,100,0.01,U$23,0.2)</f>
        <v>0.43037401664793751</v>
      </c>
      <c r="V30" s="2" cm="1">
        <f t="array" ref="V30">DELTAGREEK($B30,100,0.01,V$23,0.2)</f>
        <v>0.43629337610345331</v>
      </c>
      <c r="W30" s="2" cm="1">
        <f t="array" ref="W30">DELTAGREEK($B30,100,0.01,W$23,0.2)</f>
        <v>0.44189846265102495</v>
      </c>
      <c r="X30" s="2" cm="1">
        <f t="array" ref="X30">DELTAGREEK($B30,100,0.01,X$23,0.2)</f>
        <v>0.44722154131108316</v>
      </c>
      <c r="Y30" s="2" cm="1">
        <f t="array" ref="Y30">DELTAGREEK($B30,100,0.01,Y$23,0.2)</f>
        <v>0.45229026442465065</v>
      </c>
      <c r="Z30" s="2" cm="1">
        <f t="array" ref="Z30">DELTAGREEK($B30,100,0.01,Z$23,0.2)</f>
        <v>0.45712849533526745</v>
      </c>
      <c r="AA30" s="2" cm="1">
        <f t="array" ref="AA30">DELTAGREEK($B30,100,0.01,AA$23,0.2)</f>
        <v>0.46175695835143238</v>
      </c>
      <c r="AB30" s="2" cm="1">
        <f t="array" ref="AB30">DELTAGREEK($B30,100,0.01,AB$23,0.2)</f>
        <v>0.46619375678267777</v>
      </c>
      <c r="AC30" s="2" cm="1">
        <f t="array" ref="AC30">DELTAGREEK($B30,100,0.01,AC$23,0.2)</f>
        <v>0.47045478964324927</v>
      </c>
      <c r="AD30" s="2" cm="1">
        <f t="array" ref="AD30">DELTAGREEK($B30,100,0.01,AD$23,0.2)</f>
        <v>0.47455408970351598</v>
      </c>
      <c r="AE30" s="2" cm="1">
        <f t="array" ref="AE30">DELTAGREEK($B30,100,0.01,AE$23,0.2)</f>
        <v>0.47850409989936815</v>
      </c>
      <c r="AF30" s="2" cm="1">
        <f t="array" ref="AF30">DELTAGREEK($B30,100,0.01,AF$23,0.2)</f>
        <v>0.48231590099564642</v>
      </c>
      <c r="AG30" s="2" cm="1">
        <f t="array" ref="AG30">DELTAGREEK($B30,100,0.01,AG$23,0.2)</f>
        <v>0.48599940037882688</v>
      </c>
      <c r="AH30" s="2" cm="1">
        <f t="array" ref="AH30">DELTAGREEK($B30,100,0.01,AH$23,0.2)</f>
        <v>0.48956348961171509</v>
      </c>
      <c r="AI30" s="2" cm="1">
        <f t="array" ref="AI30">DELTAGREEK($B30,100,0.01,AI$23,0.2)</f>
        <v>0.49301617670113479</v>
      </c>
      <c r="AJ30" s="2" cm="1">
        <f t="array" ref="AJ30">DELTAGREEK($B30,100,0.01,AJ$23,0.2)</f>
        <v>0.49636469775623449</v>
      </c>
      <c r="AK30" s="2" cm="1">
        <f t="array" ref="AK30">DELTAGREEK($B30,100,0.01,AK$23,0.2)</f>
        <v>0.49961561174225017</v>
      </c>
      <c r="AL30" s="2" cm="1">
        <f t="array" ref="AL30">DELTAGREEK($B30,100,0.01,AL$23,0.2)</f>
        <v>0.50277488128514203</v>
      </c>
      <c r="AM30" s="2" cm="1">
        <f t="array" ref="AM30">DELTAGREEK($B30,100,0.01,AM$23,0.2)</f>
        <v>0.50584794190061788</v>
      </c>
      <c r="AN30" s="2" cm="1">
        <f t="array" ref="AN30">DELTAGREEK($B30,100,0.01,AN$23,0.2)</f>
        <v>0.50883976156585198</v>
      </c>
      <c r="AO30" s="2" cm="1">
        <f t="array" ref="AO30">DELTAGREEK($B30,100,0.01,AO$23,0.2)</f>
        <v>0.51175489219362258</v>
      </c>
      <c r="AP30" s="2" cm="1">
        <f t="array" ref="AP30">DELTAGREEK($B30,100,0.01,AP$23,0.2)</f>
        <v>0.51459751428423428</v>
      </c>
      <c r="AQ30" s="2" cm="1">
        <f t="array" ref="AQ30">DELTAGREEK($B30,100,0.01,AQ$23,0.2)</f>
        <v>0.51737147580369114</v>
      </c>
      <c r="AR30" s="2" cm="1">
        <f t="array" ref="AR30">DELTAGREEK($B30,100,0.01,AR$23,0.2)</f>
        <v>0.52008032615444821</v>
      </c>
      <c r="AS30" s="2" cm="1">
        <f t="array" ref="AS30">DELTAGREEK($B30,100,0.01,AS$23,0.2)</f>
        <v>0.52272734595803705</v>
      </c>
      <c r="AT30" s="2" cm="1">
        <f t="array" ref="AT30">DELTAGREEK($B30,100,0.01,AT$23,0.2)</f>
        <v>0.52531557324954403</v>
      </c>
      <c r="AU30" s="2" cm="1">
        <f t="array" ref="AU30">DELTAGREEK($B30,100,0.01,AU$23,0.2)</f>
        <v>0.52784782658657559</v>
      </c>
      <c r="AV30" s="2" cm="1">
        <f t="array" ref="AV30">DELTAGREEK($B30,100,0.01,AV$23,0.2)</f>
        <v>0.53032672549557058</v>
      </c>
      <c r="AW30" s="2" cm="1">
        <f t="array" ref="AW30">DELTAGREEK($B30,100,0.01,AW$23,0.2)</f>
        <v>0.53275470861261276</v>
      </c>
      <c r="AX30" s="2" cm="1">
        <f t="array" ref="AX30">DELTAGREEK($B30,100,0.01,AX$23,0.2)</f>
        <v>0.53513404982155865</v>
      </c>
      <c r="AY30" s="2" cm="1">
        <f t="array" ref="AY30">DELTAGREEK($B30,100,0.01,AY$23,0.2)</f>
        <v>0.5374668726471532</v>
      </c>
      <c r="AZ30" s="2" cm="1">
        <f t="array" ref="AZ30">DELTAGREEK($B30,100,0.01,AZ$23,0.2)</f>
        <v>0.53975516312316763</v>
      </c>
    </row>
    <row r="31" spans="1:52" x14ac:dyDescent="0.3">
      <c r="A31" s="2"/>
      <c r="B31" s="2">
        <v>95</v>
      </c>
      <c r="C31" s="2" cm="1">
        <f t="array" ref="C31">DELTAGREEK($B31,100,0.01,C$23,0.2)</f>
        <v>0.22255758462414449</v>
      </c>
      <c r="D31" s="2" cm="1">
        <f t="array" ref="D31">DELTAGREEK($B31,100,0.01,D$23,0.2)</f>
        <v>0.3062898934344146</v>
      </c>
      <c r="E31" s="2" cm="1">
        <f t="array" ref="E31">DELTAGREEK($B31,100,0.01,E$23,0.2)</f>
        <v>0.34971752968021519</v>
      </c>
      <c r="F31" s="2" cm="1">
        <f t="array" ref="F31">DELTAGREEK($B31,100,0.01,F$23,0.2)</f>
        <v>0.37803686566564765</v>
      </c>
      <c r="G31" s="2" cm="1">
        <f t="array" ref="G31">DELTAGREEK($B31,100,0.01,G$23,0.2)</f>
        <v>0.39873130138189328</v>
      </c>
      <c r="H31" s="2" cm="1">
        <f t="array" ref="H31">DELTAGREEK($B31,100,0.01,H$23,0.2)</f>
        <v>0.41491980008730484</v>
      </c>
      <c r="I31" s="2" cm="1">
        <f t="array" ref="I31">DELTAGREEK($B31,100,0.01,I$23,0.2)</f>
        <v>0.42816924322332078</v>
      </c>
      <c r="J31" s="2" cm="1">
        <f t="array" ref="J31">DELTAGREEK($B31,100,0.01,J$23,0.2)</f>
        <v>0.4393670542417723</v>
      </c>
      <c r="K31" s="2" cm="1">
        <f t="array" ref="K31">DELTAGREEK($B31,100,0.01,K$23,0.2)</f>
        <v>0.4490598842795181</v>
      </c>
      <c r="L31" s="2" cm="1">
        <f t="array" ref="L31">DELTAGREEK($B31,100,0.01,L$23,0.2)</f>
        <v>0.45760612784927152</v>
      </c>
      <c r="M31" s="2" cm="1">
        <f t="array" ref="M31">DELTAGREEK($B31,100,0.01,M$23,0.2)</f>
        <v>0.46525235136922211</v>
      </c>
      <c r="N31" s="2" cm="1">
        <f t="array" ref="N31">DELTAGREEK($B31,100,0.01,N$23,0.2)</f>
        <v>0.47217482402712885</v>
      </c>
      <c r="O31" s="2" cm="1">
        <f t="array" ref="O31">DELTAGREEK($B31,100,0.01,O$23,0.2)</f>
        <v>0.47850356929715504</v>
      </c>
      <c r="P31" s="2" cm="1">
        <f t="array" ref="P31">DELTAGREEK($B31,100,0.01,P$23,0.2)</f>
        <v>0.48433702958586061</v>
      </c>
      <c r="Q31" s="2" cm="1">
        <f t="array" ref="Q31">DELTAGREEK($B31,100,0.01,Q$23,0.2)</f>
        <v>0.48975139603061985</v>
      </c>
      <c r="R31" s="2" cm="1">
        <f t="array" ref="R31">DELTAGREEK($B31,100,0.01,R$23,0.2)</f>
        <v>0.49480676032088439</v>
      </c>
      <c r="S31" s="2" cm="1">
        <f t="array" ref="S31">DELTAGREEK($B31,100,0.01,S$23,0.2)</f>
        <v>0.49955129669299941</v>
      </c>
      <c r="T31" s="2" cm="1">
        <f t="array" ref="T31">DELTAGREEK($B31,100,0.01,T$23,0.2)</f>
        <v>0.50402418071952249</v>
      </c>
      <c r="U31" s="2" cm="1">
        <f t="array" ref="U31">DELTAGREEK($B31,100,0.01,U$23,0.2)</f>
        <v>0.50825767381225684</v>
      </c>
      <c r="V31" s="2" cm="1">
        <f t="array" ref="V31">DELTAGREEK($B31,100,0.01,V$23,0.2)</f>
        <v>0.51227864232904818</v>
      </c>
      <c r="W31" s="2" cm="1">
        <f t="array" ref="W31">DELTAGREEK($B31,100,0.01,W$23,0.2)</f>
        <v>0.51610968469145047</v>
      </c>
      <c r="X31" s="2" cm="1">
        <f t="array" ref="X31">DELTAGREEK($B31,100,0.01,X$23,0.2)</f>
        <v>0.51976998117968054</v>
      </c>
      <c r="Y31" s="2" cm="1">
        <f t="array" ref="Y31">DELTAGREEK($B31,100,0.01,Y$23,0.2)</f>
        <v>0.52327594394049248</v>
      </c>
      <c r="Z31" s="2" cm="1">
        <f t="array" ref="Z31">DELTAGREEK($B31,100,0.01,Z$23,0.2)</f>
        <v>0.52664172069704729</v>
      </c>
      <c r="AA31" s="2" cm="1">
        <f t="array" ref="AA31">DELTAGREEK($B31,100,0.01,AA$23,0.2)</f>
        <v>0.52987958973399629</v>
      </c>
      <c r="AB31" s="2" cm="1">
        <f t="array" ref="AB31">DELTAGREEK($B31,100,0.01,AB$23,0.2)</f>
        <v>0.53300027298721719</v>
      </c>
      <c r="AC31" s="2" cm="1">
        <f t="array" ref="AC31">DELTAGREEK($B31,100,0.01,AC$23,0.2)</f>
        <v>0.53601318668433895</v>
      </c>
      <c r="AD31" s="2" cm="1">
        <f t="array" ref="AD31">DELTAGREEK($B31,100,0.01,AD$23,0.2)</f>
        <v>0.53892664382474942</v>
      </c>
      <c r="AE31" s="2" cm="1">
        <f t="array" ref="AE31">DELTAGREEK($B31,100,0.01,AE$23,0.2)</f>
        <v>0.54174801913089643</v>
      </c>
      <c r="AF31" s="2" cm="1">
        <f t="array" ref="AF31">DELTAGREEK($B31,100,0.01,AF$23,0.2)</f>
        <v>0.54448388447384266</v>
      </c>
      <c r="AG31" s="2" cm="1">
        <f t="array" ref="AG31">DELTAGREEK($B31,100,0.01,AG$23,0.2)</f>
        <v>0.54714012086206809</v>
      </c>
      <c r="AH31" s="2" cm="1">
        <f t="array" ref="AH31">DELTAGREEK($B31,100,0.01,AH$23,0.2)</f>
        <v>0.54972201167254986</v>
      </c>
      <c r="AI31" s="2" cm="1">
        <f t="array" ref="AI31">DELTAGREEK($B31,100,0.01,AI$23,0.2)</f>
        <v>0.55223432075305845</v>
      </c>
      <c r="AJ31" s="2" cm="1">
        <f t="array" ref="AJ31">DELTAGREEK($B31,100,0.01,AJ$23,0.2)</f>
        <v>0.55468135823454923</v>
      </c>
      <c r="AK31" s="2" cm="1">
        <f t="array" ref="AK31">DELTAGREEK($B31,100,0.01,AK$23,0.2)</f>
        <v>0.55706703629244669</v>
      </c>
      <c r="AL31" s="2" cm="1">
        <f t="array" ref="AL31">DELTAGREEK($B31,100,0.01,AL$23,0.2)</f>
        <v>0.55939491663575436</v>
      </c>
      <c r="AM31" s="2" cm="1">
        <f t="array" ref="AM31">DELTAGREEK($B31,100,0.01,AM$23,0.2)</f>
        <v>0.56166825114757812</v>
      </c>
      <c r="AN31" s="2" cm="1">
        <f t="array" ref="AN31">DELTAGREEK($B31,100,0.01,AN$23,0.2)</f>
        <v>0.56389001682390893</v>
      </c>
      <c r="AO31" s="2" cm="1">
        <f t="array" ref="AO31">DELTAGREEK($B31,100,0.01,AO$23,0.2)</f>
        <v>0.56606294594038431</v>
      </c>
      <c r="AP31" s="2" cm="1">
        <f t="array" ref="AP31">DELTAGREEK($B31,100,0.01,AP$23,0.2)</f>
        <v>0.56818955220522305</v>
      </c>
      <c r="AQ31" s="2" cm="1">
        <f t="array" ref="AQ31">DELTAGREEK($B31,100,0.01,AQ$23,0.2)</f>
        <v>0.57027215352011473</v>
      </c>
      <c r="AR31" s="2" cm="1">
        <f t="array" ref="AR31">DELTAGREEK($B31,100,0.01,AR$23,0.2)</f>
        <v>0.57231289186170176</v>
      </c>
      <c r="AS31" s="2" cm="1">
        <f t="array" ref="AS31">DELTAGREEK($B31,100,0.01,AS$23,0.2)</f>
        <v>0.57431375070843294</v>
      </c>
      <c r="AT31" s="2" cm="1">
        <f t="array" ref="AT31">DELTAGREEK($B31,100,0.01,AT$23,0.2)</f>
        <v>0.57627657036646029</v>
      </c>
      <c r="AU31" s="2" cm="1">
        <f t="array" ref="AU31">DELTAGREEK($B31,100,0.01,AU$23,0.2)</f>
        <v>0.57820306149038636</v>
      </c>
      <c r="AV31" s="2" cm="1">
        <f t="array" ref="AV31">DELTAGREEK($B31,100,0.01,AV$23,0.2)</f>
        <v>0.58009481704734711</v>
      </c>
      <c r="AW31" s="2" cm="1">
        <f t="array" ref="AW31">DELTAGREEK($B31,100,0.01,AW$23,0.2)</f>
        <v>0.58195332293402713</v>
      </c>
      <c r="AX31" s="2" cm="1">
        <f t="array" ref="AX31">DELTAGREEK($B31,100,0.01,AX$23,0.2)</f>
        <v>0.58377996742410165</v>
      </c>
      <c r="AY31" s="2" cm="1">
        <f t="array" ref="AY31">DELTAGREEK($B31,100,0.01,AY$23,0.2)</f>
        <v>0.58557604959697751</v>
      </c>
      <c r="AZ31" s="2" cm="1">
        <f t="array" ref="AZ31">DELTAGREEK($B31,100,0.01,AZ$23,0.2)</f>
        <v>0.58734278687654107</v>
      </c>
    </row>
    <row r="32" spans="1:52" x14ac:dyDescent="0.3">
      <c r="A32" s="2"/>
      <c r="B32" s="2">
        <v>100</v>
      </c>
      <c r="C32" s="2" cm="1">
        <f t="array" ref="C32">DELTAGREEK($B32,100,0.01,C$23,0.2)</f>
        <v>0.51891639999929629</v>
      </c>
      <c r="D32" s="2" cm="1">
        <f t="array" ref="D32">DELTAGREEK($B32,100,0.01,D$23,0.2)</f>
        <v>0.5267418038869226</v>
      </c>
      <c r="E32" s="2" cm="1">
        <f t="array" ref="E32">DELTAGREEK($B32,100,0.01,E$23,0.2)</f>
        <v>0.53273961671267711</v>
      </c>
      <c r="F32" s="2" cm="1">
        <f t="array" ref="F32">DELTAGREEK($B32,100,0.01,F$23,0.2)</f>
        <v>0.53779029390666466</v>
      </c>
      <c r="G32" s="2" cm="1">
        <f t="array" ref="G32">DELTAGREEK($B32,100,0.01,G$23,0.2)</f>
        <v>0.54223501331161406</v>
      </c>
      <c r="H32" s="2" cm="1">
        <f t="array" ref="H32">DELTAGREEK($B32,100,0.01,H$23,0.2)</f>
        <v>0.54624882106468031</v>
      </c>
      <c r="I32" s="2" cm="1">
        <f t="array" ref="I32">DELTAGREEK($B32,100,0.01,I$23,0.2)</f>
        <v>0.54993574324296035</v>
      </c>
      <c r="J32" s="2" cm="1">
        <f t="array" ref="J32">DELTAGREEK($B32,100,0.01,J$23,0.2)</f>
        <v>0.55336358492889404</v>
      </c>
      <c r="K32" s="2" cm="1">
        <f t="array" ref="K32">DELTAGREEK($B32,100,0.01,K$23,0.2)</f>
        <v>0.55657946195545982</v>
      </c>
      <c r="L32" s="2" cm="1">
        <f t="array" ref="L32">DELTAGREEK($B32,100,0.01,L$23,0.2)</f>
        <v>0.5596176923702425</v>
      </c>
      <c r="M32" s="2" cm="1">
        <f t="array" ref="M32">DELTAGREEK($B32,100,0.01,M$23,0.2)</f>
        <v>0.56250419357487125</v>
      </c>
      <c r="N32" s="2" cm="1">
        <f t="array" ref="N32">DELTAGREEK($B32,100,0.01,N$23,0.2)</f>
        <v>0.56525910863091922</v>
      </c>
      <c r="O32" s="2" cm="1">
        <f t="array" ref="O32">DELTAGREEK($B32,100,0.01,O$23,0.2)</f>
        <v>0.56789846248781028</v>
      </c>
      <c r="P32" s="2" cm="1">
        <f t="array" ref="P32">DELTAGREEK($B32,100,0.01,P$23,0.2)</f>
        <v>0.57043525317537325</v>
      </c>
      <c r="Q32" s="2" cm="1">
        <f t="array" ref="Q32">DELTAGREEK($B32,100,0.01,Q$23,0.2)</f>
        <v>0.57288019711595339</v>
      </c>
      <c r="R32" s="2" cm="1">
        <f t="array" ref="R32">DELTAGREEK($B32,100,0.01,R$23,0.2)</f>
        <v>0.57524225381748262</v>
      </c>
      <c r="S32" s="2" cm="1">
        <f t="array" ref="S32">DELTAGREEK($B32,100,0.01,S$23,0.2)</f>
        <v>0.57752900488282433</v>
      </c>
      <c r="T32" s="2" cm="1">
        <f t="array" ref="T32">DELTAGREEK($B32,100,0.01,T$23,0.2)</f>
        <v>0.57974693392650745</v>
      </c>
      <c r="U32" s="2" cm="1">
        <f t="array" ref="U32">DELTAGREEK($B32,100,0.01,U$23,0.2)</f>
        <v>0.58190163734082867</v>
      </c>
      <c r="V32" s="2" cm="1">
        <f t="array" ref="V32">DELTAGREEK($B32,100,0.01,V$23,0.2)</f>
        <v>0.58399798571368178</v>
      </c>
      <c r="W32" s="2" cm="1">
        <f t="array" ref="W32">DELTAGREEK($B32,100,0.01,W$23,0.2)</f>
        <v>0.58604024932793053</v>
      </c>
      <c r="X32" s="2" cm="1">
        <f t="array" ref="X32">DELTAGREEK($B32,100,0.01,X$23,0.2)</f>
        <v>0.58803219705493692</v>
      </c>
      <c r="Y32" s="2" cm="1">
        <f t="array" ref="Y32">DELTAGREEK($B32,100,0.01,Y$23,0.2)</f>
        <v>0.5899771752288796</v>
      </c>
      <c r="Z32" s="2" cm="1">
        <f t="array" ref="Z32">DELTAGREEK($B32,100,0.01,Z$23,0.2)</f>
        <v>0.59187817124380615</v>
      </c>
      <c r="AA32" s="2" cm="1">
        <f t="array" ref="AA32">DELTAGREEK($B32,100,0.01,AA$23,0.2)</f>
        <v>0.59373786534231576</v>
      </c>
      <c r="AB32" s="2" cm="1">
        <f t="array" ref="AB32">DELTAGREEK($B32,100,0.01,AB$23,0.2)</f>
        <v>0.5955586731705319</v>
      </c>
      <c r="AC32" s="2" cm="1">
        <f t="array" ref="AC32">DELTAGREEK($B32,100,0.01,AC$23,0.2)</f>
        <v>0.59734278103568972</v>
      </c>
      <c r="AD32" s="2" cm="1">
        <f t="array" ref="AD32">DELTAGREEK($B32,100,0.01,AD$23,0.2)</f>
        <v>0.59909217534027071</v>
      </c>
      <c r="AE32" s="2" cm="1">
        <f t="array" ref="AE32">DELTAGREEK($B32,100,0.01,AE$23,0.2)</f>
        <v>0.60080866732714822</v>
      </c>
      <c r="AF32" s="2" cm="1">
        <f t="array" ref="AF32">DELTAGREEK($B32,100,0.01,AF$23,0.2)</f>
        <v>0.60249391401788088</v>
      </c>
      <c r="AG32" s="2" cm="1">
        <f t="array" ref="AG32">DELTAGREEK($B32,100,0.01,AG$23,0.2)</f>
        <v>0.60414943603659454</v>
      </c>
      <c r="AH32" s="2" cm="1">
        <f t="array" ref="AH32">DELTAGREEK($B32,100,0.01,AH$23,0.2)</f>
        <v>0.60577663286776451</v>
      </c>
      <c r="AI32" s="2" cm="1">
        <f t="array" ref="AI32">DELTAGREEK($B32,100,0.01,AI$23,0.2)</f>
        <v>0.60737679598563687</v>
      </c>
      <c r="AJ32" s="2" cm="1">
        <f t="array" ref="AJ32">DELTAGREEK($B32,100,0.01,AJ$23,0.2)</f>
        <v>0.60895112020740272</v>
      </c>
      <c r="AK32" s="2" cm="1">
        <f t="array" ref="AK32">DELTAGREEK($B32,100,0.01,AK$23,0.2)</f>
        <v>0.61050071355539248</v>
      </c>
      <c r="AL32" s="2" cm="1">
        <f t="array" ref="AL32">DELTAGREEK($B32,100,0.01,AL$23,0.2)</f>
        <v>0.6120266058609285</v>
      </c>
      <c r="AM32" s="2" cm="1">
        <f t="array" ref="AM32">DELTAGREEK($B32,100,0.01,AM$23,0.2)</f>
        <v>0.61352975630075135</v>
      </c>
      <c r="AN32" s="2" cm="1">
        <f t="array" ref="AN32">DELTAGREEK($B32,100,0.01,AN$23,0.2)</f>
        <v>0.61501106002361017</v>
      </c>
      <c r="AO32" s="2" cm="1">
        <f t="array" ref="AO32">DELTAGREEK($B32,100,0.01,AO$23,0.2)</f>
        <v>0.61647135399782416</v>
      </c>
      <c r="AP32" s="2" cm="1">
        <f t="array" ref="AP32">DELTAGREEK($B32,100,0.01,AP$23,0.2)</f>
        <v>0.61791142218895267</v>
      </c>
      <c r="AQ32" s="2" cm="1">
        <f t="array" ref="AQ32">DELTAGREEK($B32,100,0.01,AQ$23,0.2)</f>
        <v>0.61933200015909173</v>
      </c>
      <c r="AR32" s="2" cm="1">
        <f t="array" ref="AR32">DELTAGREEK($B32,100,0.01,AR$23,0.2)</f>
        <v>0.62073377916488592</v>
      </c>
      <c r="AS32" s="2" cm="1">
        <f t="array" ref="AS32">DELTAGREEK($B32,100,0.01,AS$23,0.2)</f>
        <v>0.62211740981949015</v>
      </c>
      <c r="AT32" s="2" cm="1">
        <f t="array" ref="AT32">DELTAGREEK($B32,100,0.01,AT$23,0.2)</f>
        <v>0.62348350537390973</v>
      </c>
      <c r="AU32" s="2" cm="1">
        <f t="array" ref="AU32">DELTAGREEK($B32,100,0.01,AU$23,0.2)</f>
        <v>0.62483264466500554</v>
      </c>
      <c r="AV32" s="2" cm="1">
        <f t="array" ref="AV32">DELTAGREEK($B32,100,0.01,AV$23,0.2)</f>
        <v>0.62616537477066125</v>
      </c>
      <c r="AW32" s="2" cm="1">
        <f t="array" ref="AW32">DELTAGREEK($B32,100,0.01,AW$23,0.2)</f>
        <v>0.6274822134069169</v>
      </c>
      <c r="AX32" s="2" cm="1">
        <f t="array" ref="AX32">DELTAGREEK($B32,100,0.01,AX$23,0.2)</f>
        <v>0.62878365109708745</v>
      </c>
      <c r="AY32" s="2" cm="1">
        <f t="array" ref="AY32">DELTAGREEK($B32,100,0.01,AY$23,0.2)</f>
        <v>0.63007015313884207</v>
      </c>
      <c r="AZ32" s="2" cm="1">
        <f t="array" ref="AZ32">DELTAGREEK($B32,100,0.01,AZ$23,0.2)</f>
        <v>0.63134216139179089</v>
      </c>
    </row>
    <row r="33" spans="1:52" x14ac:dyDescent="0.3">
      <c r="A33" s="2"/>
      <c r="B33" s="2">
        <v>105</v>
      </c>
      <c r="C33" s="2" cm="1">
        <f t="array" ref="C33">DELTAGREEK($B33,100,0.01,C$23,0.2)</f>
        <v>0.79357096026156482</v>
      </c>
      <c r="D33" s="2" cm="1">
        <f t="array" ref="D33">DELTAGREEK($B33,100,0.01,D$23,0.2)</f>
        <v>0.72992052908241489</v>
      </c>
      <c r="E33" s="2" cm="1">
        <f t="array" ref="E33">DELTAGREEK($B33,100,0.01,E$23,0.2)</f>
        <v>0.70109401201543453</v>
      </c>
      <c r="F33" s="2" cm="1">
        <f t="array" ref="F33">DELTAGREEK($B33,100,0.01,F$23,0.2)</f>
        <v>0.68459548536557635</v>
      </c>
      <c r="G33" s="2" cm="1">
        <f t="array" ref="G33">DELTAGREEK($B33,100,0.01,G$23,0.2)</f>
        <v>0.67402849627857031</v>
      </c>
      <c r="H33" s="2" cm="1">
        <f t="array" ref="H33">DELTAGREEK($B33,100,0.01,H$23,0.2)</f>
        <v>0.66681258720741177</v>
      </c>
      <c r="I33" s="2" cm="1">
        <f t="array" ref="I33">DELTAGREEK($B33,100,0.01,I$23,0.2)</f>
        <v>0.66168859212232867</v>
      </c>
      <c r="J33" s="2" cm="1">
        <f t="array" ref="J33">DELTAGREEK($B33,100,0.01,J$23,0.2)</f>
        <v>0.65796272969308234</v>
      </c>
      <c r="K33" s="2" cm="1">
        <f t="array" ref="K33">DELTAGREEK($B33,100,0.01,K$23,0.2)</f>
        <v>0.65521889020886748</v>
      </c>
      <c r="L33" s="2" cm="1">
        <f t="array" ref="L33">DELTAGREEK($B33,100,0.01,L$23,0.2)</f>
        <v>0.65319132580079731</v>
      </c>
      <c r="M33" s="2" cm="1">
        <f t="array" ref="M33">DELTAGREEK($B33,100,0.01,M$23,0.2)</f>
        <v>0.65170189219219721</v>
      </c>
      <c r="N33" s="2" cm="1">
        <f t="array" ref="N33">DELTAGREEK($B33,100,0.01,N$23,0.2)</f>
        <v>0.6506264784872503</v>
      </c>
      <c r="O33" s="2" cm="1">
        <f t="array" ref="O33">DELTAGREEK($B33,100,0.01,O$23,0.2)</f>
        <v>0.64987586057560209</v>
      </c>
      <c r="P33" s="2" cm="1">
        <f t="array" ref="P33">DELTAGREEK($B33,100,0.01,P$23,0.2)</f>
        <v>0.64938420044951983</v>
      </c>
      <c r="Q33" s="2" cm="1">
        <f t="array" ref="Q33">DELTAGREEK($B33,100,0.01,Q$23,0.2)</f>
        <v>0.64910183637721541</v>
      </c>
      <c r="R33" s="2" cm="1">
        <f t="array" ref="R33">DELTAGREEK($B33,100,0.01,R$23,0.2)</f>
        <v>0.64899059770782763</v>
      </c>
      <c r="S33" s="2" cm="1">
        <f t="array" ref="S33">DELTAGREEK($B33,100,0.01,S$23,0.2)</f>
        <v>0.64902066558526905</v>
      </c>
      <c r="T33" s="2" cm="1">
        <f t="array" ref="T33">DELTAGREEK($B33,100,0.01,T$23,0.2)</f>
        <v>0.64916841315629237</v>
      </c>
      <c r="U33" s="2" cm="1">
        <f t="array" ref="U33">DELTAGREEK($B33,100,0.01,U$23,0.2)</f>
        <v>0.64941488501799927</v>
      </c>
      <c r="V33" s="2" cm="1">
        <f t="array" ref="V33">DELTAGREEK($B33,100,0.01,V$23,0.2)</f>
        <v>0.64974470477957968</v>
      </c>
      <c r="W33" s="2" cm="1">
        <f t="array" ref="W33">DELTAGREEK($B33,100,0.01,W$23,0.2)</f>
        <v>0.65014527596208149</v>
      </c>
      <c r="X33" s="2" cm="1">
        <f t="array" ref="X33">DELTAGREEK($B33,100,0.01,X$23,0.2)</f>
        <v>0.65060618800972925</v>
      </c>
      <c r="Y33" s="2" cm="1">
        <f t="array" ref="Y33">DELTAGREEK($B33,100,0.01,Y$23,0.2)</f>
        <v>0.65111876835068938</v>
      </c>
      <c r="Z33" s="2" cm="1">
        <f t="array" ref="Z33">DELTAGREEK($B33,100,0.01,Z$23,0.2)</f>
        <v>0.65167574016684626</v>
      </c>
      <c r="AA33" s="2" cm="1">
        <f t="array" ref="AA33">DELTAGREEK($B33,100,0.01,AA$23,0.2)</f>
        <v>0.65227095781564448</v>
      </c>
      <c r="AB33" s="2" cm="1">
        <f t="array" ref="AB33">DELTAGREEK($B33,100,0.01,AB$23,0.2)</f>
        <v>0.65289920006704394</v>
      </c>
      <c r="AC33" s="2" cm="1">
        <f t="array" ref="AC33">DELTAGREEK($B33,100,0.01,AC$23,0.2)</f>
        <v>0.65355600691886329</v>
      </c>
      <c r="AD33" s="2" cm="1">
        <f t="array" ref="AD33">DELTAGREEK($B33,100,0.01,AD$23,0.2)</f>
        <v>0.65423754963212577</v>
      </c>
      <c r="AE33" s="2" cm="1">
        <f t="array" ref="AE33">DELTAGREEK($B33,100,0.01,AE$23,0.2)</f>
        <v>0.65494052635443267</v>
      </c>
      <c r="AF33" s="2" cm="1">
        <f t="array" ref="AF33">DELTAGREEK($B33,100,0.01,AF$23,0.2)</f>
        <v>0.6556620776426314</v>
      </c>
      <c r="AG33" s="2" cm="1">
        <f t="array" ref="AG33">DELTAGREEK($B33,100,0.01,AG$23,0.2)</f>
        <v>0.65639971759879501</v>
      </c>
      <c r="AH33" s="2" cm="1">
        <f t="array" ref="AH33">DELTAGREEK($B33,100,0.01,AH$23,0.2)</f>
        <v>0.65715127735813028</v>
      </c>
      <c r="AI33" s="2" cm="1">
        <f t="array" ref="AI33">DELTAGREEK($B33,100,0.01,AI$23,0.2)</f>
        <v>0.65791485842403574</v>
      </c>
      <c r="AJ33" s="2" cm="1">
        <f t="array" ref="AJ33">DELTAGREEK($B33,100,0.01,AJ$23,0.2)</f>
        <v>0.65868879390996038</v>
      </c>
      <c r="AK33" s="2" cm="1">
        <f t="array" ref="AK33">DELTAGREEK($B33,100,0.01,AK$23,0.2)</f>
        <v>0.65947161617279471</v>
      </c>
      <c r="AL33" s="2" cm="1">
        <f t="array" ref="AL33">DELTAGREEK($B33,100,0.01,AL$23,0.2)</f>
        <v>0.66026202964551983</v>
      </c>
      <c r="AM33" s="2" cm="1">
        <f t="array" ref="AM33">DELTAGREEK($B33,100,0.01,AM$23,0.2)</f>
        <v>0.66105888792431555</v>
      </c>
      <c r="AN33" s="2" cm="1">
        <f t="array" ref="AN33">DELTAGREEK($B33,100,0.01,AN$23,0.2)</f>
        <v>0.66186117435643776</v>
      </c>
      <c r="AO33" s="2" cm="1">
        <f t="array" ref="AO33">DELTAGREEK($B33,100,0.01,AO$23,0.2)</f>
        <v>0.66266798552383532</v>
      </c>
      <c r="AP33" s="2" cm="1">
        <f t="array" ref="AP33">DELTAGREEK($B33,100,0.01,AP$23,0.2)</f>
        <v>0.66347851713393957</v>
      </c>
      <c r="AQ33" s="2" cm="1">
        <f t="array" ref="AQ33">DELTAGREEK($B33,100,0.01,AQ$23,0.2)</f>
        <v>0.66429205192088059</v>
      </c>
      <c r="AR33" s="2" cm="1">
        <f t="array" ref="AR33">DELTAGREEK($B33,100,0.01,AR$23,0.2)</f>
        <v>0.66510794923324434</v>
      </c>
      <c r="AS33" s="2" cm="1">
        <f t="array" ref="AS33">DELTAGREEK($B33,100,0.01,AS$23,0.2)</f>
        <v>0.66592563604262678</v>
      </c>
      <c r="AT33" s="2" cm="1">
        <f t="array" ref="AT33">DELTAGREEK($B33,100,0.01,AT$23,0.2)</f>
        <v>0.66674459915390871</v>
      </c>
      <c r="AU33" s="2" cm="1">
        <f t="array" ref="AU33">DELTAGREEK($B33,100,0.01,AU$23,0.2)</f>
        <v>0.66756437843582073</v>
      </c>
      <c r="AV33" s="2" cm="1">
        <f t="array" ref="AV33">DELTAGREEK($B33,100,0.01,AV$23,0.2)</f>
        <v>0.66838456092090226</v>
      </c>
      <c r="AW33" s="2" cm="1">
        <f t="array" ref="AW33">DELTAGREEK($B33,100,0.01,AW$23,0.2)</f>
        <v>0.66920477564883019</v>
      </c>
      <c r="AX33" s="2" cm="1">
        <f t="array" ref="AX33">DELTAGREEK($B33,100,0.01,AX$23,0.2)</f>
        <v>0.67002468914745328</v>
      </c>
      <c r="AY33" s="2" cm="1">
        <f t="array" ref="AY33">DELTAGREEK($B33,100,0.01,AY$23,0.2)</f>
        <v>0.67084400146261247</v>
      </c>
      <c r="AZ33" s="2" cm="1">
        <f t="array" ref="AZ33">DELTAGREEK($B33,100,0.01,AZ$23,0.2)</f>
        <v>0.67166244266164088</v>
      </c>
    </row>
    <row r="34" spans="1:52" x14ac:dyDescent="0.3">
      <c r="A34" s="2"/>
      <c r="B34" s="2">
        <v>110</v>
      </c>
      <c r="C34" s="2" cm="1">
        <f t="array" ref="C34">DELTAGREEK($B34,100,0.01,C$23,0.2)</f>
        <v>0.93995791805464912</v>
      </c>
      <c r="D34" s="2" cm="1">
        <f t="array" ref="D34">DELTAGREEK($B34,100,0.01,D$23,0.2)</f>
        <v>0.87132614165736733</v>
      </c>
      <c r="E34" s="2" cm="1">
        <f t="array" ref="E34">DELTAGREEK($B34,100,0.01,E$23,0.2)</f>
        <v>0.82950660741686155</v>
      </c>
      <c r="F34" s="2" cm="1">
        <f t="array" ref="F34">DELTAGREEK($B34,100,0.01,F$23,0.2)</f>
        <v>0.80188165059672933</v>
      </c>
      <c r="G34" s="2" cm="1">
        <f t="array" ref="G34">DELTAGREEK($B34,100,0.01,G$23,0.2)</f>
        <v>0.78230772963384743</v>
      </c>
      <c r="H34" s="2" cm="1">
        <f t="array" ref="H34">DELTAGREEK($B34,100,0.01,H$23,0.2)</f>
        <v>0.76773686176629652</v>
      </c>
      <c r="I34" s="2" cm="1">
        <f t="array" ref="I34">DELTAGREEK($B34,100,0.01,I$23,0.2)</f>
        <v>0.7564993813863905</v>
      </c>
      <c r="J34" s="2" cm="1">
        <f t="array" ref="J34">DELTAGREEK($B34,100,0.01,J$23,0.2)</f>
        <v>0.74760249342748353</v>
      </c>
      <c r="K34" s="2" cm="1">
        <f t="array" ref="K34">DELTAGREEK($B34,100,0.01,K$23,0.2)</f>
        <v>0.74041691025313783</v>
      </c>
      <c r="L34" s="2" cm="1">
        <f t="array" ref="L34">DELTAGREEK($B34,100,0.01,L$23,0.2)</f>
        <v>0.73452316868917078</v>
      </c>
      <c r="M34" s="2" cm="1">
        <f t="array" ref="M34">DELTAGREEK($B34,100,0.01,M$23,0.2)</f>
        <v>0.72963014233988588</v>
      </c>
      <c r="N34" s="2" cm="1">
        <f t="array" ref="N34">DELTAGREEK($B34,100,0.01,N$23,0.2)</f>
        <v>0.72552898703054525</v>
      </c>
      <c r="O34" s="2" cm="1">
        <f t="array" ref="O34">DELTAGREEK($B34,100,0.01,O$23,0.2)</f>
        <v>0.72206570766150402</v>
      </c>
      <c r="P34" s="2" cm="1">
        <f t="array" ref="P34">DELTAGREEK($B34,100,0.01,P$23,0.2)</f>
        <v>0.71912408515736215</v>
      </c>
      <c r="Q34" s="2" cm="1">
        <f t="array" ref="Q34">DELTAGREEK($B34,100,0.01,Q$23,0.2)</f>
        <v>0.71661465024900706</v>
      </c>
      <c r="R34" s="2" cm="1">
        <f t="array" ref="R34">DELTAGREEK($B34,100,0.01,R$23,0.2)</f>
        <v>0.71446733339559498</v>
      </c>
      <c r="S34" s="2" cm="1">
        <f t="array" ref="S34">DELTAGREEK($B34,100,0.01,S$23,0.2)</f>
        <v>0.71262642928690934</v>
      </c>
      <c r="T34" s="2" cm="1">
        <f t="array" ref="T34">DELTAGREEK($B34,100,0.01,T$23,0.2)</f>
        <v>0.71104706367147696</v>
      </c>
      <c r="U34" s="2" cm="1">
        <f t="array" ref="U34">DELTAGREEK($B34,100,0.01,U$23,0.2)</f>
        <v>0.70969266163658562</v>
      </c>
      <c r="V34" s="2" cm="1">
        <f t="array" ref="V34">DELTAGREEK($B34,100,0.01,V$23,0.2)</f>
        <v>0.7085330993545631</v>
      </c>
      <c r="W34" s="2" cm="1">
        <f t="array" ref="W34">DELTAGREEK($B34,100,0.01,W$23,0.2)</f>
        <v>0.70754333214476461</v>
      </c>
      <c r="X34" s="2" cm="1">
        <f t="array" ref="X34">DELTAGREEK($B34,100,0.01,X$23,0.2)</f>
        <v>0.70670236076419779</v>
      </c>
      <c r="Y34" s="2" cm="1">
        <f t="array" ref="Y34">DELTAGREEK($B34,100,0.01,Y$23,0.2)</f>
        <v>0.70599244195817479</v>
      </c>
      <c r="Z34" s="2" cm="1">
        <f t="array" ref="Z34">DELTAGREEK($B34,100,0.01,Z$23,0.2)</f>
        <v>0.7053984781231657</v>
      </c>
      <c r="AA34" s="2" cm="1">
        <f t="array" ref="AA34">DELTAGREEK($B34,100,0.01,AA$23,0.2)</f>
        <v>0.70490754014610268</v>
      </c>
      <c r="AB34" s="2" cm="1">
        <f t="array" ref="AB34">DELTAGREEK($B34,100,0.01,AB$23,0.2)</f>
        <v>0.70450849052869868</v>
      </c>
      <c r="AC34" s="2" cm="1">
        <f t="array" ref="AC34">DELTAGREEK($B34,100,0.01,AC$23,0.2)</f>
        <v>0.7041916829117274</v>
      </c>
      <c r="AD34" s="2" cm="1">
        <f t="array" ref="AD34">DELTAGREEK($B34,100,0.01,AD$23,0.2)</f>
        <v>0.70394872042886014</v>
      </c>
      <c r="AE34" s="2" cm="1">
        <f t="array" ref="AE34">DELTAGREEK($B34,100,0.01,AE$23,0.2)</f>
        <v>0.7037722598100421</v>
      </c>
      <c r="AF34" s="2" cm="1">
        <f t="array" ref="AF34">DELTAGREEK($B34,100,0.01,AF$23,0.2)</f>
        <v>0.70365585138940701</v>
      </c>
      <c r="AG34" s="2" cm="1">
        <f t="array" ref="AG34">DELTAGREEK($B34,100,0.01,AG$23,0.2)</f>
        <v>0.70359380753164003</v>
      </c>
      <c r="AH34" s="2" cm="1">
        <f t="array" ref="AH34">DELTAGREEK($B34,100,0.01,AH$23,0.2)</f>
        <v>0.70358109373011823</v>
      </c>
      <c r="AI34" s="2" cm="1">
        <f t="array" ref="AI34">DELTAGREEK($B34,100,0.01,AI$23,0.2)</f>
        <v>0.70361323792623109</v>
      </c>
      <c r="AJ34" s="2" cm="1">
        <f t="array" ref="AJ34">DELTAGREEK($B34,100,0.01,AJ$23,0.2)</f>
        <v>0.7036862545744379</v>
      </c>
      <c r="AK34" s="2" cm="1">
        <f t="array" ref="AK34">DELTAGREEK($B34,100,0.01,AK$23,0.2)</f>
        <v>0.7037965807180262</v>
      </c>
      <c r="AL34" s="2" cm="1">
        <f t="array" ref="AL34">DELTAGREEK($B34,100,0.01,AL$23,0.2)</f>
        <v>0.70394102190751273</v>
      </c>
      <c r="AM34" s="2" cm="1">
        <f t="array" ref="AM34">DELTAGREEK($B34,100,0.01,AM$23,0.2)</f>
        <v>0.70411670623129807</v>
      </c>
      <c r="AN34" s="2" cm="1">
        <f t="array" ref="AN34">DELTAGREEK($B34,100,0.01,AN$23,0.2)</f>
        <v>0.70432104506858673</v>
      </c>
      <c r="AO34" s="2" cm="1">
        <f t="array" ref="AO34">DELTAGREEK($B34,100,0.01,AO$23,0.2)</f>
        <v>0.70455169944122109</v>
      </c>
      <c r="AP34" s="2" cm="1">
        <f t="array" ref="AP34">DELTAGREEK($B34,100,0.01,AP$23,0.2)</f>
        <v>0.70480655105134726</v>
      </c>
      <c r="AQ34" s="2" cm="1">
        <f t="array" ref="AQ34">DELTAGREEK($B34,100,0.01,AQ$23,0.2)</f>
        <v>0.70508367725869603</v>
      </c>
      <c r="AR34" s="2" cm="1">
        <f t="array" ref="AR34">DELTAGREEK($B34,100,0.01,AR$23,0.2)</f>
        <v>0.7053813293844835</v>
      </c>
      <c r="AS34" s="2" cm="1">
        <f t="array" ref="AS34">DELTAGREEK($B34,100,0.01,AS$23,0.2)</f>
        <v>0.7056979138359134</v>
      </c>
      <c r="AT34" s="2" cm="1">
        <f t="array" ref="AT34">DELTAGREEK($B34,100,0.01,AT$23,0.2)</f>
        <v>0.70603197563161157</v>
      </c>
      <c r="AU34" s="2" cm="1">
        <f t="array" ref="AU34">DELTAGREEK($B34,100,0.01,AU$23,0.2)</f>
        <v>0.70638218397841335</v>
      </c>
      <c r="AV34" s="2" cm="1">
        <f t="array" ref="AV34">DELTAGREEK($B34,100,0.01,AV$23,0.2)</f>
        <v>0.70674731960705739</v>
      </c>
      <c r="AW34" s="2" cm="1">
        <f t="array" ref="AW34">DELTAGREEK($B34,100,0.01,AW$23,0.2)</f>
        <v>0.7071262636211697</v>
      </c>
      <c r="AX34" s="2" cm="1">
        <f t="array" ref="AX34">DELTAGREEK($B34,100,0.01,AX$23,0.2)</f>
        <v>0.70751798765244223</v>
      </c>
      <c r="AY34" s="2" cm="1">
        <f t="array" ref="AY34">DELTAGREEK($B34,100,0.01,AY$23,0.2)</f>
        <v>0.70792154514676187</v>
      </c>
      <c r="AZ34" s="2" cm="1">
        <f t="array" ref="AZ34">DELTAGREEK($B34,100,0.01,AZ$23,0.2)</f>
        <v>0.70833606363246282</v>
      </c>
    </row>
    <row r="35" spans="1:52" x14ac:dyDescent="0.3">
      <c r="A35" s="2"/>
      <c r="B35" s="2">
        <v>115</v>
      </c>
      <c r="C35" s="2" cm="1">
        <f t="array" ref="C35">DELTAGREEK($B35,100,0.01,C$23,0.2)</f>
        <v>0.98800422406854482</v>
      </c>
      <c r="D35" s="2" cm="1">
        <f t="array" ref="D35">DELTAGREEK($B35,100,0.01,D$23,0.2)</f>
        <v>0.94841416414843493</v>
      </c>
      <c r="E35" s="2" cm="1">
        <f t="array" ref="E35">DELTAGREEK($B35,100,0.01,E$23,0.2)</f>
        <v>0.91276887593354383</v>
      </c>
      <c r="F35" s="2" cm="1">
        <f t="array" ref="F35">DELTAGREEK($B35,100,0.01,F$23,0.2)</f>
        <v>0.88488828305391432</v>
      </c>
      <c r="G35" s="2" cm="1">
        <f t="array" ref="G35">DELTAGREEK($B35,100,0.01,G$23,0.2)</f>
        <v>0.8630953437034381</v>
      </c>
      <c r="H35" s="2" cm="1">
        <f t="array" ref="H35">DELTAGREEK($B35,100,0.01,H$23,0.2)</f>
        <v>0.84574392541104026</v>
      </c>
      <c r="I35" s="2" cm="1">
        <f t="array" ref="I35">DELTAGREEK($B35,100,0.01,I$23,0.2)</f>
        <v>0.83165762889347106</v>
      </c>
      <c r="J35" s="2" cm="1">
        <f t="array" ref="J35">DELTAGREEK($B35,100,0.01,J$23,0.2)</f>
        <v>0.82002413987768763</v>
      </c>
      <c r="K35" s="2" cm="1">
        <f t="array" ref="K35">DELTAGREEK($B35,100,0.01,K$23,0.2)</f>
        <v>0.81027566906216286</v>
      </c>
      <c r="L35" s="2" cm="1">
        <f t="array" ref="L35">DELTAGREEK($B35,100,0.01,L$23,0.2)</f>
        <v>0.80200640740621953</v>
      </c>
      <c r="M35" s="2" cm="1">
        <f t="array" ref="M35">DELTAGREEK($B35,100,0.01,M$23,0.2)</f>
        <v>0.79491947342995273</v>
      </c>
      <c r="N35" s="2" cm="1">
        <f t="array" ref="N35">DELTAGREEK($B35,100,0.01,N$23,0.2)</f>
        <v>0.78879288210338216</v>
      </c>
      <c r="O35" s="2" cm="1">
        <f t="array" ref="O35">DELTAGREEK($B35,100,0.01,O$23,0.2)</f>
        <v>0.78345734627370889</v>
      </c>
      <c r="P35" s="2" cm="1">
        <f t="array" ref="P35">DELTAGREEK($B35,100,0.01,P$23,0.2)</f>
        <v>0.77878147630208594</v>
      </c>
      <c r="Q35" s="2" cm="1">
        <f t="array" ref="Q35">DELTAGREEK($B35,100,0.01,Q$23,0.2)</f>
        <v>0.77466168809838998</v>
      </c>
      <c r="R35" s="2" cm="1">
        <f t="array" ref="R35">DELTAGREEK($B35,100,0.01,R$23,0.2)</f>
        <v>0.77101517246758522</v>
      </c>
      <c r="S35" s="2" cm="1">
        <f t="array" ref="S35">DELTAGREEK($B35,100,0.01,S$23,0.2)</f>
        <v>0.76777489866514936</v>
      </c>
      <c r="T35" s="2" cm="1">
        <f t="array" ref="T35">DELTAGREEK($B35,100,0.01,T$23,0.2)</f>
        <v>0.76488599819098524</v>
      </c>
      <c r="U35" s="2" cm="1">
        <f t="array" ref="U35">DELTAGREEK($B35,100,0.01,U$23,0.2)</f>
        <v>0.76230310357616227</v>
      </c>
      <c r="V35" s="2" cm="1">
        <f t="array" ref="V35">DELTAGREEK($B35,100,0.01,V$23,0.2)</f>
        <v>0.75998835998968672</v>
      </c>
      <c r="W35" s="2" cm="1">
        <f t="array" ref="W35">DELTAGREEK($B35,100,0.01,W$23,0.2)</f>
        <v>0.75790991882476644</v>
      </c>
      <c r="X35" s="2" cm="1">
        <f t="array" ref="X35">DELTAGREEK($B35,100,0.01,X$23,0.2)</f>
        <v>0.75604078188057566</v>
      </c>
      <c r="Y35" s="2" cm="1">
        <f t="array" ref="Y35">DELTAGREEK($B35,100,0.01,Y$23,0.2)</f>
        <v>0.75435790418546023</v>
      </c>
      <c r="Z35" s="2" cm="1">
        <f t="array" ref="Z35">DELTAGREEK($B35,100,0.01,Z$23,0.2)</f>
        <v>0.75284149011470203</v>
      </c>
      <c r="AA35" s="2" cm="1">
        <f t="array" ref="AA35">DELTAGREEK($B35,100,0.01,AA$23,0.2)</f>
        <v>0.75147443570383365</v>
      </c>
      <c r="AB35" s="2" cm="1">
        <f t="array" ref="AB35">DELTAGREEK($B35,100,0.01,AB$23,0.2)</f>
        <v>0.75024188276370052</v>
      </c>
      <c r="AC35" s="2" cm="1">
        <f t="array" ref="AC35">DELTAGREEK($B35,100,0.01,AC$23,0.2)</f>
        <v>0.74913085937474755</v>
      </c>
      <c r="AD35" s="2" cm="1">
        <f t="array" ref="AD35">DELTAGREEK($B35,100,0.01,AD$23,0.2)</f>
        <v>0.7481299877561316</v>
      </c>
      <c r="AE35" s="2" cm="1">
        <f t="array" ref="AE35">DELTAGREEK($B35,100,0.01,AE$23,0.2)</f>
        <v>0.74722924515320388</v>
      </c>
      <c r="AF35" s="2" cm="1">
        <f t="array" ref="AF35">DELTAGREEK($B35,100,0.01,AF$23,0.2)</f>
        <v>0.74641976679143052</v>
      </c>
      <c r="AG35" s="2" cm="1">
        <f t="array" ref="AG35">DELTAGREEK($B35,100,0.01,AG$23,0.2)</f>
        <v>0.74569368246524304</v>
      </c>
      <c r="AH35" s="2" cm="1">
        <f t="array" ref="AH35">DELTAGREEK($B35,100,0.01,AH$23,0.2)</f>
        <v>0.74504398021490315</v>
      </c>
      <c r="AI35" s="2" cm="1">
        <f t="array" ref="AI35">DELTAGREEK($B35,100,0.01,AI$23,0.2)</f>
        <v>0.74446439196685987</v>
      </c>
      <c r="AJ35" s="2" cm="1">
        <f t="array" ref="AJ35">DELTAGREEK($B35,100,0.01,AJ$23,0.2)</f>
        <v>0.74394929709608681</v>
      </c>
      <c r="AK35" s="2" cm="1">
        <f t="array" ref="AK35">DELTAGREEK($B35,100,0.01,AK$23,0.2)</f>
        <v>0.74349364070031942</v>
      </c>
      <c r="AL35" s="2" cm="1">
        <f t="array" ref="AL35">DELTAGREEK($B35,100,0.01,AL$23,0.2)</f>
        <v>0.74309286401940955</v>
      </c>
      <c r="AM35" s="2" cm="1">
        <f t="array" ref="AM35">DELTAGREEK($B35,100,0.01,AM$23,0.2)</f>
        <v>0.74274284493438492</v>
      </c>
      <c r="AN35" s="2" cm="1">
        <f t="array" ref="AN35">DELTAGREEK($B35,100,0.01,AN$23,0.2)</f>
        <v>0.74243984687431064</v>
      </c>
      <c r="AO35" s="2" cm="1">
        <f t="array" ref="AO35">DELTAGREEK($B35,100,0.01,AO$23,0.2)</f>
        <v>0.74218047476991011</v>
      </c>
      <c r="AP35" s="2" cm="1">
        <f t="array" ref="AP35">DELTAGREEK($B35,100,0.01,AP$23,0.2)</f>
        <v>0.74196163694002004</v>
      </c>
      <c r="AQ35" s="2" cm="1">
        <f t="array" ref="AQ35">DELTAGREEK($B35,100,0.01,AQ$23,0.2)</f>
        <v>0.74178051199455419</v>
      </c>
      <c r="AR35" s="2" cm="1">
        <f t="array" ref="AR35">DELTAGREEK($B35,100,0.01,AR$23,0.2)</f>
        <v>0.74163451999655328</v>
      </c>
      <c r="AS35" s="2" cm="1">
        <f t="array" ref="AS35">DELTAGREEK($B35,100,0.01,AS$23,0.2)</f>
        <v>0.74152129725435389</v>
      </c>
      <c r="AT35" s="2" cm="1">
        <f t="array" ref="AT35">DELTAGREEK($B35,100,0.01,AT$23,0.2)</f>
        <v>0.74143867421929044</v>
      </c>
      <c r="AU35" s="2" cm="1">
        <f t="array" ref="AU35">DELTAGREEK($B35,100,0.01,AU$23,0.2)</f>
        <v>0.7413846560495716</v>
      </c>
      <c r="AV35" s="2" cm="1">
        <f t="array" ref="AV35">DELTAGREEK($B35,100,0.01,AV$23,0.2)</f>
        <v>0.7413574054708757</v>
      </c>
      <c r="AW35" s="2" cm="1">
        <f t="array" ref="AW35">DELTAGREEK($B35,100,0.01,AW$23,0.2)</f>
        <v>0.74135522762181916</v>
      </c>
      <c r="AX35" s="2" cm="1">
        <f t="array" ref="AX35">DELTAGREEK($B35,100,0.01,AX$23,0.2)</f>
        <v>0.74137655662009583</v>
      </c>
      <c r="AY35" s="2" cm="1">
        <f t="array" ref="AY35">DELTAGREEK($B35,100,0.01,AY$23,0.2)</f>
        <v>0.74141994362468844</v>
      </c>
      <c r="AZ35" s="2" cm="1">
        <f t="array" ref="AZ35">DELTAGREEK($B35,100,0.01,AZ$23,0.2)</f>
        <v>0.74148404620256403</v>
      </c>
    </row>
    <row r="36" spans="1:52" x14ac:dyDescent="0.3">
      <c r="A36" s="2"/>
      <c r="B36" s="2">
        <v>120</v>
      </c>
      <c r="C36" s="2" cm="1">
        <f t="array" ref="C36">DELTAGREEK($B36,100,0.01,C$23,0.2)</f>
        <v>0.99830623193923973</v>
      </c>
      <c r="D36" s="2" cm="1">
        <f t="array" ref="D36">DELTAGREEK($B36,100,0.01,D$23,0.2)</f>
        <v>0.9823760534317052</v>
      </c>
      <c r="E36" s="2" cm="1">
        <f t="array" ref="E36">DELTAGREEK($B36,100,0.01,E$23,0.2)</f>
        <v>0.95963958476134859</v>
      </c>
      <c r="F36" s="2" cm="1">
        <f t="array" ref="F36">DELTAGREEK($B36,100,0.01,F$23,0.2)</f>
        <v>0.93776106845399343</v>
      </c>
      <c r="G36" s="2" cm="1">
        <f t="array" ref="G36">DELTAGREEK($B36,100,0.01,G$23,0.2)</f>
        <v>0.91853340172068842</v>
      </c>
      <c r="H36" s="2" cm="1">
        <f t="array" ref="H36">DELTAGREEK($B36,100,0.01,H$23,0.2)</f>
        <v>0.90200659044195886</v>
      </c>
      <c r="I36" s="2" cm="1">
        <f t="array" ref="I36">DELTAGREEK($B36,100,0.01,I$23,0.2)</f>
        <v>0.88783196322373703</v>
      </c>
      <c r="J36" s="2" cm="1">
        <f t="array" ref="J36">DELTAGREEK($B36,100,0.01,J$23,0.2)</f>
        <v>0.87562125149536263</v>
      </c>
      <c r="K36" s="2" cm="1">
        <f t="array" ref="K36">DELTAGREEK($B36,100,0.01,K$23,0.2)</f>
        <v>0.86503450040480123</v>
      </c>
      <c r="L36" s="2" cm="1">
        <f t="array" ref="L36">DELTAGREEK($B36,100,0.01,L$23,0.2)</f>
        <v>0.85579311074329822</v>
      </c>
      <c r="M36" s="2" cm="1">
        <f t="array" ref="M36">DELTAGREEK($B36,100,0.01,M$23,0.2)</f>
        <v>0.84767325376920599</v>
      </c>
      <c r="N36" s="2" cm="1">
        <f t="array" ref="N36">DELTAGREEK($B36,100,0.01,N$23,0.2)</f>
        <v>0.84049564093646389</v>
      </c>
      <c r="O36" s="2" cm="1">
        <f t="array" ref="O36">DELTAGREEK($B36,100,0.01,O$23,0.2)</f>
        <v>0.83411609200229975</v>
      </c>
      <c r="P36" s="2" cm="1">
        <f t="array" ref="P36">DELTAGREEK($B36,100,0.01,P$23,0.2)</f>
        <v>0.82841785932926038</v>
      </c>
      <c r="Q36" s="2" cm="1">
        <f t="array" ref="Q36">DELTAGREEK($B36,100,0.01,Q$23,0.2)</f>
        <v>0.82330564788877481</v>
      </c>
      <c r="R36" s="2" cm="1">
        <f t="array" ref="R36">DELTAGREEK($B36,100,0.01,R$23,0.2)</f>
        <v>0.81870102600765715</v>
      </c>
      <c r="S36" s="2" cm="1">
        <f t="array" ref="S36">DELTAGREEK($B36,100,0.01,S$23,0.2)</f>
        <v>0.8145389131715145</v>
      </c>
      <c r="T36" s="2" cm="1">
        <f t="array" ref="T36">DELTAGREEK($B36,100,0.01,T$23,0.2)</f>
        <v>0.81076488391057833</v>
      </c>
      <c r="U36" s="2" cm="1">
        <f t="array" ref="U36">DELTAGREEK($B36,100,0.01,U$23,0.2)</f>
        <v>0.80733308591355057</v>
      </c>
      <c r="V36" s="2" cm="1">
        <f t="array" ref="V36">DELTAGREEK($B36,100,0.01,V$23,0.2)</f>
        <v>0.80420462073819765</v>
      </c>
      <c r="W36" s="2" cm="1">
        <f t="array" ref="W36">DELTAGREEK($B36,100,0.01,W$23,0.2)</f>
        <v>0.80134627444347384</v>
      </c>
      <c r="X36" s="2" cm="1">
        <f t="array" ref="X36">DELTAGREEK($B36,100,0.01,X$23,0.2)</f>
        <v>0.79872951457967079</v>
      </c>
      <c r="Y36" s="2" cm="1">
        <f t="array" ref="Y36">DELTAGREEK($B36,100,0.01,Y$23,0.2)</f>
        <v>0.79632969139800991</v>
      </c>
      <c r="Z36" s="2" cm="1">
        <f t="array" ref="Z36">DELTAGREEK($B36,100,0.01,Z$23,0.2)</f>
        <v>0.79412539683463423</v>
      </c>
      <c r="AA36" s="2" cm="1">
        <f t="array" ref="AA36">DELTAGREEK($B36,100,0.01,AA$23,0.2)</f>
        <v>0.79209794632892327</v>
      </c>
      <c r="AB36" s="2" cm="1">
        <f t="array" ref="AB36">DELTAGREEK($B36,100,0.01,AB$23,0.2)</f>
        <v>0.79023095700323709</v>
      </c>
      <c r="AC36" s="2" cm="1">
        <f t="array" ref="AC36">DELTAGREEK($B36,100,0.01,AC$23,0.2)</f>
        <v>0.7885100019976452</v>
      </c>
      <c r="AD36" s="2" cm="1">
        <f t="array" ref="AD36">DELTAGREEK($B36,100,0.01,AD$23,0.2)</f>
        <v>0.78692232542120943</v>
      </c>
      <c r="AE36" s="2" cm="1">
        <f t="array" ref="AE36">DELTAGREEK($B36,100,0.01,AE$23,0.2)</f>
        <v>0.78545660588307509</v>
      </c>
      <c r="AF36" s="2" cm="1">
        <f t="array" ref="AF36">DELTAGREEK($B36,100,0.01,AF$23,0.2)</f>
        <v>0.78410275921225236</v>
      </c>
      <c r="AG36" s="2" cm="1">
        <f t="array" ref="AG36">DELTAGREEK($B36,100,0.01,AG$23,0.2)</f>
        <v>0.78285177298823272</v>
      </c>
      <c r="AH36" s="2" cm="1">
        <f t="array" ref="AH36">DELTAGREEK($B36,100,0.01,AH$23,0.2)</f>
        <v>0.78169556704747278</v>
      </c>
      <c r="AI36" s="2" cm="1">
        <f t="array" ref="AI36">DELTAGREEK($B36,100,0.01,AI$23,0.2)</f>
        <v>0.78062687532141095</v>
      </c>
      <c r="AJ36" s="2" cm="1">
        <f t="array" ref="AJ36">DELTAGREEK($B36,100,0.01,AJ$23,0.2)</f>
        <v>0.7796391452866307</v>
      </c>
      <c r="AK36" s="2" cm="1">
        <f t="array" ref="AK36">DELTAGREEK($B36,100,0.01,AK$23,0.2)</f>
        <v>0.77872645203101665</v>
      </c>
      <c r="AL36" s="2" cm="1">
        <f t="array" ref="AL36">DELTAGREEK($B36,100,0.01,AL$23,0.2)</f>
        <v>0.77788342450878645</v>
      </c>
      <c r="AM36" s="2" cm="1">
        <f t="array" ref="AM36">DELTAGREEK($B36,100,0.01,AM$23,0.2)</f>
        <v>0.77710518200767997</v>
      </c>
      <c r="AN36" s="2" cm="1">
        <f t="array" ref="AN36">DELTAGREEK($B36,100,0.01,AN$23,0.2)</f>
        <v>0.77638727921015382</v>
      </c>
      <c r="AO36" s="2" cm="1">
        <f t="array" ref="AO36">DELTAGREEK($B36,100,0.01,AO$23,0.2)</f>
        <v>0.77572565851744935</v>
      </c>
      <c r="AP36" s="2" cm="1">
        <f t="array" ref="AP36">DELTAGREEK($B36,100,0.01,AP$23,0.2)</f>
        <v>0.77511660853638908</v>
      </c>
      <c r="AQ36" s="2" cm="1">
        <f t="array" ref="AQ36">DELTAGREEK($B36,100,0.01,AQ$23,0.2)</f>
        <v>0.77455672781557094</v>
      </c>
      <c r="AR36" s="2" cm="1">
        <f t="array" ref="AR36">DELTAGREEK($B36,100,0.01,AR$23,0.2)</f>
        <v>0.77404289306948471</v>
      </c>
      <c r="AS36" s="2" cm="1">
        <f t="array" ref="AS36">DELTAGREEK($B36,100,0.01,AS$23,0.2)</f>
        <v>0.77357223125306285</v>
      </c>
      <c r="AT36" s="2" cm="1">
        <f t="array" ref="AT36">DELTAGREEK($B36,100,0.01,AT$23,0.2)</f>
        <v>0.7731420949508816</v>
      </c>
      <c r="AU36" s="2" cm="1">
        <f t="array" ref="AU36">DELTAGREEK($B36,100,0.01,AU$23,0.2)</f>
        <v>0.77275004062901287</v>
      </c>
      <c r="AV36" s="2" cm="1">
        <f t="array" ref="AV36">DELTAGREEK($B36,100,0.01,AV$23,0.2)</f>
        <v>0.77239380936682056</v>
      </c>
      <c r="AW36" s="2" cm="1">
        <f t="array" ref="AW36">DELTAGREEK($B36,100,0.01,AW$23,0.2)</f>
        <v>0.7720713097435552</v>
      </c>
      <c r="AX36" s="2" cm="1">
        <f t="array" ref="AX36">DELTAGREEK($B36,100,0.01,AX$23,0.2)</f>
        <v>0.77178060260256687</v>
      </c>
      <c r="AY36" s="2" cm="1">
        <f t="array" ref="AY36">DELTAGREEK($B36,100,0.01,AY$23,0.2)</f>
        <v>0.77151988745610334</v>
      </c>
      <c r="AZ36" s="2" cm="1">
        <f t="array" ref="AZ36">DELTAGREEK($B36,100,0.01,AZ$23,0.2)</f>
        <v>0.77128749032735988</v>
      </c>
    </row>
    <row r="37" spans="1:52" x14ac:dyDescent="0.3">
      <c r="A37" s="2"/>
      <c r="B37" s="2">
        <v>125</v>
      </c>
      <c r="C37" s="2" cm="1">
        <f t="array" ref="C37">DELTAGREEK($B37,100,0.01,C$23,0.2)</f>
        <v>0.99982531626414572</v>
      </c>
      <c r="D37" s="2" cm="1">
        <f t="array" ref="D37">DELTAGREEK($B37,100,0.01,D$23,0.2)</f>
        <v>0.99479497737862488</v>
      </c>
      <c r="E37" s="2" cm="1">
        <f t="array" ref="E37">DELTAGREEK($B37,100,0.01,E$23,0.2)</f>
        <v>0.98296199066116863</v>
      </c>
      <c r="F37" s="2" cm="1">
        <f t="array" ref="F37">DELTAGREEK($B37,100,0.01,F$23,0.2)</f>
        <v>0.96848451708238714</v>
      </c>
      <c r="G37" s="2" cm="1">
        <f t="array" ref="G37">DELTAGREEK($B37,100,0.01,G$23,0.2)</f>
        <v>0.95390232385199913</v>
      </c>
      <c r="H37" s="2" cm="1">
        <f t="array" ref="H37">DELTAGREEK($B37,100,0.01,H$23,0.2)</f>
        <v>0.9402142801511969</v>
      </c>
      <c r="I37" s="2" cm="1">
        <f t="array" ref="I37">DELTAGREEK($B37,100,0.01,I$23,0.2)</f>
        <v>0.92772250848626392</v>
      </c>
      <c r="J37" s="2" cm="1">
        <f t="array" ref="J37">DELTAGREEK($B37,100,0.01,J$23,0.2)</f>
        <v>0.91644879859772543</v>
      </c>
      <c r="K37" s="2" cm="1">
        <f t="array" ref="K37">DELTAGREEK($B37,100,0.01,K$23,0.2)</f>
        <v>0.90631047116941144</v>
      </c>
      <c r="L37" s="2" cm="1">
        <f t="array" ref="L37">DELTAGREEK($B37,100,0.01,L$23,0.2)</f>
        <v>0.89719292559733332</v>
      </c>
      <c r="M37" s="2" cm="1">
        <f t="array" ref="M37">DELTAGREEK($B37,100,0.01,M$23,0.2)</f>
        <v>0.88897903737389494</v>
      </c>
      <c r="N37" s="2" cm="1">
        <f t="array" ref="N37">DELTAGREEK($B37,100,0.01,N$23,0.2)</f>
        <v>0.8815603627368549</v>
      </c>
      <c r="O37" s="2" cm="1">
        <f t="array" ref="O37">DELTAGREEK($B37,100,0.01,O$23,0.2)</f>
        <v>0.87484062708497556</v>
      </c>
      <c r="P37" s="2" cm="1">
        <f t="array" ref="P37">DELTAGREEK($B37,100,0.01,P$23,0.2)</f>
        <v>0.86873599496390286</v>
      </c>
      <c r="Q37" s="2" cm="1">
        <f t="array" ref="Q37">DELTAGREEK($B37,100,0.01,Q$23,0.2)</f>
        <v>0.86317408529565187</v>
      </c>
      <c r="R37" s="2" cm="1">
        <f t="array" ref="R37">DELTAGREEK($B37,100,0.01,R$23,0.2)</f>
        <v>0.85809259113583936</v>
      </c>
      <c r="S37" s="2" cm="1">
        <f t="array" ref="S37">DELTAGREEK($B37,100,0.01,S$23,0.2)</f>
        <v>0.85343787131348137</v>
      </c>
      <c r="T37" s="2" cm="1">
        <f t="array" ref="T37">DELTAGREEK($B37,100,0.01,T$23,0.2)</f>
        <v>0.84916365964424545</v>
      </c>
      <c r="U37" s="2" cm="1">
        <f t="array" ref="U37">DELTAGREEK($B37,100,0.01,U$23,0.2)</f>
        <v>0.84522993792045253</v>
      </c>
      <c r="V37" s="2" cm="1">
        <f t="array" ref="V37">DELTAGREEK($B37,100,0.01,V$23,0.2)</f>
        <v>0.84160197553171501</v>
      </c>
      <c r="W37" s="2" cm="1">
        <f t="array" ref="W37">DELTAGREEK($B37,100,0.01,W$23,0.2)</f>
        <v>0.83824952116468987</v>
      </c>
      <c r="X37" s="2" cm="1">
        <f t="array" ref="X37">DELTAGREEK($B37,100,0.01,X$23,0.2)</f>
        <v>0.83514612650216724</v>
      </c>
      <c r="Y37" s="2" cm="1">
        <f t="array" ref="Y37">DELTAGREEK($B37,100,0.01,Y$23,0.2)</f>
        <v>0.83226858156440675</v>
      </c>
      <c r="Z37" s="2" cm="1">
        <f t="array" ref="Z37">DELTAGREEK($B37,100,0.01,Z$23,0.2)</f>
        <v>0.82959644318508963</v>
      </c>
      <c r="AA37" s="2" cm="1">
        <f t="array" ref="AA37">DELTAGREEK($B37,100,0.01,AA$23,0.2)</f>
        <v>0.82711164063784071</v>
      </c>
      <c r="AB37" s="2" cm="1">
        <f t="array" ref="AB37">DELTAGREEK($B37,100,0.01,AB$23,0.2)</f>
        <v>0.82479814497758941</v>
      </c>
      <c r="AC37" s="2" cm="1">
        <f t="array" ref="AC37">DELTAGREEK($B37,100,0.01,AC$23,0.2)</f>
        <v>0.82264169096945594</v>
      </c>
      <c r="AD37" s="2" cm="1">
        <f t="array" ref="AD37">DELTAGREEK($B37,100,0.01,AD$23,0.2)</f>
        <v>0.82062954246290754</v>
      </c>
      <c r="AE37" s="2" cm="1">
        <f t="array" ref="AE37">DELTAGREEK($B37,100,0.01,AE$23,0.2)</f>
        <v>0.81875029372883756</v>
      </c>
      <c r="AF37" s="2" cm="1">
        <f t="array" ref="AF37">DELTAGREEK($B37,100,0.01,AF$23,0.2)</f>
        <v>0.81699370064357868</v>
      </c>
      <c r="AG37" s="2" cm="1">
        <f t="array" ref="AG37">DELTAGREEK($B37,100,0.01,AG$23,0.2)</f>
        <v>0.81535053671878033</v>
      </c>
      <c r="AH37" s="2" cm="1">
        <f t="array" ref="AH37">DELTAGREEK($B37,100,0.01,AH$23,0.2)</f>
        <v>0.81381246988166467</v>
      </c>
      <c r="AI37" s="2" cm="1">
        <f t="array" ref="AI37">DELTAGREEK($B37,100,0.01,AI$23,0.2)</f>
        <v>0.81237195664435846</v>
      </c>
      <c r="AJ37" s="2" cm="1">
        <f t="array" ref="AJ37">DELTAGREEK($B37,100,0.01,AJ$23,0.2)</f>
        <v>0.8110221508961285</v>
      </c>
      <c r="AK37" s="2" cm="1">
        <f t="array" ref="AK37">DELTAGREEK($B37,100,0.01,AK$23,0.2)</f>
        <v>0.80975682503527047</v>
      </c>
      <c r="AL37" s="2" cm="1">
        <f t="array" ref="AL37">DELTAGREEK($B37,100,0.01,AL$23,0.2)</f>
        <v>0.80857030154998499</v>
      </c>
      <c r="AM37" s="2" cm="1">
        <f t="array" ref="AM37">DELTAGREEK($B37,100,0.01,AM$23,0.2)</f>
        <v>0.80745739347747991</v>
      </c>
      <c r="AN37" s="2" cm="1">
        <f t="array" ref="AN37">DELTAGREEK($B37,100,0.01,AN$23,0.2)</f>
        <v>0.80641335243193102</v>
      </c>
      <c r="AO37" s="2" cm="1">
        <f t="array" ref="AO37">DELTAGREEK($B37,100,0.01,AO$23,0.2)</f>
        <v>0.80543382310614586</v>
      </c>
      <c r="AP37" s="2" cm="1">
        <f t="array" ref="AP37">DELTAGREEK($B37,100,0.01,AP$23,0.2)</f>
        <v>0.8045148033278835</v>
      </c>
      <c r="AQ37" s="2" cm="1">
        <f t="array" ref="AQ37">DELTAGREEK($B37,100,0.01,AQ$23,0.2)</f>
        <v>0.8036526088970154</v>
      </c>
      <c r="AR37" s="2" cm="1">
        <f t="array" ref="AR37">DELTAGREEK($B37,100,0.01,AR$23,0.2)</f>
        <v>0.80284384254987895</v>
      </c>
      <c r="AS37" s="2" cm="1">
        <f t="array" ref="AS37">DELTAGREEK($B37,100,0.01,AS$23,0.2)</f>
        <v>0.80208536649692608</v>
      </c>
      <c r="AT37" s="2" cm="1">
        <f t="array" ref="AT37">DELTAGREEK($B37,100,0.01,AT$23,0.2)</f>
        <v>0.80137427806283157</v>
      </c>
      <c r="AU37" s="2" cm="1">
        <f t="array" ref="AU37">DELTAGREEK($B37,100,0.01,AU$23,0.2)</f>
        <v>0.80070788802762782</v>
      </c>
      <c r="AV37" s="2" cm="1">
        <f t="array" ref="AV37">DELTAGREEK($B37,100,0.01,AV$23,0.2)</f>
        <v>0.80008370132558593</v>
      </c>
      <c r="AW37" s="2" cm="1">
        <f t="array" ref="AW37">DELTAGREEK($B37,100,0.01,AW$23,0.2)</f>
        <v>0.79949939980745621</v>
      </c>
      <c r="AX37" s="2" cm="1">
        <f t="array" ref="AX37">DELTAGREEK($B37,100,0.01,AX$23,0.2)</f>
        <v>0.79895282681290514</v>
      </c>
      <c r="AY37" s="2" cm="1">
        <f t="array" ref="AY37">DELTAGREEK($B37,100,0.01,AY$23,0.2)</f>
        <v>0.79844197333484324</v>
      </c>
      <c r="AZ37" s="2" cm="1">
        <f t="array" ref="AZ37">DELTAGREEK($B37,100,0.01,AZ$23,0.2)</f>
        <v>0.79796496558691377</v>
      </c>
    </row>
    <row r="38" spans="1:52" x14ac:dyDescent="0.3">
      <c r="A38" s="2"/>
      <c r="B38" s="2">
        <v>130</v>
      </c>
      <c r="C38" s="2" cm="1">
        <f t="array" ref="C38">DELTAGREEK($B38,100,0.01,C$23,0.2)</f>
        <v>0.99998640314018139</v>
      </c>
      <c r="D38" s="2" cm="1">
        <f t="array" ref="D38">DELTAGREEK($B38,100,0.01,D$23,0.2)</f>
        <v>0.99865188998007925</v>
      </c>
      <c r="E38" s="2" cm="1">
        <f t="array" ref="E38">DELTAGREEK($B38,100,0.01,E$23,0.2)</f>
        <v>0.99337921785148087</v>
      </c>
      <c r="F38" s="2" cm="1">
        <f t="array" ref="F38">DELTAGREEK($B38,100,0.01,F$23,0.2)</f>
        <v>0.98496017489321974</v>
      </c>
      <c r="G38" s="2" cm="1">
        <f t="array" ref="G38">DELTAGREEK($B38,100,0.01,G$23,0.2)</f>
        <v>0.97507573833647321</v>
      </c>
      <c r="H38" s="2" cm="1">
        <f t="array" ref="H38">DELTAGREEK($B38,100,0.01,H$23,0.2)</f>
        <v>0.96483221684018183</v>
      </c>
      <c r="I38" s="2" cm="1">
        <f t="array" ref="I38">DELTAGREEK($B38,100,0.01,I$23,0.2)</f>
        <v>0.95481273623086027</v>
      </c>
      <c r="J38" s="2" cm="1">
        <f t="array" ref="J38">DELTAGREEK($B38,100,0.01,J$23,0.2)</f>
        <v>0.94529214699556019</v>
      </c>
      <c r="K38" s="2" cm="1">
        <f t="array" ref="K38">DELTAGREEK($B38,100,0.01,K$23,0.2)</f>
        <v>0.93638087415065951</v>
      </c>
      <c r="L38" s="2" cm="1">
        <f t="array" ref="L38">DELTAGREEK($B38,100,0.01,L$23,0.2)</f>
        <v>0.92810491023994268</v>
      </c>
      <c r="M38" s="2" cm="1">
        <f t="array" ref="M38">DELTAGREEK($B38,100,0.01,M$23,0.2)</f>
        <v>0.92044836377481254</v>
      </c>
      <c r="N38" s="2" cm="1">
        <f t="array" ref="N38">DELTAGREEK($B38,100,0.01,N$23,0.2)</f>
        <v>0.91337585752270423</v>
      </c>
      <c r="O38" s="2" cm="1">
        <f t="array" ref="O38">DELTAGREEK($B38,100,0.01,O$23,0.2)</f>
        <v>0.90684426475380653</v>
      </c>
      <c r="P38" s="2" cm="1">
        <f t="array" ref="P38">DELTAGREEK($B38,100,0.01,P$23,0.2)</f>
        <v>0.90080878767234707</v>
      </c>
      <c r="Q38" s="2" cm="1">
        <f t="array" ref="Q38">DELTAGREEK($B38,100,0.01,Q$23,0.2)</f>
        <v>0.89522601216204511</v>
      </c>
      <c r="R38" s="2" cm="1">
        <f t="array" ref="R38">DELTAGREEK($B38,100,0.01,R$23,0.2)</f>
        <v>0.89005533922078739</v>
      </c>
      <c r="S38" s="2" cm="1">
        <f t="array" ref="S38">DELTAGREEK($B38,100,0.01,S$23,0.2)</f>
        <v>0.88525954704595555</v>
      </c>
      <c r="T38" s="2" cm="1">
        <f t="array" ref="T38">DELTAGREEK($B38,100,0.01,T$23,0.2)</f>
        <v>0.88080489432473497</v>
      </c>
      <c r="U38" s="2" cm="1">
        <f t="array" ref="U38">DELTAGREEK($B38,100,0.01,U$23,0.2)</f>
        <v>0.87666098999602649</v>
      </c>
      <c r="V38" s="2" cm="1">
        <f t="array" ref="V38">DELTAGREEK($B38,100,0.01,V$23,0.2)</f>
        <v>0.87280055331254425</v>
      </c>
      <c r="W38" s="2" cm="1">
        <f t="array" ref="W38">DELTAGREEK($B38,100,0.01,W$23,0.2)</f>
        <v>0.86919913182089226</v>
      </c>
      <c r="X38" s="2" cm="1">
        <f t="array" ref="X38">DELTAGREEK($B38,100,0.01,X$23,0.2)</f>
        <v>0.86583481345852564</v>
      </c>
      <c r="Y38" s="2" cm="1">
        <f t="array" ref="Y38">DELTAGREEK($B38,100,0.01,Y$23,0.2)</f>
        <v>0.86268795133379672</v>
      </c>
      <c r="Z38" s="2" cm="1">
        <f t="array" ref="Z38">DELTAGREEK($B38,100,0.01,Z$23,0.2)</f>
        <v>0.85974090988039731</v>
      </c>
      <c r="AA38" s="2" cm="1">
        <f t="array" ref="AA38">DELTAGREEK($B38,100,0.01,AA$23,0.2)</f>
        <v>0.85697783560711094</v>
      </c>
      <c r="AB38" s="2" cm="1">
        <f t="array" ref="AB38">DELTAGREEK($B38,100,0.01,AB$23,0.2)</f>
        <v>0.85438445270714336</v>
      </c>
      <c r="AC38" s="2" cm="1">
        <f t="array" ref="AC38">DELTAGREEK($B38,100,0.01,AC$23,0.2)</f>
        <v>0.85194788227017393</v>
      </c>
      <c r="AD38" s="2" cm="1">
        <f t="array" ref="AD38">DELTAGREEK($B38,100,0.01,AD$23,0.2)</f>
        <v>0.84965648313433739</v>
      </c>
      <c r="AE38" s="2" cm="1">
        <f t="array" ref="AE38">DELTAGREEK($B38,100,0.01,AE$23,0.2)</f>
        <v>0.84749971216564512</v>
      </c>
      <c r="AF38" s="2" cm="1">
        <f t="array" ref="AF38">DELTAGREEK($B38,100,0.01,AF$23,0.2)</f>
        <v>0.84546800175065795</v>
      </c>
      <c r="AG38" s="2" cm="1">
        <f t="array" ref="AG38">DELTAGREEK($B38,100,0.01,AG$23,0.2)</f>
        <v>0.84355265241406552</v>
      </c>
      <c r="AH38" s="2" cm="1">
        <f t="array" ref="AH38">DELTAGREEK($B38,100,0.01,AH$23,0.2)</f>
        <v>0.84174573865705637</v>
      </c>
      <c r="AI38" s="2" cm="1">
        <f t="array" ref="AI38">DELTAGREEK($B38,100,0.01,AI$23,0.2)</f>
        <v>0.8400400263160438</v>
      </c>
      <c r="AJ38" s="2" cm="1">
        <f t="array" ref="AJ38">DELTAGREEK($B38,100,0.01,AJ$23,0.2)</f>
        <v>0.83842889994318892</v>
      </c>
      <c r="AK38" s="2" cm="1">
        <f t="array" ref="AK38">DELTAGREEK($B38,100,0.01,AK$23,0.2)</f>
        <v>0.8369062988993492</v>
      </c>
      <c r="AL38" s="2" cm="1">
        <f t="array" ref="AL38">DELTAGREEK($B38,100,0.01,AL$23,0.2)</f>
        <v>0.83546666102169909</v>
      </c>
      <c r="AM38" s="2" cm="1">
        <f t="array" ref="AM38">DELTAGREEK($B38,100,0.01,AM$23,0.2)</f>
        <v>0.83410487288078916</v>
      </c>
      <c r="AN38" s="2" cm="1">
        <f t="array" ref="AN38">DELTAGREEK($B38,100,0.01,AN$23,0.2)</f>
        <v>0.83281622577559544</v>
      </c>
      <c r="AO38" s="2" cm="1">
        <f t="array" ref="AO38">DELTAGREEK($B38,100,0.01,AO$23,0.2)</f>
        <v>0.83159637673143105</v>
      </c>
      <c r="AP38" s="2" cm="1">
        <f t="array" ref="AP38">DELTAGREEK($B38,100,0.01,AP$23,0.2)</f>
        <v>0.83044131386615572</v>
      </c>
      <c r="AQ38" s="2" cm="1">
        <f t="array" ref="AQ38">DELTAGREEK($B38,100,0.01,AQ$23,0.2)</f>
        <v>0.82934732557673785</v>
      </c>
      <c r="AR38" s="2" cm="1">
        <f t="array" ref="AR38">DELTAGREEK($B38,100,0.01,AR$23,0.2)</f>
        <v>0.82831097307265555</v>
      </c>
      <c r="AS38" s="2" cm="1">
        <f t="array" ref="AS38">DELTAGREEK($B38,100,0.01,AS$23,0.2)</f>
        <v>0.82732906584652122</v>
      </c>
      <c r="AT38" s="2" cm="1">
        <f t="array" ref="AT38">DELTAGREEK($B38,100,0.01,AT$23,0.2)</f>
        <v>0.82639863972712369</v>
      </c>
      <c r="AU38" s="2" cm="1">
        <f t="array" ref="AU38">DELTAGREEK($B38,100,0.01,AU$23,0.2)</f>
        <v>0.82551693720712416</v>
      </c>
      <c r="AV38" s="2" cm="1">
        <f t="array" ref="AV38">DELTAGREEK($B38,100,0.01,AV$23,0.2)</f>
        <v>0.82468138977801386</v>
      </c>
      <c r="AW38" s="2" cm="1">
        <f t="array" ref="AW38">DELTAGREEK($B38,100,0.01,AW$23,0.2)</f>
        <v>0.82388960203965023</v>
      </c>
      <c r="AX38" s="2" cm="1">
        <f t="array" ref="AX38">DELTAGREEK($B38,100,0.01,AX$23,0.2)</f>
        <v>0.823139337381526</v>
      </c>
      <c r="AY38" s="2" cm="1">
        <f t="array" ref="AY38">DELTAGREEK($B38,100,0.01,AY$23,0.2)</f>
        <v>0.82242850505864395</v>
      </c>
      <c r="AZ38" s="2" cm="1">
        <f t="array" ref="AZ38">DELTAGREEK($B38,100,0.01,AZ$23,0.2)</f>
        <v>0.82175514850703979</v>
      </c>
    </row>
    <row r="39" spans="1:52" x14ac:dyDescent="0.3">
      <c r="A39" s="2"/>
      <c r="B39" s="2">
        <v>135</v>
      </c>
      <c r="C39" s="2" cm="1">
        <f t="array" ref="C39">DELTAGREEK($B39,100,0.01,C$23,0.2)</f>
        <v>0.99999917643923686</v>
      </c>
      <c r="D39" s="2" cm="1">
        <f t="array" ref="D39">DELTAGREEK($B39,100,0.01,D$23,0.2)</f>
        <v>0.99968959215435294</v>
      </c>
      <c r="E39" s="2" cm="1">
        <f t="array" ref="E39">DELTAGREEK($B39,100,0.01,E$23,0.2)</f>
        <v>0.99761170131759624</v>
      </c>
      <c r="F39" s="2" cm="1">
        <f t="array" ref="F39">DELTAGREEK($B39,100,0.01,F$23,0.2)</f>
        <v>0.99319515409537595</v>
      </c>
      <c r="G39" s="2" cm="1">
        <f t="array" ref="G39">DELTAGREEK($B39,100,0.01,G$23,0.2)</f>
        <v>0.987063941065492</v>
      </c>
      <c r="H39" s="2" cm="1">
        <f t="array" ref="H39">DELTAGREEK($B39,100,0.01,H$23,0.2)</f>
        <v>0.97998098357938546</v>
      </c>
      <c r="I39" s="2" cm="1">
        <f t="array" ref="I39">DELTAGREEK($B39,100,0.01,I$23,0.2)</f>
        <v>0.97250574341060869</v>
      </c>
      <c r="J39" s="2" cm="1">
        <f t="array" ref="J39">DELTAGREEK($B39,100,0.01,J$23,0.2)</f>
        <v>0.9649914282191755</v>
      </c>
      <c r="K39" s="2" cm="1">
        <f t="array" ref="K39">DELTAGREEK($B39,100,0.01,K$23,0.2)</f>
        <v>0.95764540824748623</v>
      </c>
      <c r="L39" s="2" cm="1">
        <f t="array" ref="L39">DELTAGREEK($B39,100,0.01,L$23,0.2)</f>
        <v>0.95058198959185258</v>
      </c>
      <c r="M39" s="2" cm="1">
        <f t="array" ref="M39">DELTAGREEK($B39,100,0.01,M$23,0.2)</f>
        <v>0.94385839476434752</v>
      </c>
      <c r="N39" s="2" cm="1">
        <f t="array" ref="N39">DELTAGREEK($B39,100,0.01,N$23,0.2)</f>
        <v>0.93749754196810553</v>
      </c>
      <c r="O39" s="2" cm="1">
        <f t="array" ref="O39">DELTAGREEK($B39,100,0.01,O$23,0.2)</f>
        <v>0.9315021035556853</v>
      </c>
      <c r="P39" s="2" cm="1">
        <f t="array" ref="P39">DELTAGREEK($B39,100,0.01,P$23,0.2)</f>
        <v>0.92586311059898629</v>
      </c>
      <c r="Q39" s="2" cm="1">
        <f t="array" ref="Q39">DELTAGREEK($B39,100,0.01,Q$23,0.2)</f>
        <v>0.92056520501120953</v>
      </c>
      <c r="R39" s="2" cm="1">
        <f t="array" ref="R39">DELTAGREEK($B39,100,0.01,R$23,0.2)</f>
        <v>0.91558983663775007</v>
      </c>
      <c r="S39" s="2" cm="1">
        <f t="array" ref="S39">DELTAGREEK($B39,100,0.01,S$23,0.2)</f>
        <v>0.91091719701009333</v>
      </c>
      <c r="T39" s="2" cm="1">
        <f t="array" ref="T39">DELTAGREEK($B39,100,0.01,T$23,0.2)</f>
        <v>0.90652737304469355</v>
      </c>
      <c r="U39" s="2" cm="1">
        <f t="array" ref="U39">DELTAGREEK($B39,100,0.01,U$23,0.2)</f>
        <v>0.90240101732937894</v>
      </c>
      <c r="V39" s="2" cm="1">
        <f t="array" ref="V39">DELTAGREEK($B39,100,0.01,V$23,0.2)</f>
        <v>0.89851971842195577</v>
      </c>
      <c r="W39" s="2" cm="1">
        <f t="array" ref="W39">DELTAGREEK($B39,100,0.01,W$23,0.2)</f>
        <v>0.89486618542892538</v>
      </c>
      <c r="X39" s="2" cm="1">
        <f t="array" ref="X39">DELTAGREEK($B39,100,0.01,X$23,0.2)</f>
        <v>0.89142431851722892</v>
      </c>
      <c r="Y39" s="2" cm="1">
        <f t="array" ref="Y39">DELTAGREEK($B39,100,0.01,Y$23,0.2)</f>
        <v>0.88817921050979554</v>
      </c>
      <c r="Z39" s="2" cm="1">
        <f t="array" ref="Z39">DELTAGREEK($B39,100,0.01,Z$23,0.2)</f>
        <v>0.88511710808853661</v>
      </c>
      <c r="AA39" s="2" cm="1">
        <f t="array" ref="AA39">DELTAGREEK($B39,100,0.01,AA$23,0.2)</f>
        <v>0.88222535061430718</v>
      </c>
      <c r="AB39" s="2" cm="1">
        <f t="array" ref="AB39">DELTAGREEK($B39,100,0.01,AB$23,0.2)</f>
        <v>0.87949229788090455</v>
      </c>
      <c r="AC39" s="2" cm="1">
        <f t="array" ref="AC39">DELTAGREEK($B39,100,0.01,AC$23,0.2)</f>
        <v>0.87690725383924817</v>
      </c>
      <c r="AD39" s="2" cm="1">
        <f t="array" ref="AD39">DELTAGREEK($B39,100,0.01,AD$23,0.2)</f>
        <v>0.87446039058151104</v>
      </c>
      <c r="AE39" s="2" cm="1">
        <f t="array" ref="AE39">DELTAGREEK($B39,100,0.01,AE$23,0.2)</f>
        <v>0.8721426751123591</v>
      </c>
      <c r="AF39" s="2" cm="1">
        <f t="array" ref="AF39">DELTAGREEK($B39,100,0.01,AF$23,0.2)</f>
        <v>0.86994580030636615</v>
      </c>
      <c r="AG39" s="2" cm="1">
        <f t="array" ref="AG39">DELTAGREEK($B39,100,0.01,AG$23,0.2)</f>
        <v>0.86786212073377345</v>
      </c>
      <c r="AH39" s="2" cm="1">
        <f t="array" ref="AH39">DELTAGREEK($B39,100,0.01,AH$23,0.2)</f>
        <v>0.86588459358713898</v>
      </c>
      <c r="AI39" s="2" cm="1">
        <f t="array" ref="AI39">DELTAGREEK($B39,100,0.01,AI$23,0.2)</f>
        <v>0.86400672466568595</v>
      </c>
      <c r="AJ39" s="2" cm="1">
        <f t="array" ref="AJ39">DELTAGREEK($B39,100,0.01,AJ$23,0.2)</f>
        <v>0.8622225192113997</v>
      </c>
      <c r="AK39" s="2" cm="1">
        <f t="array" ref="AK39">DELTAGREEK($B39,100,0.01,AK$23,0.2)</f>
        <v>0.86052643730119605</v>
      </c>
      <c r="AL39" s="2" cm="1">
        <f t="array" ref="AL39">DELTAGREEK($B39,100,0.01,AL$23,0.2)</f>
        <v>0.85891335345657371</v>
      </c>
      <c r="AM39" s="2" cm="1">
        <f t="array" ref="AM39">DELTAGREEK($B39,100,0.01,AM$23,0.2)</f>
        <v>0.85737852011876825</v>
      </c>
      <c r="AN39" s="2" cm="1">
        <f t="array" ref="AN39">DELTAGREEK($B39,100,0.01,AN$23,0.2)</f>
        <v>0.85591753464221598</v>
      </c>
      <c r="AO39" s="2" cm="1">
        <f t="array" ref="AO39">DELTAGREEK($B39,100,0.01,AO$23,0.2)</f>
        <v>0.85452630947463359</v>
      </c>
      <c r="AP39" s="2" cm="1">
        <f t="array" ref="AP39">DELTAGREEK($B39,100,0.01,AP$23,0.2)</f>
        <v>0.85320104521339801</v>
      </c>
      <c r="AQ39" s="2" cm="1">
        <f t="array" ref="AQ39">DELTAGREEK($B39,100,0.01,AQ$23,0.2)</f>
        <v>0.85193820625201755</v>
      </c>
      <c r="AR39" s="2" cm="1">
        <f t="array" ref="AR39">DELTAGREEK($B39,100,0.01,AR$23,0.2)</f>
        <v>0.85073449875535412</v>
      </c>
      <c r="AS39" s="2" cm="1">
        <f t="array" ref="AS39">DELTAGREEK($B39,100,0.01,AS$23,0.2)</f>
        <v>0.84958685072666618</v>
      </c>
      <c r="AT39" s="2" cm="1">
        <f t="array" ref="AT39">DELTAGREEK($B39,100,0.01,AT$23,0.2)</f>
        <v>0.84849239395275633</v>
      </c>
      <c r="AU39" s="2" cm="1">
        <f t="array" ref="AU39">DELTAGREEK($B39,100,0.01,AU$23,0.2)</f>
        <v>0.84744844763516447</v>
      </c>
      <c r="AV39" s="2" cm="1">
        <f t="array" ref="AV39">DELTAGREEK($B39,100,0.01,AV$23,0.2)</f>
        <v>0.84645250353524748</v>
      </c>
      <c r="AW39" s="2" cm="1">
        <f t="array" ref="AW39">DELTAGREEK($B39,100,0.01,AW$23,0.2)</f>
        <v>0.84550221247909474</v>
      </c>
      <c r="AX39" s="2" cm="1">
        <f t="array" ref="AX39">DELTAGREEK($B39,100,0.01,AX$23,0.2)</f>
        <v>0.84459537208459934</v>
      </c>
      <c r="AY39" s="2" cm="1">
        <f t="array" ref="AY39">DELTAGREEK($B39,100,0.01,AY$23,0.2)</f>
        <v>0.84372991558770938</v>
      </c>
      <c r="AZ39" s="2" cm="1">
        <f t="array" ref="AZ39">DELTAGREEK($B39,100,0.01,AZ$23,0.2)</f>
        <v>0.8429039016580514</v>
      </c>
    </row>
    <row r="40" spans="1:52" x14ac:dyDescent="0.3">
      <c r="A40" s="2"/>
      <c r="B40" s="2">
        <v>140</v>
      </c>
      <c r="C40" s="2" cm="1">
        <f t="array" ref="C40">DELTAGREEK($B40,100,0.01,C$23,0.2)</f>
        <v>0.99999996008829672</v>
      </c>
      <c r="D40" s="2" cm="1">
        <f t="array" ref="D40">DELTAGREEK($B40,100,0.01,D$23,0.2)</f>
        <v>0.99993565599706147</v>
      </c>
      <c r="E40" s="2" cm="1">
        <f t="array" ref="E40">DELTAGREEK($B40,100,0.01,E$23,0.2)</f>
        <v>0.99919396953371908</v>
      </c>
      <c r="F40" s="2" cm="1">
        <f t="array" ref="F40">DELTAGREEK($B40,100,0.01,F$23,0.2)</f>
        <v>0.99706463005532564</v>
      </c>
      <c r="G40" s="2" cm="1">
        <f t="array" ref="G40">DELTAGREEK($B40,100,0.01,G$23,0.2)</f>
        <v>0.9935275944696309</v>
      </c>
      <c r="H40" s="2" cm="1">
        <f t="array" ref="H40">DELTAGREEK($B40,100,0.01,H$23,0.2)</f>
        <v>0.98893439681623385</v>
      </c>
      <c r="I40" s="2" cm="1">
        <f t="array" ref="I40">DELTAGREEK($B40,100,0.01,I$23,0.2)</f>
        <v>0.98367272820713014</v>
      </c>
      <c r="J40" s="2" cm="1">
        <f t="array" ref="J40">DELTAGREEK($B40,100,0.01,J$23,0.2)</f>
        <v>0.97805296953813903</v>
      </c>
      <c r="K40" s="2" cm="1">
        <f t="array" ref="K40">DELTAGREEK($B40,100,0.01,K$23,0.2)</f>
        <v>0.97229624527713165</v>
      </c>
      <c r="L40" s="2" cm="1">
        <f t="array" ref="L40">DELTAGREEK($B40,100,0.01,L$23,0.2)</f>
        <v>0.96655118639654458</v>
      </c>
      <c r="M40" s="2" cm="1">
        <f t="array" ref="M40">DELTAGREEK($B40,100,0.01,M$23,0.2)</f>
        <v>0.96091377292747471</v>
      </c>
      <c r="N40" s="2" cm="1">
        <f t="array" ref="N40">DELTAGREEK($B40,100,0.01,N$23,0.2)</f>
        <v>0.95544350726145821</v>
      </c>
      <c r="O40" s="2" cm="1">
        <f t="array" ref="O40">DELTAGREEK($B40,100,0.01,O$23,0.2)</f>
        <v>0.95017519398193306</v>
      </c>
      <c r="P40" s="2" cm="1">
        <f t="array" ref="P40">DELTAGREEK($B40,100,0.01,P$23,0.2)</f>
        <v>0.94512714047457236</v>
      </c>
      <c r="Q40" s="2" cm="1">
        <f t="array" ref="Q40">DELTAGREEK($B40,100,0.01,Q$23,0.2)</f>
        <v>0.94030675572790823</v>
      </c>
      <c r="R40" s="2" cm="1">
        <f t="array" ref="R40">DELTAGREEK($B40,100,0.01,R$23,0.2)</f>
        <v>0.93571434163899236</v>
      </c>
      <c r="S40" s="2" cm="1">
        <f t="array" ref="S40">DELTAGREEK($B40,100,0.01,S$23,0.2)</f>
        <v>0.93134565211879805</v>
      </c>
      <c r="T40" s="2" cm="1">
        <f t="array" ref="T40">DELTAGREEK($B40,100,0.01,T$23,0.2)</f>
        <v>0.92719361792621136</v>
      </c>
      <c r="U40" s="2" cm="1">
        <f t="array" ref="U40">DELTAGREEK($B40,100,0.01,U$23,0.2)</f>
        <v>0.92324950724689181</v>
      </c>
      <c r="V40" s="2" cm="1">
        <f t="array" ref="V40">DELTAGREEK($B40,100,0.01,V$23,0.2)</f>
        <v>0.91950370400292614</v>
      </c>
      <c r="W40" s="2" cm="1">
        <f t="array" ref="W40">DELTAGREEK($B40,100,0.01,W$23,0.2)</f>
        <v>0.91594622648341406</v>
      </c>
      <c r="X40" s="2" cm="1">
        <f t="array" ref="X40">DELTAGREEK($B40,100,0.01,X$23,0.2)</f>
        <v>0.9125670690951263</v>
      </c>
      <c r="Y40" s="2" cm="1">
        <f t="array" ref="Y40">DELTAGREEK($B40,100,0.01,Y$23,0.2)</f>
        <v>0.90935642339173028</v>
      </c>
      <c r="Z40" s="2" cm="1">
        <f t="array" ref="Z40">DELTAGREEK($B40,100,0.01,Z$23,0.2)</f>
        <v>0.90630481665296148</v>
      </c>
      <c r="AA40" s="2" cm="1">
        <f t="array" ref="AA40">DELTAGREEK($B40,100,0.01,AA$23,0.2)</f>
        <v>0.90340319421918036</v>
      </c>
      <c r="AB40" s="2" cm="1">
        <f t="array" ref="AB40">DELTAGREEK($B40,100,0.01,AB$23,0.2)</f>
        <v>0.90064296360236429</v>
      </c>
      <c r="AC40" s="2" cm="1">
        <f t="array" ref="AC40">DELTAGREEK($B40,100,0.01,AC$23,0.2)</f>
        <v>0.89801601281062093</v>
      </c>
      <c r="AD40" s="2" cm="1">
        <f t="array" ref="AD40">DELTAGREEK($B40,100,0.01,AD$23,0.2)</f>
        <v>0.89551471149155926</v>
      </c>
      <c r="AE40" s="2" cm="1">
        <f t="array" ref="AE40">DELTAGREEK($B40,100,0.01,AE$23,0.2)</f>
        <v>0.89313190085618699</v>
      </c>
      <c r="AF40" s="2" cm="1">
        <f t="array" ref="AF40">DELTAGREEK($B40,100,0.01,AF$23,0.2)</f>
        <v>0.89086087651205026</v>
      </c>
      <c r="AG40" s="2" cm="1">
        <f t="array" ref="AG40">DELTAGREEK($B40,100,0.01,AG$23,0.2)</f>
        <v>0.88869536705806285</v>
      </c>
      <c r="AH40" s="2" cm="1">
        <f t="array" ref="AH40">DELTAGREEK($B40,100,0.01,AH$23,0.2)</f>
        <v>0.88662951040174853</v>
      </c>
      <c r="AI40" s="2" cm="1">
        <f t="array" ref="AI40">DELTAGREEK($B40,100,0.01,AI$23,0.2)</f>
        <v>0.88465782913500135</v>
      </c>
      <c r="AJ40" s="2" cm="1">
        <f t="array" ref="AJ40">DELTAGREEK($B40,100,0.01,AJ$23,0.2)</f>
        <v>0.88277520586634617</v>
      </c>
      <c r="AK40" s="2" cm="1">
        <f t="array" ref="AK40">DELTAGREEK($B40,100,0.01,AK$23,0.2)</f>
        <v>0.88097685910034351</v>
      </c>
      <c r="AL40" s="2" cm="1">
        <f t="array" ref="AL40">DELTAGREEK($B40,100,0.01,AL$23,0.2)</f>
        <v>0.87925832003952709</v>
      </c>
      <c r="AM40" s="2" cm="1">
        <f t="array" ref="AM40">DELTAGREEK($B40,100,0.01,AM$23,0.2)</f>
        <v>0.87761541053404946</v>
      </c>
      <c r="AN40" s="2" cm="1">
        <f t="array" ref="AN40">DELTAGREEK($B40,100,0.01,AN$23,0.2)</f>
        <v>0.87604422230002188</v>
      </c>
      <c r="AO40" s="2" cm="1">
        <f t="array" ref="AO40">DELTAGREEK($B40,100,0.01,AO$23,0.2)</f>
        <v>0.87454109745600184</v>
      </c>
      <c r="AP40" s="2" cm="1">
        <f t="array" ref="AP40">DELTAGREEK($B40,100,0.01,AP$23,0.2)</f>
        <v>0.87310261037867953</v>
      </c>
      <c r="AQ40" s="2" cm="1">
        <f t="array" ref="AQ40">DELTAGREEK($B40,100,0.01,AQ$23,0.2)</f>
        <v>0.87172555084681502</v>
      </c>
      <c r="AR40" s="2" cm="1">
        <f t="array" ref="AR40">DELTAGREEK($B40,100,0.01,AR$23,0.2)</f>
        <v>0.87040690842206447</v>
      </c>
      <c r="AS40" s="2" cm="1">
        <f t="array" ref="AS40">DELTAGREEK($B40,100,0.01,AS$23,0.2)</f>
        <v>0.86914385800306726</v>
      </c>
      <c r="AT40" s="2" cm="1">
        <f t="array" ref="AT40">DELTAGREEK($B40,100,0.01,AT$23,0.2)</f>
        <v>0.86793374648258959</v>
      </c>
      <c r="AU40" s="2" cm="1">
        <f t="array" ref="AU40">DELTAGREEK($B40,100,0.01,AU$23,0.2)</f>
        <v>0.86677408043488025</v>
      </c>
      <c r="AV40" s="2" cm="1">
        <f t="array" ref="AV40">DELTAGREEK($B40,100,0.01,AV$23,0.2)</f>
        <v>0.86566251476041689</v>
      </c>
      <c r="AW40" s="2" cm="1">
        <f t="array" ref="AW40">DELTAGREEK($B40,100,0.01,AW$23,0.2)</f>
        <v>0.86459684221702826</v>
      </c>
      <c r="AX40" s="2" cm="1">
        <f t="array" ref="AX40">DELTAGREEK($B40,100,0.01,AX$23,0.2)</f>
        <v>0.8635749837693103</v>
      </c>
      <c r="AY40" s="2" cm="1">
        <f t="array" ref="AY40">DELTAGREEK($B40,100,0.01,AY$23,0.2)</f>
        <v>0.86259497969187304</v>
      </c>
      <c r="AZ40" s="2" cm="1">
        <f t="array" ref="AZ40">DELTAGREEK($B40,100,0.01,AZ$23,0.2)</f>
        <v>0.86165498136593754</v>
      </c>
    </row>
    <row r="43" spans="1:52" x14ac:dyDescent="0.3">
      <c r="A43" s="2" t="s">
        <v>15</v>
      </c>
      <c r="B43" s="2"/>
      <c r="C43" s="2" t="s">
        <v>12</v>
      </c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</row>
    <row r="44" spans="1:52" x14ac:dyDescent="0.3">
      <c r="A44" s="2"/>
      <c r="B44" s="2"/>
      <c r="C44" s="2">
        <v>0.1</v>
      </c>
      <c r="D44" s="2">
        <v>0.2</v>
      </c>
      <c r="E44" s="2">
        <v>0.3</v>
      </c>
      <c r="F44" s="2">
        <v>0.4</v>
      </c>
      <c r="G44" s="2">
        <v>0.5</v>
      </c>
      <c r="H44" s="2">
        <v>0.6</v>
      </c>
      <c r="I44" s="2">
        <v>0.7</v>
      </c>
      <c r="J44" s="2">
        <v>0.8</v>
      </c>
      <c r="K44" s="2">
        <v>0.9</v>
      </c>
      <c r="L44" s="2">
        <v>1</v>
      </c>
      <c r="M44" s="2">
        <v>1.1000000000000001</v>
      </c>
      <c r="N44" s="2">
        <v>1.2</v>
      </c>
      <c r="O44" s="2">
        <v>1.3</v>
      </c>
      <c r="P44" s="2">
        <v>1.4</v>
      </c>
      <c r="Q44" s="2">
        <v>1.5</v>
      </c>
      <c r="R44" s="2">
        <v>1.6</v>
      </c>
      <c r="S44" s="2">
        <v>1.7</v>
      </c>
      <c r="T44" s="2">
        <v>1.8</v>
      </c>
      <c r="U44" s="2">
        <v>1.9</v>
      </c>
      <c r="V44" s="2">
        <v>2</v>
      </c>
      <c r="W44" s="2">
        <v>2.1</v>
      </c>
      <c r="X44" s="2">
        <v>2.2000000000000002</v>
      </c>
      <c r="Y44" s="2">
        <v>2.2999999999999998</v>
      </c>
      <c r="Z44" s="2">
        <v>2.4</v>
      </c>
      <c r="AA44" s="2">
        <v>2.5</v>
      </c>
      <c r="AB44" s="2">
        <v>2.6</v>
      </c>
      <c r="AC44" s="2">
        <v>2.7</v>
      </c>
      <c r="AD44" s="2">
        <v>2.8</v>
      </c>
      <c r="AE44" s="2">
        <v>2.9</v>
      </c>
      <c r="AF44" s="2">
        <v>3</v>
      </c>
      <c r="AG44" s="2">
        <v>3.1</v>
      </c>
      <c r="AH44" s="2">
        <v>3.2</v>
      </c>
      <c r="AI44" s="2">
        <v>3.3</v>
      </c>
      <c r="AJ44" s="2">
        <v>3.4</v>
      </c>
      <c r="AK44" s="2">
        <v>3.5</v>
      </c>
      <c r="AL44" s="2">
        <v>3.6</v>
      </c>
      <c r="AM44" s="2">
        <v>3.7</v>
      </c>
      <c r="AN44" s="2">
        <v>3.8</v>
      </c>
      <c r="AO44" s="2">
        <v>3.9</v>
      </c>
      <c r="AP44" s="2">
        <v>4</v>
      </c>
      <c r="AQ44" s="2">
        <v>4.0999999999999996</v>
      </c>
      <c r="AR44" s="2">
        <v>4.2</v>
      </c>
      <c r="AS44" s="2">
        <v>4.3</v>
      </c>
      <c r="AT44" s="2">
        <v>4.4000000000000004</v>
      </c>
      <c r="AU44" s="2">
        <v>4.5</v>
      </c>
      <c r="AV44" s="2">
        <v>4.5999999999999996</v>
      </c>
      <c r="AW44" s="2">
        <v>4.7</v>
      </c>
      <c r="AX44" s="2">
        <v>4.8</v>
      </c>
      <c r="AY44" s="2">
        <v>4.9000000000000004</v>
      </c>
      <c r="AZ44" s="2">
        <v>5</v>
      </c>
    </row>
    <row r="45" spans="1:52" x14ac:dyDescent="0.3">
      <c r="A45" s="2" t="s">
        <v>11</v>
      </c>
      <c r="B45" s="2">
        <v>60</v>
      </c>
      <c r="C45" s="2" cm="1">
        <f t="array" ref="C45">DELTAGREEK($B45,100,0.01,C$44,0.4)</f>
        <v>3.6348798618850601E-5</v>
      </c>
      <c r="D45" s="2" cm="1">
        <f t="array" ref="D45">DELTAGREEK($B45,100,0.01,D$44,0.4)</f>
        <v>2.9347952278814616E-3</v>
      </c>
      <c r="E45" s="2" cm="1">
        <f t="array" ref="E45">DELTAGREEK($B45,100,0.01,E$44,0.4)</f>
        <v>1.360988181147996E-2</v>
      </c>
      <c r="F45" s="2" cm="1">
        <f t="array" ref="F45">DELTAGREEK($B45,100,0.01,F$44,0.4)</f>
        <v>3.0265004057260802E-2</v>
      </c>
      <c r="G45" s="2" cm="1">
        <f t="array" ref="G45">DELTAGREEK($B45,100,0.01,G$44,0.4)</f>
        <v>4.9784954467223613E-2</v>
      </c>
      <c r="H45" s="2" cm="1">
        <f t="array" ref="H45">DELTAGREEK($B45,100,0.01,H$44,0.4)</f>
        <v>7.0187182774665971E-2</v>
      </c>
      <c r="I45" s="2" cm="1">
        <f t="array" ref="I45">DELTAGREEK($B45,100,0.01,I$44,0.4)</f>
        <v>9.0426217613309767E-2</v>
      </c>
      <c r="J45" s="2" cm="1">
        <f t="array" ref="J45">DELTAGREEK($B45,100,0.01,J$44,0.4)</f>
        <v>0.10999496331968239</v>
      </c>
      <c r="K45" s="2" cm="1">
        <f t="array" ref="K45">DELTAGREEK($B45,100,0.01,K$44,0.4)</f>
        <v>0.12867223491743277</v>
      </c>
      <c r="L45" s="2" cm="1">
        <f t="array" ref="L45">DELTAGREEK($B45,100,0.01,L$44,0.4)</f>
        <v>0.14638508011679635</v>
      </c>
      <c r="M45" s="2" cm="1">
        <f t="array" ref="M45">DELTAGREEK($B45,100,0.01,M$44,0.4)</f>
        <v>0.16313595237605982</v>
      </c>
      <c r="N45" s="2" cm="1">
        <f t="array" ref="N45">DELTAGREEK($B45,100,0.01,N$44,0.4)</f>
        <v>0.17896423964249314</v>
      </c>
      <c r="O45" s="2" cm="1">
        <f t="array" ref="O45">DELTAGREEK($B45,100,0.01,O$44,0.4)</f>
        <v>0.19392586790274308</v>
      </c>
      <c r="P45" s="2" cm="1">
        <f t="array" ref="P45">DELTAGREEK($B45,100,0.01,P$44,0.4)</f>
        <v>0.20808250359311675</v>
      </c>
      <c r="Q45" s="2" cm="1">
        <f t="array" ref="Q45">DELTAGREEK($B45,100,0.01,Q$44,0.4)</f>
        <v>0.22149591812442285</v>
      </c>
      <c r="R45" s="2" cm="1">
        <f t="array" ref="R45">DELTAGREEK($B45,100,0.01,R$44,0.4)</f>
        <v>0.23422515725615581</v>
      </c>
      <c r="S45" s="2" cm="1">
        <f t="array" ref="S45">DELTAGREEK($B45,100,0.01,S$44,0.4)</f>
        <v>0.24632524179349535</v>
      </c>
      <c r="T45" s="2" cm="1">
        <f t="array" ref="T45">DELTAGREEK($B45,100,0.01,T$44,0.4)</f>
        <v>0.25784670102891127</v>
      </c>
      <c r="U45" s="2" cm="1">
        <f t="array" ref="U45">DELTAGREEK($B45,100,0.01,U$44,0.4)</f>
        <v>0.26883555112730839</v>
      </c>
      <c r="V45" s="2" cm="1">
        <f t="array" ref="V45">DELTAGREEK($B45,100,0.01,V$44,0.4)</f>
        <v>0.27933350159524006</v>
      </c>
      <c r="W45" s="2" cm="1">
        <f t="array" ref="W45">DELTAGREEK($B45,100,0.01,W$44,0.4)</f>
        <v>0.28937826843258113</v>
      </c>
      <c r="X45" s="2" cm="1">
        <f t="array" ref="X45">DELTAGREEK($B45,100,0.01,X$44,0.4)</f>
        <v>0.29900392651809304</v>
      </c>
      <c r="Y45" s="2" cm="1">
        <f t="array" ref="Y45">DELTAGREEK($B45,100,0.01,Y$44,0.4)</f>
        <v>0.30824126453022821</v>
      </c>
      <c r="Z45" s="2" cm="1">
        <f t="array" ref="Z45">DELTAGREEK($B45,100,0.01,Z$44,0.4)</f>
        <v>0.31711812329593969</v>
      </c>
      <c r="AA45" s="2" cm="1">
        <f t="array" ref="AA45">DELTAGREEK($B45,100,0.01,AA$44,0.4)</f>
        <v>0.3256597085017835</v>
      </c>
      <c r="AB45" s="2" cm="1">
        <f t="array" ref="AB45">DELTAGREEK($B45,100,0.01,AB$44,0.4)</f>
        <v>0.33388887437341552</v>
      </c>
      <c r="AC45" s="2" cm="1">
        <f t="array" ref="AC45">DELTAGREEK($B45,100,0.01,AC$44,0.4)</f>
        <v>0.34182637805914323</v>
      </c>
      <c r="AD45" s="2" cm="1">
        <f t="array" ref="AD45">DELTAGREEK($B45,100,0.01,AD$44,0.4)</f>
        <v>0.34949110610236778</v>
      </c>
      <c r="AE45" s="2" cm="1">
        <f t="array" ref="AE45">DELTAGREEK($B45,100,0.01,AE$44,0.4)</f>
        <v>0.3569002751790083</v>
      </c>
      <c r="AF45" s="2" cm="1">
        <f t="array" ref="AF45">DELTAGREEK($B45,100,0.01,AF$44,0.4)</f>
        <v>0.36406960957634826</v>
      </c>
      <c r="AG45" s="2" cm="1">
        <f t="array" ref="AG45">DELTAGREEK($B45,100,0.01,AG$44,0.4)</f>
        <v>0.37101349791624305</v>
      </c>
      <c r="AH45" s="2" cm="1">
        <f t="array" ref="AH45">DELTAGREEK($B45,100,0.01,AH$44,0.4)</f>
        <v>0.37774513150641048</v>
      </c>
      <c r="AI45" s="2" cm="1">
        <f t="array" ref="AI45">DELTAGREEK($B45,100,0.01,AI$44,0.4)</f>
        <v>0.38427662651378192</v>
      </c>
      <c r="AJ45" s="2" cm="1">
        <f t="array" ref="AJ45">DELTAGREEK($B45,100,0.01,AJ$44,0.4)</f>
        <v>0.39061913193706671</v>
      </c>
      <c r="AK45" s="2" cm="1">
        <f t="array" ref="AK45">DELTAGREEK($B45,100,0.01,AK$44,0.4)</f>
        <v>0.39678292513624147</v>
      </c>
      <c r="AL45" s="2" cm="1">
        <f t="array" ref="AL45">DELTAGREEK($B45,100,0.01,AL$44,0.4)</f>
        <v>0.40277749646773625</v>
      </c>
      <c r="AM45" s="2" cm="1">
        <f t="array" ref="AM45">DELTAGREEK($B45,100,0.01,AM$44,0.4)</f>
        <v>0.40861162438204168</v>
      </c>
      <c r="AN45" s="2" cm="1">
        <f t="array" ref="AN45">DELTAGREEK($B45,100,0.01,AN$44,0.4)</f>
        <v>0.41429344216778757</v>
      </c>
      <c r="AO45" s="2" cm="1">
        <f t="array" ref="AO45">DELTAGREEK($B45,100,0.01,AO$44,0.4)</f>
        <v>0.41983049737330103</v>
      </c>
      <c r="AP45" s="2" cm="1">
        <f t="array" ref="AP45">DELTAGREEK($B45,100,0.01,AP$44,0.4)</f>
        <v>0.42522980480229544</v>
      </c>
      <c r="AQ45" s="2" cm="1">
        <f t="array" ref="AQ45">DELTAGREEK($B45,100,0.01,AQ$44,0.4)</f>
        <v>0.43049789386314785</v>
      </c>
      <c r="AR45" s="2" cm="1">
        <f t="array" ref="AR45">DELTAGREEK($B45,100,0.01,AR$44,0.4)</f>
        <v>0.43564085094942484</v>
      </c>
      <c r="AS45" s="2" cm="1">
        <f t="array" ref="AS45">DELTAGREEK($B45,100,0.01,AS$44,0.4)</f>
        <v>0.44066435744113563</v>
      </c>
      <c r="AT45" s="2" cm="1">
        <f t="array" ref="AT45">DELTAGREEK($B45,100,0.01,AT$44,0.4)</f>
        <v>0.44557372383992944</v>
      </c>
      <c r="AU45" s="2" cm="1">
        <f t="array" ref="AU45">DELTAGREEK($B45,100,0.01,AU$44,0.4)</f>
        <v>0.45037392048554237</v>
      </c>
      <c r="AV45" s="2" cm="1">
        <f t="array" ref="AV45">DELTAGREEK($B45,100,0.01,AV$44,0.4)</f>
        <v>0.45506960524385925</v>
      </c>
      <c r="AW45" s="2" cm="1">
        <f t="array" ref="AW45">DELTAGREEK($B45,100,0.01,AW$44,0.4)</f>
        <v>0.45966514850773377</v>
      </c>
      <c r="AX45" s="2" cm="1">
        <f t="array" ref="AX45">DELTAGREEK($B45,100,0.01,AX$44,0.4)</f>
        <v>0.46416465580915051</v>
      </c>
      <c r="AY45" s="2" cm="1">
        <f t="array" ref="AY45">DELTAGREEK($B45,100,0.01,AY$44,0.4)</f>
        <v>0.46857198830446917</v>
      </c>
      <c r="AZ45" s="2" cm="1">
        <f t="array" ref="AZ45">DELTAGREEK($B45,100,0.01,AZ$44,0.4)</f>
        <v>0.47289078136256424</v>
      </c>
    </row>
    <row r="46" spans="1:52" x14ac:dyDescent="0.3">
      <c r="A46" s="2"/>
      <c r="B46" s="2">
        <v>65</v>
      </c>
      <c r="C46" s="2" cm="1">
        <f t="array" ref="C46">DELTAGREEK($B46,100,0.01,C$44,0.4)</f>
        <v>4.2728488546924404E-4</v>
      </c>
      <c r="D46" s="2" cm="1">
        <f t="array" ref="D46">DELTAGREEK($B46,100,0.01,D$44,0.4)</f>
        <v>1.051273913450264E-2</v>
      </c>
      <c r="E46" s="2" cm="1">
        <f t="array" ref="E46">DELTAGREEK($B46,100,0.01,E$44,0.4)</f>
        <v>3.2663889910136988E-2</v>
      </c>
      <c r="F46" s="2" cm="1">
        <f t="array" ref="F46">DELTAGREEK($B46,100,0.01,F$44,0.4)</f>
        <v>5.9318937498893519E-2</v>
      </c>
      <c r="G46" s="2" cm="1">
        <f t="array" ref="G46">DELTAGREEK($B46,100,0.01,G$44,0.4)</f>
        <v>8.6291874805857233E-2</v>
      </c>
      <c r="H46" s="2" cm="1">
        <f t="array" ref="H46">DELTAGREEK($B46,100,0.01,H$44,0.4)</f>
        <v>0.11198072234702855</v>
      </c>
      <c r="I46" s="2" cm="1">
        <f t="array" ref="I46">DELTAGREEK($B46,100,0.01,I$44,0.4)</f>
        <v>0.13589239512780618</v>
      </c>
      <c r="J46" s="2" cm="1">
        <f t="array" ref="J46">DELTAGREEK($B46,100,0.01,J$44,0.4)</f>
        <v>0.15797175049937368</v>
      </c>
      <c r="K46" s="2" cm="1">
        <f t="array" ref="K46">DELTAGREEK($B46,100,0.01,K$44,0.4)</f>
        <v>0.17832717034907883</v>
      </c>
      <c r="L46" s="2" cm="1">
        <f t="array" ref="L46">DELTAGREEK($B46,100,0.01,L$44,0.4)</f>
        <v>0.19711889872301622</v>
      </c>
      <c r="M46" s="2" cm="1">
        <f t="array" ref="M46">DELTAGREEK($B46,100,0.01,M$44,0.4)</f>
        <v>0.21451386883190346</v>
      </c>
      <c r="N46" s="2" cm="1">
        <f t="array" ref="N46">DELTAGREEK($B46,100,0.01,N$44,0.4)</f>
        <v>0.23066826366925255</v>
      </c>
      <c r="O46" s="2" cm="1">
        <f t="array" ref="O46">DELTAGREEK($B46,100,0.01,O$44,0.4)</f>
        <v>0.24572180715035019</v>
      </c>
      <c r="P46" s="2" cm="1">
        <f t="array" ref="P46">DELTAGREEK($B46,100,0.01,P$44,0.4)</f>
        <v>0.2597969751822673</v>
      </c>
      <c r="Q46" s="2" cm="1">
        <f t="array" ref="Q46">DELTAGREEK($B46,100,0.01,Q$44,0.4)</f>
        <v>0.273000162439339</v>
      </c>
      <c r="R46" s="2" cm="1">
        <f t="array" ref="R46">DELTAGREEK($B46,100,0.01,R$44,0.4)</f>
        <v>0.28542350457572935</v>
      </c>
      <c r="S46" s="2" cm="1">
        <f t="array" ref="S46">DELTAGREEK($B46,100,0.01,S$44,0.4)</f>
        <v>0.29714679446464531</v>
      </c>
      <c r="T46" s="2" cm="1">
        <f t="array" ref="T46">DELTAGREEK($B46,100,0.01,T$44,0.4)</f>
        <v>0.30823926426944614</v>
      </c>
      <c r="U46" s="2" cm="1">
        <f t="array" ref="U46">DELTAGREEK($B46,100,0.01,U$44,0.4)</f>
        <v>0.31876115555360818</v>
      </c>
      <c r="V46" s="2" cm="1">
        <f t="array" ref="V46">DELTAGREEK($B46,100,0.01,V$44,0.4)</f>
        <v>0.32876506603937317</v>
      </c>
      <c r="W46" s="2" cm="1">
        <f t="array" ref="W46">DELTAGREEK($B46,100,0.01,W$44,0.4)</f>
        <v>0.33829708907669576</v>
      </c>
      <c r="X46" s="2" cm="1">
        <f t="array" ref="X46">DELTAGREEK($B46,100,0.01,X$44,0.4)</f>
        <v>0.3473977713604377</v>
      </c>
      <c r="Y46" s="2" cm="1">
        <f t="array" ref="Y46">DELTAGREEK($B46,100,0.01,Y$44,0.4)</f>
        <v>0.35610291583533005</v>
      </c>
      <c r="Z46" s="2" cm="1">
        <f t="array" ref="Z46">DELTAGREEK($B46,100,0.01,Z$44,0.4)</f>
        <v>0.36444425474762099</v>
      </c>
      <c r="AA46" s="2" cm="1">
        <f t="array" ref="AA46">DELTAGREEK($B46,100,0.01,AA$44,0.4)</f>
        <v>0.37245001464328276</v>
      </c>
      <c r="AB46" s="2" cm="1">
        <f t="array" ref="AB46">DELTAGREEK($B46,100,0.01,AB$44,0.4)</f>
        <v>0.38014539177875106</v>
      </c>
      <c r="AC46" s="2" cm="1">
        <f t="array" ref="AC46">DELTAGREEK($B46,100,0.01,AC$44,0.4)</f>
        <v>0.38755295332611189</v>
      </c>
      <c r="AD46" s="2" cm="1">
        <f t="array" ref="AD46">DELTAGREEK($B46,100,0.01,AD$44,0.4)</f>
        <v>0.39469297706945788</v>
      </c>
      <c r="AE46" s="2" cm="1">
        <f t="array" ref="AE46">DELTAGREEK($B46,100,0.01,AE$44,0.4)</f>
        <v>0.40158374002487252</v>
      </c>
      <c r="AF46" s="2" cm="1">
        <f t="array" ref="AF46">DELTAGREEK($B46,100,0.01,AF$44,0.4)</f>
        <v>0.40824176454108435</v>
      </c>
      <c r="AG46" s="2" cm="1">
        <f t="array" ref="AG46">DELTAGREEK($B46,100,0.01,AG$44,0.4)</f>
        <v>0.41468202890007333</v>
      </c>
      <c r="AH46" s="2" cm="1">
        <f t="array" ref="AH46">DELTAGREEK($B46,100,0.01,AH$44,0.4)</f>
        <v>0.42091814818279433</v>
      </c>
      <c r="AI46" s="2" cm="1">
        <f t="array" ref="AI46">DELTAGREEK($B46,100,0.01,AI$44,0.4)</f>
        <v>0.42696253014489016</v>
      </c>
      <c r="AJ46" s="2" cm="1">
        <f t="array" ref="AJ46">DELTAGREEK($B46,100,0.01,AJ$44,0.4)</f>
        <v>0.43282651001763006</v>
      </c>
      <c r="AK46" s="2" cm="1">
        <f t="array" ref="AK46">DELTAGREEK($B46,100,0.01,AK$44,0.4)</f>
        <v>0.43852046747417944</v>
      </c>
      <c r="AL46" s="2" cm="1">
        <f t="array" ref="AL46">DELTAGREEK($B46,100,0.01,AL$44,0.4)</f>
        <v>0.44405392845101516</v>
      </c>
      <c r="AM46" s="2" cm="1">
        <f t="array" ref="AM46">DELTAGREEK($B46,100,0.01,AM$44,0.4)</f>
        <v>0.44943565406475838</v>
      </c>
      <c r="AN46" s="2" cm="1">
        <f t="array" ref="AN46">DELTAGREEK($B46,100,0.01,AN$44,0.4)</f>
        <v>0.45467371849649713</v>
      </c>
      <c r="AO46" s="2" cm="1">
        <f t="array" ref="AO46">DELTAGREEK($B46,100,0.01,AO$44,0.4)</f>
        <v>0.45977557741321967</v>
      </c>
      <c r="AP46" s="2" cm="1">
        <f t="array" ref="AP46">DELTAGREEK($B46,100,0.01,AP$44,0.4)</f>
        <v>0.46474812824678075</v>
      </c>
      <c r="AQ46" s="2" cm="1">
        <f t="array" ref="AQ46">DELTAGREEK($B46,100,0.01,AQ$44,0.4)</f>
        <v>0.46959776344484505</v>
      </c>
      <c r="AR46" s="2" cm="1">
        <f t="array" ref="AR46">DELTAGREEK($B46,100,0.01,AR$44,0.4)</f>
        <v>0.47433041763745992</v>
      </c>
      <c r="AS46" s="2" cm="1">
        <f t="array" ref="AS46">DELTAGREEK($B46,100,0.01,AS$44,0.4)</f>
        <v>0.47895160952082649</v>
      </c>
      <c r="AT46" s="2" cm="1">
        <f t="array" ref="AT46">DELTAGREEK($B46,100,0.01,AT$44,0.4)</f>
        <v>0.48346647914127072</v>
      </c>
      <c r="AU46" s="2" cm="1">
        <f t="array" ref="AU46">DELTAGREEK($B46,100,0.01,AU$44,0.4)</f>
        <v>0.48787982116314299</v>
      </c>
      <c r="AV46" s="2" cm="1">
        <f t="array" ref="AV46">DELTAGREEK($B46,100,0.01,AV$44,0.4)</f>
        <v>0.49219611462101098</v>
      </c>
      <c r="AW46" s="2" cm="1">
        <f t="array" ref="AW46">DELTAGREEK($B46,100,0.01,AW$44,0.4)</f>
        <v>0.49641954958627732</v>
      </c>
      <c r="AX46" s="2" cm="1">
        <f t="array" ref="AX46">DELTAGREEK($B46,100,0.01,AX$44,0.4)</f>
        <v>0.50055405111901408</v>
      </c>
      <c r="AY46" s="2" cm="1">
        <f t="array" ref="AY46">DELTAGREEK($B46,100,0.01,AY$44,0.4)</f>
        <v>0.50460330082551696</v>
      </c>
      <c r="AZ46" s="2" cm="1">
        <f t="array" ref="AZ46">DELTAGREEK($B46,100,0.01,AZ$44,0.4)</f>
        <v>0.50857075629934234</v>
      </c>
    </row>
    <row r="47" spans="1:52" x14ac:dyDescent="0.3">
      <c r="A47" s="2"/>
      <c r="B47" s="2">
        <v>70</v>
      </c>
      <c r="C47" s="2" cm="1">
        <f t="array" ref="C47">DELTAGREEK($B47,100,0.01,C$44,0.4)</f>
        <v>2.9924113097969758E-3</v>
      </c>
      <c r="D47" s="2" cm="1">
        <f t="array" ref="D47">DELTAGREEK($B47,100,0.01,D$44,0.4)</f>
        <v>2.9162282770729148E-2</v>
      </c>
      <c r="E47" s="2" cm="1">
        <f t="array" ref="E47">DELTAGREEK($B47,100,0.01,E$44,0.4)</f>
        <v>6.6193749134958235E-2</v>
      </c>
      <c r="F47" s="2" cm="1">
        <f t="array" ref="F47">DELTAGREEK($B47,100,0.01,F$44,0.4)</f>
        <v>0.10247416506520698</v>
      </c>
      <c r="G47" s="2" cm="1">
        <f t="array" ref="G47">DELTAGREEK($B47,100,0.01,G$44,0.4)</f>
        <v>0.13524445862330023</v>
      </c>
      <c r="H47" s="2" cm="1">
        <f t="array" ref="H47">DELTAGREEK($B47,100,0.01,H$44,0.4)</f>
        <v>0.16431448488991046</v>
      </c>
      <c r="I47" s="2" cm="1">
        <f t="array" ref="I47">DELTAGREEK($B47,100,0.01,I$44,0.4)</f>
        <v>0.19010165873202847</v>
      </c>
      <c r="J47" s="2" cm="1">
        <f t="array" ref="J47">DELTAGREEK($B47,100,0.01,J$44,0.4)</f>
        <v>0.21310592913364301</v>
      </c>
      <c r="K47" s="2" cm="1">
        <f t="array" ref="K47">DELTAGREEK($B47,100,0.01,K$44,0.4)</f>
        <v>0.2337761844504363</v>
      </c>
      <c r="L47" s="2" cm="1">
        <f t="array" ref="L47">DELTAGREEK($B47,100,0.01,L$44,0.4)</f>
        <v>0.25248592719738844</v>
      </c>
      <c r="M47" s="2" cm="1">
        <f t="array" ref="M47">DELTAGREEK($B47,100,0.01,M$44,0.4)</f>
        <v>0.26953876271604549</v>
      </c>
      <c r="N47" s="2" cm="1">
        <f t="array" ref="N47">DELTAGREEK($B47,100,0.01,N$44,0.4)</f>
        <v>0.28518036325967305</v>
      </c>
      <c r="O47" s="2" cm="1">
        <f t="array" ref="O47">DELTAGREEK($B47,100,0.01,O$44,0.4)</f>
        <v>0.29961015441343708</v>
      </c>
      <c r="P47" s="2" cm="1">
        <f t="array" ref="P47">DELTAGREEK($B47,100,0.01,P$44,0.4)</f>
        <v>0.3129910688249794</v>
      </c>
      <c r="Q47" s="2" cm="1">
        <f t="array" ref="Q47">DELTAGREEK($B47,100,0.01,Q$44,0.4)</f>
        <v>0.3254572611565324</v>
      </c>
      <c r="R47" s="2" cm="1">
        <f t="array" ref="R47">DELTAGREEK($B47,100,0.01,R$44,0.4)</f>
        <v>0.33712009305478297</v>
      </c>
      <c r="S47" s="2" cm="1">
        <f t="array" ref="S47">DELTAGREEK($B47,100,0.01,S$44,0.4)</f>
        <v>0.34807275288643552</v>
      </c>
      <c r="T47" s="2" cm="1">
        <f t="array" ref="T47">DELTAGREEK($B47,100,0.01,T$44,0.4)</f>
        <v>0.35839382798203667</v>
      </c>
      <c r="U47" s="2" cm="1">
        <f t="array" ref="U47">DELTAGREEK($B47,100,0.01,U$44,0.4)</f>
        <v>0.36815008104144986</v>
      </c>
      <c r="V47" s="2" cm="1">
        <f t="array" ref="V47">DELTAGREEK($B47,100,0.01,V$44,0.4)</f>
        <v>0.37739862258955037</v>
      </c>
      <c r="W47" s="2" cm="1">
        <f t="array" ref="W47">DELTAGREEK($B47,100,0.01,W$44,0.4)</f>
        <v>0.38618862360414741</v>
      </c>
      <c r="X47" s="2" cm="1">
        <f t="array" ref="X47">DELTAGREEK($B47,100,0.01,X$44,0.4)</f>
        <v>0.39456267609286716</v>
      </c>
      <c r="Y47" s="2" cm="1">
        <f t="array" ref="Y47">DELTAGREEK($B47,100,0.01,Y$44,0.4)</f>
        <v>0.40255788231368816</v>
      </c>
      <c r="Z47" s="2" cm="1">
        <f t="array" ref="Z47">DELTAGREEK($B47,100,0.01,Z$44,0.4)</f>
        <v>0.41020673331111279</v>
      </c>
      <c r="AA47" s="2" cm="1">
        <f t="array" ref="AA47">DELTAGREEK($B47,100,0.01,AA$44,0.4)</f>
        <v>0.41753782265167289</v>
      </c>
      <c r="AB47" s="2" cm="1">
        <f t="array" ref="AB47">DELTAGREEK($B47,100,0.01,AB$44,0.4)</f>
        <v>0.42457643029079289</v>
      </c>
      <c r="AC47" s="2" cm="1">
        <f t="array" ref="AC47">DELTAGREEK($B47,100,0.01,AC$44,0.4)</f>
        <v>0.43134500335381365</v>
      </c>
      <c r="AD47" s="2" cm="1">
        <f t="array" ref="AD47">DELTAGREEK($B47,100,0.01,AD$44,0.4)</f>
        <v>0.43786355451394665</v>
      </c>
      <c r="AE47" s="2" cm="1">
        <f t="array" ref="AE47">DELTAGREEK($B47,100,0.01,AE$44,0.4)</f>
        <v>0.44414999405375627</v>
      </c>
      <c r="AF47" s="2" cm="1">
        <f t="array" ref="AF47">DELTAGREEK($B47,100,0.01,AF$44,0.4)</f>
        <v>0.45022040820989573</v>
      </c>
      <c r="AG47" s="2" cm="1">
        <f t="array" ref="AG47">DELTAGREEK($B47,100,0.01,AG$44,0.4)</f>
        <v>0.4560892937371312</v>
      </c>
      <c r="AH47" s="2" cm="1">
        <f t="array" ref="AH47">DELTAGREEK($B47,100,0.01,AH$44,0.4)</f>
        <v>0.46176975657877584</v>
      </c>
      <c r="AI47" s="2" cm="1">
        <f t="array" ref="AI47">DELTAGREEK($B47,100,0.01,AI$44,0.4)</f>
        <v>0.46727368094395511</v>
      </c>
      <c r="AJ47" s="2" cm="1">
        <f t="array" ref="AJ47">DELTAGREEK($B47,100,0.01,AJ$44,0.4)</f>
        <v>0.47261187385525133</v>
      </c>
      <c r="AK47" s="2" cm="1">
        <f t="array" ref="AK47">DELTAGREEK($B47,100,0.01,AK$44,0.4)</f>
        <v>0.47779418925993722</v>
      </c>
      <c r="AL47" s="2" cm="1">
        <f t="array" ref="AL47">DELTAGREEK($B47,100,0.01,AL$44,0.4)</f>
        <v>0.48282963503207305</v>
      </c>
      <c r="AM47" s="2" cm="1">
        <f t="array" ref="AM47">DELTAGREEK($B47,100,0.01,AM$44,0.4)</f>
        <v>0.48772646558455635</v>
      </c>
      <c r="AN47" s="2" cm="1">
        <f t="array" ref="AN47">DELTAGREEK($B47,100,0.01,AN$44,0.4)</f>
        <v>0.49249226232453253</v>
      </c>
      <c r="AO47" s="2" cm="1">
        <f t="array" ref="AO47">DELTAGREEK($B47,100,0.01,AO$44,0.4)</f>
        <v>0.49713400379559403</v>
      </c>
      <c r="AP47" s="2" cm="1">
        <f t="array" ref="AP47">DELTAGREEK($B47,100,0.01,AP$44,0.4)</f>
        <v>0.50165812703540635</v>
      </c>
      <c r="AQ47" s="2" cm="1">
        <f t="array" ref="AQ47">DELTAGREEK($B47,100,0.01,AQ$44,0.4)</f>
        <v>0.50607058142202777</v>
      </c>
      <c r="AR47" s="2" cm="1">
        <f t="array" ref="AR47">DELTAGREEK($B47,100,0.01,AR$44,0.4)</f>
        <v>0.51037687607400606</v>
      </c>
      <c r="AS47" s="2" cm="1">
        <f t="array" ref="AS47">DELTAGREEK($B47,100,0.01,AS$44,0.4)</f>
        <v>0.51458212169884177</v>
      </c>
      <c r="AT47" s="2" cm="1">
        <f t="array" ref="AT47">DELTAGREEK($B47,100,0.01,AT$44,0.4)</f>
        <v>0.51869106764414719</v>
      </c>
      <c r="AU47" s="2" cm="1">
        <f t="array" ref="AU47">DELTAGREEK($B47,100,0.01,AU$44,0.4)</f>
        <v>0.52270813478995759</v>
      </c>
      <c r="AV47" s="2" cm="1">
        <f t="array" ref="AV47">DELTAGREEK($B47,100,0.01,AV$44,0.4)</f>
        <v>0.52663744482452124</v>
      </c>
      <c r="AW47" s="2" cm="1">
        <f t="array" ref="AW47">DELTAGREEK($B47,100,0.01,AW$44,0.4)</f>
        <v>0.53048284636583687</v>
      </c>
      <c r="AX47" s="2" cm="1">
        <f t="array" ref="AX47">DELTAGREEK($B47,100,0.01,AX$44,0.4)</f>
        <v>0.53424793832427908</v>
      </c>
      <c r="AY47" s="2" cm="1">
        <f t="array" ref="AY47">DELTAGREEK($B47,100,0.01,AY$44,0.4)</f>
        <v>0.53793609084549021</v>
      </c>
      <c r="AZ47" s="2" cm="1">
        <f t="array" ref="AZ47">DELTAGREEK($B47,100,0.01,AZ$44,0.4)</f>
        <v>0.54155046412543162</v>
      </c>
    </row>
    <row r="48" spans="1:52" x14ac:dyDescent="0.3">
      <c r="A48" s="2"/>
      <c r="B48" s="2">
        <v>75</v>
      </c>
      <c r="C48" s="2" cm="1">
        <f t="array" ref="C48">DELTAGREEK($B48,100,0.01,C$44,0.4)</f>
        <v>1.3791200219193302E-2</v>
      </c>
      <c r="D48" s="2" cm="1">
        <f t="array" ref="D48">DELTAGREEK($B48,100,0.01,D$44,0.4)</f>
        <v>6.5832485090132453E-2</v>
      </c>
      <c r="E48" s="2" cm="1">
        <f t="array" ref="E48">DELTAGREEK($B48,100,0.01,E$44,0.4)</f>
        <v>0.11705357528675224</v>
      </c>
      <c r="F48" s="2" cm="1">
        <f t="array" ref="F48">DELTAGREEK($B48,100,0.01,F$44,0.4)</f>
        <v>0.15990199888113449</v>
      </c>
      <c r="G48" s="2" cm="1">
        <f t="array" ref="G48">DELTAGREEK($B48,100,0.01,G$44,0.4)</f>
        <v>0.19544327877901002</v>
      </c>
      <c r="H48" s="2" cm="1">
        <f t="array" ref="H48">DELTAGREEK($B48,100,0.01,H$44,0.4)</f>
        <v>0.22536287402130098</v>
      </c>
      <c r="I48" s="2" cm="1">
        <f t="array" ref="I48">DELTAGREEK($B48,100,0.01,I$44,0.4)</f>
        <v>0.25099366683999813</v>
      </c>
      <c r="J48" s="2" cm="1">
        <f t="array" ref="J48">DELTAGREEK($B48,100,0.01,J$44,0.4)</f>
        <v>0.27330433377669394</v>
      </c>
      <c r="K48" s="2" cm="1">
        <f t="array" ref="K48">DELTAGREEK($B48,100,0.01,K$44,0.4)</f>
        <v>0.29299538112299139</v>
      </c>
      <c r="L48" s="2" cm="1">
        <f t="array" ref="L48">DELTAGREEK($B48,100,0.01,L$44,0.4)</f>
        <v>0.31058064052082335</v>
      </c>
      <c r="M48" s="2" cm="1">
        <f t="array" ref="M48">DELTAGREEK($B48,100,0.01,M$44,0.4)</f>
        <v>0.32644418764821215</v>
      </c>
      <c r="N48" s="2" cm="1">
        <f t="array" ref="N48">DELTAGREEK($B48,100,0.01,N$44,0.4)</f>
        <v>0.34087863774100191</v>
      </c>
      <c r="O48" s="2" cm="1">
        <f t="array" ref="O48">DELTAGREEK($B48,100,0.01,O$44,0.4)</f>
        <v>0.35411094888388894</v>
      </c>
      <c r="P48" s="2" cm="1">
        <f t="array" ref="P48">DELTAGREEK($B48,100,0.01,P$44,0.4)</f>
        <v>0.36632004943763552</v>
      </c>
      <c r="Q48" s="2" cm="1">
        <f t="array" ref="Q48">DELTAGREEK($B48,100,0.01,Q$44,0.4)</f>
        <v>0.37764909444356476</v>
      </c>
      <c r="R48" s="2" cm="1">
        <f t="array" ref="R48">DELTAGREEK($B48,100,0.01,R$44,0.4)</f>
        <v>0.38821414515192038</v>
      </c>
      <c r="S48" s="2" cm="1">
        <f t="array" ref="S48">DELTAGREEK($B48,100,0.01,S$44,0.4)</f>
        <v>0.39811042566493376</v>
      </c>
      <c r="T48" s="2" cm="1">
        <f t="array" ref="T48">DELTAGREEK($B48,100,0.01,T$44,0.4)</f>
        <v>0.40741690902710193</v>
      </c>
      <c r="U48" s="2" cm="1">
        <f t="array" ref="U48">DELTAGREEK($B48,100,0.01,U$44,0.4)</f>
        <v>0.41619973134634747</v>
      </c>
      <c r="V48" s="2" cm="1">
        <f t="array" ref="V48">DELTAGREEK($B48,100,0.01,V$44,0.4)</f>
        <v>0.42451477006807481</v>
      </c>
      <c r="W48" s="2" cm="1">
        <f t="array" ref="W48">DELTAGREEK($B48,100,0.01,W$44,0.4)</f>
        <v>0.43240961684804458</v>
      </c>
      <c r="X48" s="2" cm="1">
        <f t="array" ref="X48">DELTAGREEK($B48,100,0.01,X$44,0.4)</f>
        <v>0.4399251055868133</v>
      </c>
      <c r="Y48" s="2" cm="1">
        <f t="array" ref="Y48">DELTAGREEK($B48,100,0.01,Y$44,0.4)</f>
        <v>0.44709650921463712</v>
      </c>
      <c r="Z48" s="2" cm="1">
        <f t="array" ref="Z48">DELTAGREEK($B48,100,0.01,Z$44,0.4)</f>
        <v>0.45395448674063954</v>
      </c>
      <c r="AA48" s="2" cm="1">
        <f t="array" ref="AA48">DELTAGREEK($B48,100,0.01,AA$44,0.4)</f>
        <v>0.46052583984846002</v>
      </c>
      <c r="AB48" s="2" cm="1">
        <f t="array" ref="AB48">DELTAGREEK($B48,100,0.01,AB$44,0.4)</f>
        <v>0.4668341226928221</v>
      </c>
      <c r="AC48" s="2" cm="1">
        <f t="array" ref="AC48">DELTAGREEK($B48,100,0.01,AC$44,0.4)</f>
        <v>0.47290013741925119</v>
      </c>
      <c r="AD48" s="2" cm="1">
        <f t="array" ref="AD48">DELTAGREEK($B48,100,0.01,AD$44,0.4)</f>
        <v>0.47874233990006554</v>
      </c>
      <c r="AE48" s="2" cm="1">
        <f t="array" ref="AE48">DELTAGREEK($B48,100,0.01,AE$44,0.4)</f>
        <v>0.48437717432082955</v>
      </c>
      <c r="AF48" s="2" cm="1">
        <f t="array" ref="AF48">DELTAGREEK($B48,100,0.01,AF$44,0.4)</f>
        <v>0.48981935092909773</v>
      </c>
      <c r="AG48" s="2" cm="1">
        <f t="array" ref="AG48">DELTAGREEK($B48,100,0.01,AG$44,0.4)</f>
        <v>0.49508207803560694</v>
      </c>
      <c r="AH48" s="2" cm="1">
        <f t="array" ref="AH48">DELTAGREEK($B48,100,0.01,AH$44,0.4)</f>
        <v>0.50017725693353243</v>
      </c>
      <c r="AI48" s="2" cm="1">
        <f t="array" ref="AI48">DELTAGREEK($B48,100,0.01,AI$44,0.4)</f>
        <v>0.5051156465601625</v>
      </c>
      <c r="AJ48" s="2" cm="1">
        <f t="array" ref="AJ48">DELTAGREEK($B48,100,0.01,AJ$44,0.4)</f>
        <v>0.50990700331505301</v>
      </c>
      <c r="AK48" s="2" cm="1">
        <f t="array" ref="AK48">DELTAGREEK($B48,100,0.01,AK$44,0.4)</f>
        <v>0.51456020035980077</v>
      </c>
      <c r="AL48" s="2" cm="1">
        <f t="array" ref="AL48">DELTAGREEK($B48,100,0.01,AL$44,0.4)</f>
        <v>0.51908332987737693</v>
      </c>
      <c r="AM48" s="2" cm="1">
        <f t="array" ref="AM48">DELTAGREEK($B48,100,0.01,AM$44,0.4)</f>
        <v>0.52348379110508292</v>
      </c>
      <c r="AN48" s="2" cm="1">
        <f t="array" ref="AN48">DELTAGREEK($B48,100,0.01,AN$44,0.4)</f>
        <v>0.52776836643141323</v>
      </c>
      <c r="AO48" s="2" cm="1">
        <f t="array" ref="AO48">DELTAGREEK($B48,100,0.01,AO$44,0.4)</f>
        <v>0.53194328743120745</v>
      </c>
      <c r="AP48" s="2" cm="1">
        <f t="array" ref="AP48">DELTAGREEK($B48,100,0.01,AP$44,0.4)</f>
        <v>0.53601429238119502</v>
      </c>
      <c r="AQ48" s="2" cm="1">
        <f t="array" ref="AQ48">DELTAGREEK($B48,100,0.01,AQ$44,0.4)</f>
        <v>0.53998667653102927</v>
      </c>
      <c r="AR48" s="2" cm="1">
        <f t="array" ref="AR48">DELTAGREEK($B48,100,0.01,AR$44,0.4)</f>
        <v>0.54386533618916799</v>
      </c>
      <c r="AS48" s="2" cm="1">
        <f t="array" ref="AS48">DELTAGREEK($B48,100,0.01,AS$44,0.4)</f>
        <v>0.54765480750771012</v>
      </c>
      <c r="AT48" s="2" cm="1">
        <f t="array" ref="AT48">DELTAGREEK($B48,100,0.01,AT$44,0.4)</f>
        <v>0.55135930070724748</v>
      </c>
      <c r="AU48" s="2" cm="1">
        <f t="array" ref="AU48">DELTAGREEK($B48,100,0.01,AU$44,0.4)</f>
        <v>0.55498273036544388</v>
      </c>
      <c r="AV48" s="2" cm="1">
        <f t="array" ref="AV48">DELTAGREEK($B48,100,0.01,AV$44,0.4)</f>
        <v>0.55852874229636651</v>
      </c>
      <c r="AW48" s="2" cm="1">
        <f t="array" ref="AW48">DELTAGREEK($B48,100,0.01,AW$44,0.4)</f>
        <v>0.56200073746757617</v>
      </c>
      <c r="AX48" s="2" cm="1">
        <f t="array" ref="AX48">DELTAGREEK($B48,100,0.01,AX$44,0.4)</f>
        <v>0.56540189333548008</v>
      </c>
      <c r="AY48" s="2" cm="1">
        <f t="array" ref="AY48">DELTAGREEK($B48,100,0.01,AY$44,0.4)</f>
        <v>0.5687351829239653</v>
      </c>
      <c r="AZ48" s="2" cm="1">
        <f t="array" ref="AZ48">DELTAGREEK($B48,100,0.01,AZ$44,0.4)</f>
        <v>0.57200339192485661</v>
      </c>
    </row>
    <row r="49" spans="1:52" x14ac:dyDescent="0.3">
      <c r="A49" s="2"/>
      <c r="B49" s="2">
        <v>80</v>
      </c>
      <c r="C49" s="2" cm="1">
        <f t="array" ref="C49">DELTAGREEK($B49,100,0.01,C$44,0.4)</f>
        <v>4.5232166826357695E-2</v>
      </c>
      <c r="D49" s="2" cm="1">
        <f t="array" ref="D49">DELTAGREEK($B49,100,0.01,D$44,0.4)</f>
        <v>0.12573476660876617</v>
      </c>
      <c r="E49" s="2" cm="1">
        <f t="array" ref="E49">DELTAGREEK($B49,100,0.01,E$44,0.4)</f>
        <v>0.18532172601710542</v>
      </c>
      <c r="F49" s="2" cm="1">
        <f t="array" ref="F49">DELTAGREEK($B49,100,0.01,F$44,0.4)</f>
        <v>0.22972590021732603</v>
      </c>
      <c r="G49" s="2" cm="1">
        <f t="array" ref="G49">DELTAGREEK($B49,100,0.01,G$44,0.4)</f>
        <v>0.26440206825440993</v>
      </c>
      <c r="H49" s="2" cm="1">
        <f t="array" ref="H49">DELTAGREEK($B49,100,0.01,H$44,0.4)</f>
        <v>0.29256442982550196</v>
      </c>
      <c r="I49" s="2" cm="1">
        <f t="array" ref="I49">DELTAGREEK($B49,100,0.01,I$44,0.4)</f>
        <v>0.31613993431871834</v>
      </c>
      <c r="J49" s="2" cm="1">
        <f t="array" ref="J49">DELTAGREEK($B49,100,0.01,J$44,0.4)</f>
        <v>0.33634498536164692</v>
      </c>
      <c r="K49" s="2" cm="1">
        <f t="array" ref="K49">DELTAGREEK($B49,100,0.01,K$44,0.4)</f>
        <v>0.35398599803509384</v>
      </c>
      <c r="L49" s="2" cm="1">
        <f t="array" ref="L49">DELTAGREEK($B49,100,0.01,L$44,0.4)</f>
        <v>0.36962040571176735</v>
      </c>
      <c r="M49" s="2" cm="1">
        <f t="array" ref="M49">DELTAGREEK($B49,100,0.01,M$44,0.4)</f>
        <v>0.38364727638171875</v>
      </c>
      <c r="N49" s="2" cm="1">
        <f t="array" ref="N49">DELTAGREEK($B49,100,0.01,N$44,0.4)</f>
        <v>0.39636084596642496</v>
      </c>
      <c r="O49" s="2" cm="1">
        <f t="array" ref="O49">DELTAGREEK($B49,100,0.01,O$44,0.4)</f>
        <v>0.40798354332467751</v>
      </c>
      <c r="P49" s="2" cm="1">
        <f t="array" ref="P49">DELTAGREEK($B49,100,0.01,P$44,0.4)</f>
        <v>0.41868714769065773</v>
      </c>
      <c r="Q49" s="2" cm="1">
        <f t="array" ref="Q49">DELTAGREEK($B49,100,0.01,Q$44,0.4)</f>
        <v>0.42860679551102504</v>
      </c>
      <c r="R49" s="2" cm="1">
        <f t="array" ref="R49">DELTAGREEK($B49,100,0.01,R$44,0.4)</f>
        <v>0.43785052263626045</v>
      </c>
      <c r="S49" s="2" cm="1">
        <f t="array" ref="S49">DELTAGREEK($B49,100,0.01,S$44,0.4)</f>
        <v>0.4465059301532594</v>
      </c>
      <c r="T49" s="2" cm="1">
        <f t="array" ref="T49">DELTAGREEK($B49,100,0.01,T$44,0.4)</f>
        <v>0.45464494511975417</v>
      </c>
      <c r="U49" s="2" cm="1">
        <f t="array" ref="U49">DELTAGREEK($B49,100,0.01,U$44,0.4)</f>
        <v>0.4623272881378962</v>
      </c>
      <c r="V49" s="2" cm="1">
        <f t="array" ref="V49">DELTAGREEK($B49,100,0.01,V$44,0.4)</f>
        <v>0.4696030437194853</v>
      </c>
      <c r="W49" s="2" cm="1">
        <f t="array" ref="W49">DELTAGREEK($B49,100,0.01,W$44,0.4)</f>
        <v>0.47651459582703398</v>
      </c>
      <c r="X49" s="2" cm="1">
        <f t="array" ref="X49">DELTAGREEK($B49,100,0.01,X$44,0.4)</f>
        <v>0.48309810623486343</v>
      </c>
      <c r="Y49" s="2" cm="1">
        <f t="array" ref="Y49">DELTAGREEK($B49,100,0.01,Y$44,0.4)</f>
        <v>0.48938465833691452</v>
      </c>
      <c r="Z49" s="2" cm="1">
        <f t="array" ref="Z49">DELTAGREEK($B49,100,0.01,Z$44,0.4)</f>
        <v>0.4954011525523136</v>
      </c>
      <c r="AA49" s="2" cm="1">
        <f t="array" ref="AA49">DELTAGREEK($B49,100,0.01,AA$44,0.4)</f>
        <v>0.50117101483206639</v>
      </c>
      <c r="AB49" s="2" cm="1">
        <f t="array" ref="AB49">DELTAGREEK($B49,100,0.01,AB$44,0.4)</f>
        <v>0.50671476282286954</v>
      </c>
      <c r="AC49" s="2" cm="1">
        <f t="array" ref="AC49">DELTAGREEK($B49,100,0.01,AC$44,0.4)</f>
        <v>0.51205046240397722</v>
      </c>
      <c r="AD49" s="2" cm="1">
        <f t="array" ref="AD49">DELTAGREEK($B49,100,0.01,AD$44,0.4)</f>
        <v>0.51719409891900581</v>
      </c>
      <c r="AE49" s="2" cm="1">
        <f t="array" ref="AE49">DELTAGREEK($B49,100,0.01,AE$44,0.4)</f>
        <v>0.52215988139250236</v>
      </c>
      <c r="AF49" s="2" cm="1">
        <f t="array" ref="AF49">DELTAGREEK($B49,100,0.01,AF$44,0.4)</f>
        <v>0.52696049363181263</v>
      </c>
      <c r="AG49" s="2" cm="1">
        <f t="array" ref="AG49">DELTAGREEK($B49,100,0.01,AG$44,0.4)</f>
        <v>0.53160730288355651</v>
      </c>
      <c r="AH49" s="2" cm="1">
        <f t="array" ref="AH49">DELTAGREEK($B49,100,0.01,AH$44,0.4)</f>
        <v>0.53611053430946942</v>
      </c>
      <c r="AI49" s="2" cm="1">
        <f t="array" ref="AI49">DELTAGREEK($B49,100,0.01,AI$44,0.4)</f>
        <v>0.5404794177388812</v>
      </c>
      <c r="AJ49" s="2" cm="1">
        <f t="array" ref="AJ49">DELTAGREEK($B49,100,0.01,AJ$44,0.4)</f>
        <v>0.5447223117835619</v>
      </c>
      <c r="AK49" s="2" cm="1">
        <f t="array" ref="AK49">DELTAGREEK($B49,100,0.01,AK$44,0.4)</f>
        <v>0.54884680935070751</v>
      </c>
      <c r="AL49" s="2" cm="1">
        <f t="array" ref="AL49">DELTAGREEK($B49,100,0.01,AL$44,0.4)</f>
        <v>0.55285982777936749</v>
      </c>
      <c r="AM49" s="2" cm="1">
        <f t="array" ref="AM49">DELTAGREEK($B49,100,0.01,AM$44,0.4)</f>
        <v>0.55676768619512962</v>
      </c>
      <c r="AN49" s="2" cm="1">
        <f t="array" ref="AN49">DELTAGREEK($B49,100,0.01,AN$44,0.4)</f>
        <v>0.5605761721837792</v>
      </c>
      <c r="AO49" s="2" cm="1">
        <f t="array" ref="AO49">DELTAGREEK($B49,100,0.01,AO$44,0.4)</f>
        <v>0.56429059949475369</v>
      </c>
      <c r="AP49" s="2" cm="1">
        <f t="array" ref="AP49">DELTAGREEK($B49,100,0.01,AP$44,0.4)</f>
        <v>0.56791585817552204</v>
      </c>
      <c r="AQ49" s="2" cm="1">
        <f t="array" ref="AQ49">DELTAGREEK($B49,100,0.01,AQ$44,0.4)</f>
        <v>0.57145645829049585</v>
      </c>
      <c r="AR49" s="2" cm="1">
        <f t="array" ref="AR49">DELTAGREEK($B49,100,0.01,AR$44,0.4)</f>
        <v>0.57491656817909398</v>
      </c>
      <c r="AS49" s="2" cm="1">
        <f t="array" ref="AS49">DELTAGREEK($B49,100,0.01,AS$44,0.4)</f>
        <v>0.57830004804670487</v>
      </c>
      <c r="AT49" s="2" cm="1">
        <f t="array" ref="AT49">DELTAGREEK($B49,100,0.01,AT$44,0.4)</f>
        <v>0.5816104795515471</v>
      </c>
      <c r="AU49" s="2" cm="1">
        <f t="array" ref="AU49">DELTAGREEK($B49,100,0.01,AU$44,0.4)</f>
        <v>0.58485119194362345</v>
      </c>
      <c r="AV49" s="2" cm="1">
        <f t="array" ref="AV49">DELTAGREEK($B49,100,0.01,AV$44,0.4)</f>
        <v>0.58802528522430353</v>
      </c>
      <c r="AW49" s="2" cm="1">
        <f t="array" ref="AW49">DELTAGREEK($B49,100,0.01,AW$44,0.4)</f>
        <v>0.59113565072278729</v>
      </c>
      <c r="AX49" s="2" cm="1">
        <f t="array" ref="AX49">DELTAGREEK($B49,100,0.01,AX$44,0.4)</f>
        <v>0.5941849894258322</v>
      </c>
      <c r="AY49" s="2" cm="1">
        <f t="array" ref="AY49">DELTAGREEK($B49,100,0.01,AY$44,0.4)</f>
        <v>0.59717582834734784</v>
      </c>
      <c r="AZ49" s="2" cm="1">
        <f t="array" ref="AZ49">DELTAGREEK($B49,100,0.01,AZ$44,0.4)</f>
        <v>0.60011053518287927</v>
      </c>
    </row>
    <row r="50" spans="1:52" x14ac:dyDescent="0.3">
      <c r="A50" s="2"/>
      <c r="B50" s="2">
        <v>85</v>
      </c>
      <c r="C50" s="2" cm="1">
        <f t="array" ref="C50">DELTAGREEK($B50,100,0.01,C$44,0.4)</f>
        <v>0.11243617506121638</v>
      </c>
      <c r="D50" s="2" cm="1">
        <f t="array" ref="D50">DELTAGREEK($B50,100,0.01,D$44,0.4)</f>
        <v>0.2095782853157486</v>
      </c>
      <c r="E50" s="2" cm="1">
        <f t="array" ref="E50">DELTAGREEK($B50,100,0.01,E$44,0.4)</f>
        <v>0.26810429772510852</v>
      </c>
      <c r="F50" s="2" cm="1">
        <f t="array" ref="F50">DELTAGREEK($B50,100,0.01,F$44,0.4)</f>
        <v>0.30849881949673674</v>
      </c>
      <c r="G50" s="2" cm="1">
        <f t="array" ref="G50">DELTAGREEK($B50,100,0.01,G$44,0.4)</f>
        <v>0.33889082669355786</v>
      </c>
      <c r="H50" s="2" cm="1">
        <f t="array" ref="H50">DELTAGREEK($B50,100,0.01,H$44,0.4)</f>
        <v>0.36307804213620654</v>
      </c>
      <c r="I50" s="2" cm="1">
        <f t="array" ref="I50">DELTAGREEK($B50,100,0.01,I$44,0.4)</f>
        <v>0.38309214483647591</v>
      </c>
      <c r="J50" s="2" cm="1">
        <f t="array" ref="J50">DELTAGREEK($B50,100,0.01,J$44,0.4)</f>
        <v>0.4001309771418155</v>
      </c>
      <c r="K50" s="2" cm="1">
        <f t="array" ref="K50">DELTAGREEK($B50,100,0.01,K$44,0.4)</f>
        <v>0.41495334564628428</v>
      </c>
      <c r="L50" s="2" cm="1">
        <f t="array" ref="L50">DELTAGREEK($B50,100,0.01,L$44,0.4)</f>
        <v>0.42806710328227227</v>
      </c>
      <c r="M50" s="2" cm="1">
        <f t="array" ref="M50">DELTAGREEK($B50,100,0.01,M$44,0.4)</f>
        <v>0.43982721269800579</v>
      </c>
      <c r="N50" s="2" cm="1">
        <f t="array" ref="N50">DELTAGREEK($B50,100,0.01,N$44,0.4)</f>
        <v>0.4504906312174804</v>
      </c>
      <c r="O50" s="2" cm="1">
        <f t="array" ref="O50">DELTAGREEK($B50,100,0.01,O$44,0.4)</f>
        <v>0.4602488327175141</v>
      </c>
      <c r="P50" s="2" cm="1">
        <f t="array" ref="P50">DELTAGREEK($B50,100,0.01,P$44,0.4)</f>
        <v>0.46924800313645465</v>
      </c>
      <c r="Q50" s="2" cm="1">
        <f t="array" ref="Q50">DELTAGREEK($B50,100,0.01,Q$44,0.4)</f>
        <v>0.47760208281747407</v>
      </c>
      <c r="R50" s="2" cm="1">
        <f t="array" ref="R50">DELTAGREEK($B50,100,0.01,R$44,0.4)</f>
        <v>0.48540147415917123</v>
      </c>
      <c r="S50" s="2" cm="1">
        <f t="array" ref="S50">DELTAGREEK($B50,100,0.01,S$44,0.4)</f>
        <v>0.49271902378784854</v>
      </c>
      <c r="T50" s="2" cm="1">
        <f t="array" ref="T50">DELTAGREEK($B50,100,0.01,T$44,0.4)</f>
        <v>0.49961423563029866</v>
      </c>
      <c r="U50" s="2" cm="1">
        <f t="array" ref="U50">DELTAGREEK($B50,100,0.01,U$44,0.4)</f>
        <v>0.50613630335864257</v>
      </c>
      <c r="V50" s="2" cm="1">
        <f t="array" ref="V50">DELTAGREEK($B50,100,0.01,V$44,0.4)</f>
        <v>0.51232633546348627</v>
      </c>
      <c r="W50" s="2" cm="1">
        <f t="array" ref="W50">DELTAGREEK($B50,100,0.01,W$44,0.4)</f>
        <v>0.51821901613051369</v>
      </c>
      <c r="X50" s="2" cm="1">
        <f t="array" ref="X50">DELTAGREEK($B50,100,0.01,X$44,0.4)</f>
        <v>0.52384386416404083</v>
      </c>
      <c r="Y50" s="2" cm="1">
        <f t="array" ref="Y50">DELTAGREEK($B50,100,0.01,Y$44,0.4)</f>
        <v>0.52922620053420411</v>
      </c>
      <c r="Z50" s="2" cm="1">
        <f t="array" ref="Z50">DELTAGREEK($B50,100,0.01,Z$44,0.4)</f>
        <v>0.53438790136939418</v>
      </c>
      <c r="AA50" s="2" cm="1">
        <f t="array" ref="AA50">DELTAGREEK($B50,100,0.01,AA$44,0.4)</f>
        <v>0.53934799069841521</v>
      </c>
      <c r="AB50" s="2" cm="1">
        <f t="array" ref="AB50">DELTAGREEK($B50,100,0.01,AB$44,0.4)</f>
        <v>0.54412311193988194</v>
      </c>
      <c r="AC50" s="2" cm="1">
        <f t="array" ref="AC50">DELTAGREEK($B50,100,0.01,AC$44,0.4)</f>
        <v>0.54872790655031389</v>
      </c>
      <c r="AD50" s="2" cm="1">
        <f t="array" ref="AD50">DELTAGREEK($B50,100,0.01,AD$44,0.4)</f>
        <v>0.55317532080514553</v>
      </c>
      <c r="AE50" s="2" cm="1">
        <f t="array" ref="AE50">DELTAGREEK($B50,100,0.01,AE$44,0.4)</f>
        <v>0.55747685638581812</v>
      </c>
      <c r="AF50" s="2" cm="1">
        <f t="array" ref="AF50">DELTAGREEK($B50,100,0.01,AF$44,0.4)</f>
        <v>0.56164277661704709</v>
      </c>
      <c r="AG50" s="2" cm="1">
        <f t="array" ref="AG50">DELTAGREEK($B50,100,0.01,AG$44,0.4)</f>
        <v>0.5656822773982908</v>
      </c>
      <c r="AH50" s="2" cm="1">
        <f t="array" ref="AH50">DELTAGREEK($B50,100,0.01,AH$44,0.4)</f>
        <v>0.56960362980235024</v>
      </c>
      <c r="AI50" s="2" cm="1">
        <f t="array" ref="AI50">DELTAGREEK($B50,100,0.01,AI$44,0.4)</f>
        <v>0.57341429976579006</v>
      </c>
      <c r="AJ50" s="2" cm="1">
        <f t="array" ref="AJ50">DELTAGREEK($B50,100,0.01,AJ$44,0.4)</f>
        <v>0.57712104912697981</v>
      </c>
      <c r="AK50" s="2" cm="1">
        <f t="array" ref="AK50">DELTAGREEK($B50,100,0.01,AK$44,0.4)</f>
        <v>0.58073002137687157</v>
      </c>
      <c r="AL50" s="2" cm="1">
        <f t="array" ref="AL50">DELTAGREEK($B50,100,0.01,AL$44,0.4)</f>
        <v>0.58424681480303509</v>
      </c>
      <c r="AM50" s="2" cm="1">
        <f t="array" ref="AM50">DELTAGREEK($B50,100,0.01,AM$44,0.4)</f>
        <v>0.58767654517698897</v>
      </c>
      <c r="AN50" s="2" cm="1">
        <f t="array" ref="AN50">DELTAGREEK($B50,100,0.01,AN$44,0.4)</f>
        <v>0.59102389972064651</v>
      </c>
      <c r="AO50" s="2" cm="1">
        <f t="array" ref="AO50">DELTAGREEK($B50,100,0.01,AO$44,0.4)</f>
        <v>0.59429318376191809</v>
      </c>
      <c r="AP50" s="2" cm="1">
        <f t="array" ref="AP50">DELTAGREEK($B50,100,0.01,AP$44,0.4)</f>
        <v>0.59748836123155791</v>
      </c>
      <c r="AQ50" s="2" cm="1">
        <f t="array" ref="AQ50">DELTAGREEK($B50,100,0.01,AQ$44,0.4)</f>
        <v>0.60061308994775553</v>
      </c>
      <c r="AR50" s="2" cm="1">
        <f t="array" ref="AR50">DELTAGREEK($B50,100,0.01,AR$44,0.4)</f>
        <v>0.60367075247014479</v>
      </c>
      <c r="AS50" s="2" cm="1">
        <f t="array" ref="AS50">DELTAGREEK($B50,100,0.01,AS$44,0.4)</f>
        <v>0.60666448317196797</v>
      </c>
      <c r="AT50" s="2" cm="1">
        <f t="array" ref="AT50">DELTAGREEK($B50,100,0.01,AT$44,0.4)</f>
        <v>0.60959719207134611</v>
      </c>
      <c r="AU50" s="2" cm="1">
        <f t="array" ref="AU50">DELTAGREEK($B50,100,0.01,AU$44,0.4)</f>
        <v>0.61247158587474571</v>
      </c>
      <c r="AV50" s="2" cm="1">
        <f t="array" ref="AV50">DELTAGREEK($B50,100,0.01,AV$44,0.4)</f>
        <v>0.61529018661376234</v>
      </c>
      <c r="AW50" s="2" cm="1">
        <f t="array" ref="AW50">DELTAGREEK($B50,100,0.01,AW$44,0.4)</f>
        <v>0.61805534819710672</v>
      </c>
      <c r="AX50" s="2" cm="1">
        <f t="array" ref="AX50">DELTAGREEK($B50,100,0.01,AX$44,0.4)</f>
        <v>0.62076927115070513</v>
      </c>
      <c r="AY50" s="2" cm="1">
        <f t="array" ref="AY50">DELTAGREEK($B50,100,0.01,AY$44,0.4)</f>
        <v>0.62343401577816748</v>
      </c>
      <c r="AZ50" s="2" cm="1">
        <f t="array" ref="AZ50">DELTAGREEK($B50,100,0.01,AZ$44,0.4)</f>
        <v>0.62605151393996661</v>
      </c>
    </row>
    <row r="51" spans="1:52" x14ac:dyDescent="0.3">
      <c r="A51" s="2"/>
      <c r="B51" s="2">
        <v>90</v>
      </c>
      <c r="C51" s="2" cm="1">
        <f t="array" ref="C51">DELTAGREEK($B51,100,0.01,C$44,0.4)</f>
        <v>0.22309065574114884</v>
      </c>
      <c r="D51" s="2" cm="1">
        <f t="array" ref="D51">DELTAGREEK($B51,100,0.01,D$44,0.4)</f>
        <v>0.31264738900926425</v>
      </c>
      <c r="E51" s="2" cm="1">
        <f t="array" ref="E51">DELTAGREEK($B51,100,0.01,E$44,0.4)</f>
        <v>0.36029694556710035</v>
      </c>
      <c r="F51" s="2" cm="1">
        <f t="array" ref="F51">DELTAGREEK($B51,100,0.01,F$44,0.4)</f>
        <v>0.39197641006635819</v>
      </c>
      <c r="G51" s="2" cm="1">
        <f t="array" ref="G51">DELTAGREEK($B51,100,0.01,G$44,0.4)</f>
        <v>0.41550489713399108</v>
      </c>
      <c r="H51" s="2" cm="1">
        <f t="array" ref="H51">DELTAGREEK($B51,100,0.01,H$44,0.4)</f>
        <v>0.43417080716206979</v>
      </c>
      <c r="I51" s="2" cm="1">
        <f t="array" ref="I51">DELTAGREEK($B51,100,0.01,I$44,0.4)</f>
        <v>0.44963789751983563</v>
      </c>
      <c r="J51" s="2" cm="1">
        <f t="array" ref="J51">DELTAGREEK($B51,100,0.01,J$44,0.4)</f>
        <v>0.46285427356997333</v>
      </c>
      <c r="K51" s="2" cm="1">
        <f t="array" ref="K51">DELTAGREEK($B51,100,0.01,K$44,0.4)</f>
        <v>0.47440724227051817</v>
      </c>
      <c r="L51" s="2" cm="1">
        <f t="array" ref="L51">DELTAGREEK($B51,100,0.01,L$44,0.4)</f>
        <v>0.48468386657648194</v>
      </c>
      <c r="M51" s="2" cm="1">
        <f t="array" ref="M51">DELTAGREEK($B51,100,0.01,M$44,0.4)</f>
        <v>0.49395175437327304</v>
      </c>
      <c r="N51" s="2" cm="1">
        <f t="array" ref="N51">DELTAGREEK($B51,100,0.01,N$44,0.4)</f>
        <v>0.50240312252979091</v>
      </c>
      <c r="O51" s="2" cm="1">
        <f t="array" ref="O51">DELTAGREEK($B51,100,0.01,O$44,0.4)</f>
        <v>0.51018040359494143</v>
      </c>
      <c r="P51" s="2" cm="1">
        <f t="array" ref="P51">DELTAGREEK($B51,100,0.01,P$44,0.4)</f>
        <v>0.51739190941314617</v>
      </c>
      <c r="Q51" s="2" cm="1">
        <f t="array" ref="Q51">DELTAGREEK($B51,100,0.01,Q$44,0.4)</f>
        <v>0.52412182729800927</v>
      </c>
      <c r="R51" s="2" cm="1">
        <f t="array" ref="R51">DELTAGREEK($B51,100,0.01,R$44,0.4)</f>
        <v>0.53043683079550608</v>
      </c>
      <c r="S51" s="2" cm="1">
        <f t="array" ref="S51">DELTAGREEK($B51,100,0.01,S$44,0.4)</f>
        <v>0.53639058652758587</v>
      </c>
      <c r="T51" s="2" cm="1">
        <f t="array" ref="T51">DELTAGREEK($B51,100,0.01,T$44,0.4)</f>
        <v>0.54202690843046319</v>
      </c>
      <c r="U51" s="2" cm="1">
        <f t="array" ref="U51">DELTAGREEK($B51,100,0.01,U$44,0.4)</f>
        <v>0.547382016482162</v>
      </c>
      <c r="V51" s="2" cm="1">
        <f t="array" ref="V51">DELTAGREEK($B51,100,0.01,V$44,0.4)</f>
        <v>0.55248618710535036</v>
      </c>
      <c r="W51" s="2" cm="1">
        <f t="array" ref="W51">DELTAGREEK($B51,100,0.01,W$44,0.4)</f>
        <v>0.55736498084718145</v>
      </c>
      <c r="X51" s="2" cm="1">
        <f t="array" ref="X51">DELTAGREEK($B51,100,0.01,X$44,0.4)</f>
        <v>0.56204017032076969</v>
      </c>
      <c r="Y51" s="2" cm="1">
        <f t="array" ref="Y51">DELTAGREEK($B51,100,0.01,Y$44,0.4)</f>
        <v>0.5665304517364752</v>
      </c>
      <c r="Z51" s="2" cm="1">
        <f t="array" ref="Z51">DELTAGREEK($B51,100,0.01,Z$44,0.4)</f>
        <v>0.57085199762144978</v>
      </c>
      <c r="AA51" s="2" cm="1">
        <f t="array" ref="AA51">DELTAGREEK($B51,100,0.01,AA$44,0.4)</f>
        <v>0.57501889126529915</v>
      </c>
      <c r="AB51" s="2" cm="1">
        <f t="array" ref="AB51">DELTAGREEK($B51,100,0.01,AB$44,0.4)</f>
        <v>0.57904347189293048</v>
      </c>
      <c r="AC51" s="2" cm="1">
        <f t="array" ref="AC51">DELTAGREEK($B51,100,0.01,AC$44,0.4)</f>
        <v>0.5829366116237078</v>
      </c>
      <c r="AD51" s="2" cm="1">
        <f t="array" ref="AD51">DELTAGREEK($B51,100,0.01,AD$44,0.4)</f>
        <v>0.58670793971901714</v>
      </c>
      <c r="AE51" s="2" cm="1">
        <f t="array" ref="AE51">DELTAGREEK($B51,100,0.01,AE$44,0.4)</f>
        <v>0.59036602567358543</v>
      </c>
      <c r="AF51" s="2" cm="1">
        <f t="array" ref="AF51">DELTAGREEK($B51,100,0.01,AF$44,0.4)</f>
        <v>0.59391852986404525</v>
      </c>
      <c r="AG51" s="2" cm="1">
        <f t="array" ref="AG51">DELTAGREEK($B51,100,0.01,AG$44,0.4)</f>
        <v>0.59737232839587873</v>
      </c>
      <c r="AH51" s="2" cm="1">
        <f t="array" ref="AH51">DELTAGREEK($B51,100,0.01,AH$44,0.4)</f>
        <v>0.60073361726080055</v>
      </c>
      <c r="AI51" s="2" cm="1">
        <f t="array" ref="AI51">DELTAGREEK($B51,100,0.01,AI$44,0.4)</f>
        <v>0.60400799977607811</v>
      </c>
      <c r="AJ51" s="2" cm="1">
        <f t="array" ref="AJ51">DELTAGREEK($B51,100,0.01,AJ$44,0.4)</f>
        <v>0.60720056041783987</v>
      </c>
      <c r="AK51" s="2" cm="1">
        <f t="array" ref="AK51">DELTAGREEK($B51,100,0.01,AK$44,0.4)</f>
        <v>0.6103159275066381</v>
      </c>
      <c r="AL51" s="2" cm="1">
        <f t="array" ref="AL51">DELTAGREEK($B51,100,0.01,AL$44,0.4)</f>
        <v>0.61335832670177981</v>
      </c>
      <c r="AM51" s="2" cm="1">
        <f t="array" ref="AM51">DELTAGREEK($B51,100,0.01,AM$44,0.4)</f>
        <v>0.61633162687263843</v>
      </c>
      <c r="AN51" s="2" cm="1">
        <f t="array" ref="AN51">DELTAGREEK($B51,100,0.01,AN$44,0.4)</f>
        <v>0.6192393796123129</v>
      </c>
      <c r="AO51" s="2" cm="1">
        <f t="array" ref="AO51">DELTAGREEK($B51,100,0.01,AO$44,0.4)</f>
        <v>0.62208485342105968</v>
      </c>
      <c r="AP51" s="2" cm="1">
        <f t="array" ref="AP51">DELTAGREEK($B51,100,0.01,AP$44,0.4)</f>
        <v>0.6248710633986635</v>
      </c>
      <c r="AQ51" s="2" cm="1">
        <f t="array" ref="AQ51">DELTAGREEK($B51,100,0.01,AQ$44,0.4)</f>
        <v>0.62760079713500816</v>
      </c>
      <c r="AR51" s="2" cm="1">
        <f t="array" ref="AR51">DELTAGREEK($B51,100,0.01,AR$44,0.4)</f>
        <v>0.63027663736797446</v>
      </c>
      <c r="AS51" s="2" cm="1">
        <f t="array" ref="AS51">DELTAGREEK($B51,100,0.01,AS$44,0.4)</f>
        <v>0.6329009818809721</v>
      </c>
      <c r="AT51" s="2" cm="1">
        <f t="array" ref="AT51">DELTAGREEK($B51,100,0.01,AT$44,0.4)</f>
        <v>0.63547606103393273</v>
      </c>
      <c r="AU51" s="2" cm="1">
        <f t="array" ref="AU51">DELTAGREEK($B51,100,0.01,AU$44,0.4)</f>
        <v>0.63800395325764914</v>
      </c>
      <c r="AV51" s="2" cm="1">
        <f t="array" ref="AV51">DELTAGREEK($B51,100,0.01,AV$44,0.4)</f>
        <v>0.64048659878897385</v>
      </c>
      <c r="AW51" s="2" cm="1">
        <f t="array" ref="AW51">DELTAGREEK($B51,100,0.01,AW$44,0.4)</f>
        <v>0.64292581188130338</v>
      </c>
      <c r="AX51" s="2" cm="1">
        <f t="array" ref="AX51">DELTAGREEK($B51,100,0.01,AX$44,0.4)</f>
        <v>0.6453232916891507</v>
      </c>
      <c r="AY51" s="2" cm="1">
        <f t="array" ref="AY51">DELTAGREEK($B51,100,0.01,AY$44,0.4)</f>
        <v>0.64768063199603654</v>
      </c>
      <c r="AZ51" s="2" cm="1">
        <f t="array" ref="AZ51">DELTAGREEK($B51,100,0.01,AZ$44,0.4)</f>
        <v>0.64999932993026976</v>
      </c>
    </row>
    <row r="52" spans="1:52" x14ac:dyDescent="0.3">
      <c r="A52" s="2"/>
      <c r="B52" s="2">
        <v>95</v>
      </c>
      <c r="C52" s="2" cm="1">
        <f t="array" ref="C52">DELTAGREEK($B52,100,0.01,C$44,0.4)</f>
        <v>0.3690547708387194</v>
      </c>
      <c r="D52" s="2" cm="1">
        <f t="array" ref="D52">DELTAGREEK($B52,100,0.01,D$44,0.4)</f>
        <v>0.42617722149121895</v>
      </c>
      <c r="E52" s="2" cm="1">
        <f t="array" ref="E52">DELTAGREEK($B52,100,0.01,E$44,0.4)</f>
        <v>0.4558544795480643</v>
      </c>
      <c r="F52" s="2" cm="1">
        <f t="array" ref="F52">DELTAGREEK($B52,100,0.01,F$44,0.4)</f>
        <v>0.47589780066988158</v>
      </c>
      <c r="G52" s="2" cm="1">
        <f t="array" ref="G52">DELTAGREEK($B52,100,0.01,G$44,0.4)</f>
        <v>0.4911242045127357</v>
      </c>
      <c r="H52" s="2" cm="1">
        <f t="array" ref="H52">DELTAGREEK($B52,100,0.01,H$44,0.4)</f>
        <v>0.50348505750802586</v>
      </c>
      <c r="I52" s="2" cm="1">
        <f t="array" ref="I52">DELTAGREEK($B52,100,0.01,I$44,0.4)</f>
        <v>0.51395234445237192</v>
      </c>
      <c r="J52" s="2" cm="1">
        <f t="array" ref="J52">DELTAGREEK($B52,100,0.01,J$44,0.4)</f>
        <v>0.52307669879380081</v>
      </c>
      <c r="K52" s="2" cm="1">
        <f t="array" ref="K52">DELTAGREEK($B52,100,0.01,K$44,0.4)</f>
        <v>0.53119894479835106</v>
      </c>
      <c r="L52" s="2" cm="1">
        <f t="array" ref="L52">DELTAGREEK($B52,100,0.01,L$44,0.4)</f>
        <v>0.53854419075348625</v>
      </c>
      <c r="M52" s="2" cm="1">
        <f t="array" ref="M52">DELTAGREEK($B52,100,0.01,M$44,0.4)</f>
        <v>0.54526869329803718</v>
      </c>
      <c r="N52" s="2" cm="1">
        <f t="array" ref="N52">DELTAGREEK($B52,100,0.01,N$44,0.4)</f>
        <v>0.55148526450238888</v>
      </c>
      <c r="O52" s="2" cm="1">
        <f t="array" ref="O52">DELTAGREEK($B52,100,0.01,O$44,0.4)</f>
        <v>0.55727798836580722</v>
      </c>
      <c r="P52" s="2" cm="1">
        <f t="array" ref="P52">DELTAGREEK($B52,100,0.01,P$44,0.4)</f>
        <v>0.56271121064090002</v>
      </c>
      <c r="Q52" s="2" cm="1">
        <f t="array" ref="Q52">DELTAGREEK($B52,100,0.01,Q$44,0.4)</f>
        <v>0.56783527592126681</v>
      </c>
      <c r="R52" s="2" cm="1">
        <f t="array" ref="R52">DELTAGREEK($B52,100,0.01,R$44,0.4)</f>
        <v>0.57269032550478327</v>
      </c>
      <c r="S52" s="2" cm="1">
        <f t="array" ref="S52">DELTAGREEK($B52,100,0.01,S$44,0.4)</f>
        <v>0.57730889104572092</v>
      </c>
      <c r="T52" s="2" cm="1">
        <f t="array" ref="T52">DELTAGREEK($B52,100,0.01,T$44,0.4)</f>
        <v>0.58171771395402005</v>
      </c>
      <c r="U52" s="2" cm="1">
        <f t="array" ref="U52">DELTAGREEK($B52,100,0.01,U$44,0.4)</f>
        <v>0.58593905179691852</v>
      </c>
      <c r="V52" s="2" cm="1">
        <f t="array" ref="V52">DELTAGREEK($B52,100,0.01,V$44,0.4)</f>
        <v>0.58999163576649438</v>
      </c>
      <c r="W52" s="2" cm="1">
        <f t="array" ref="W52">DELTAGREEK($B52,100,0.01,W$44,0.4)</f>
        <v>0.59389138525736551</v>
      </c>
      <c r="X52" s="2" cm="1">
        <f t="array" ref="X52">DELTAGREEK($B52,100,0.01,X$44,0.4)</f>
        <v>0.59765194986601289</v>
      </c>
      <c r="Y52" s="2" cm="1">
        <f t="array" ref="Y52">DELTAGREEK($B52,100,0.01,Y$44,0.4)</f>
        <v>0.60128512649989996</v>
      </c>
      <c r="Z52" s="2" cm="1">
        <f t="array" ref="Z52">DELTAGREEK($B52,100,0.01,Z$44,0.4)</f>
        <v>0.60480118460403898</v>
      </c>
      <c r="AA52" s="2" cm="1">
        <f t="array" ref="AA52">DELTAGREEK($B52,100,0.01,AA$44,0.4)</f>
        <v>0.60820912277336259</v>
      </c>
      <c r="AB52" s="2" cm="1">
        <f t="array" ref="AB52">DELTAGREEK($B52,100,0.01,AB$44,0.4)</f>
        <v>0.61151687342782668</v>
      </c>
      <c r="AC52" s="2" cm="1">
        <f t="array" ref="AC52">DELTAGREEK($B52,100,0.01,AC$44,0.4)</f>
        <v>0.61473146768465403</v>
      </c>
      <c r="AD52" s="2" cm="1">
        <f t="array" ref="AD52">DELTAGREEK($B52,100,0.01,AD$44,0.4)</f>
        <v>0.617859169379533</v>
      </c>
      <c r="AE52" s="2" cm="1">
        <f t="array" ref="AE52">DELTAGREEK($B52,100,0.01,AE$44,0.4)</f>
        <v>0.62090558492483205</v>
      </c>
      <c r="AF52" s="2" cm="1">
        <f t="array" ref="AF52">DELTAGREEK($B52,100,0.01,AF$44,0.4)</f>
        <v>0.6238757540601797</v>
      </c>
      <c r="AG52" s="2" cm="1">
        <f t="array" ref="AG52">DELTAGREEK($B52,100,0.01,AG$44,0.4)</f>
        <v>0.62677422535801997</v>
      </c>
      <c r="AH52" s="2" cm="1">
        <f t="array" ref="AH52">DELTAGREEK($B52,100,0.01,AH$44,0.4)</f>
        <v>0.62960511946502495</v>
      </c>
      <c r="AI52" s="2" cm="1">
        <f t="array" ref="AI52">DELTAGREEK($B52,100,0.01,AI$44,0.4)</f>
        <v>0.63237218240123627</v>
      </c>
      <c r="AJ52" s="2" cm="1">
        <f t="array" ref="AJ52">DELTAGREEK($B52,100,0.01,AJ$44,0.4)</f>
        <v>0.63507883074119742</v>
      </c>
      <c r="AK52" s="2" cm="1">
        <f t="array" ref="AK52">DELTAGREEK($B52,100,0.01,AK$44,0.4)</f>
        <v>0.63772819012198667</v>
      </c>
      <c r="AL52" s="2" cm="1">
        <f t="array" ref="AL52">DELTAGREEK($B52,100,0.01,AL$44,0.4)</f>
        <v>0.64032312823128867</v>
      </c>
      <c r="AM52" s="2" cm="1">
        <f t="array" ref="AM52">DELTAGREEK($B52,100,0.01,AM$44,0.4)</f>
        <v>0.64286628320232841</v>
      </c>
      <c r="AN52" s="2" cm="1">
        <f t="array" ref="AN52">DELTAGREEK($B52,100,0.01,AN$44,0.4)</f>
        <v>0.64536008816558321</v>
      </c>
      <c r="AO52" s="2" cm="1">
        <f t="array" ref="AO52">DELTAGREEK($B52,100,0.01,AO$44,0.4)</f>
        <v>0.64780679256786677</v>
      </c>
      <c r="AP52" s="2" cm="1">
        <f t="array" ref="AP52">DELTAGREEK($B52,100,0.01,AP$44,0.4)</f>
        <v>0.65020848075889248</v>
      </c>
      <c r="AQ52" s="2" cm="1">
        <f t="array" ref="AQ52">DELTAGREEK($B52,100,0.01,AQ$44,0.4)</f>
        <v>0.65256708825723053</v>
      </c>
      <c r="AR52" s="2" cm="1">
        <f t="array" ref="AR52">DELTAGREEK($B52,100,0.01,AR$44,0.4)</f>
        <v>0.65488441603673553</v>
      </c>
      <c r="AS52" s="2" cm="1">
        <f t="array" ref="AS52">DELTAGREEK($B52,100,0.01,AS$44,0.4)</f>
        <v>0.65716214311728105</v>
      </c>
      <c r="AT52" s="2" cm="1">
        <f t="array" ref="AT52">DELTAGREEK($B52,100,0.01,AT$44,0.4)</f>
        <v>0.65940183769714</v>
      </c>
      <c r="AU52" s="2" cm="1">
        <f t="array" ref="AU52">DELTAGREEK($B52,100,0.01,AU$44,0.4)</f>
        <v>0.6616049670263624</v>
      </c>
      <c r="AV52" s="2" cm="1">
        <f t="array" ref="AV52">DELTAGREEK($B52,100,0.01,AV$44,0.4)</f>
        <v>0.66377290618932328</v>
      </c>
      <c r="AW52" s="2" cm="1">
        <f t="array" ref="AW52">DELTAGREEK($B52,100,0.01,AW$44,0.4)</f>
        <v>0.66590694593888844</v>
      </c>
      <c r="AX52" s="2" cm="1">
        <f t="array" ref="AX52">DELTAGREEK($B52,100,0.01,AX$44,0.4)</f>
        <v>0.66800829970333764</v>
      </c>
      <c r="AY52" s="2" cm="1">
        <f t="array" ref="AY52">DELTAGREEK($B52,100,0.01,AY$44,0.4)</f>
        <v>0.67007810986943939</v>
      </c>
      <c r="AZ52" s="2" cm="1">
        <f t="array" ref="AZ52">DELTAGREEK($B52,100,0.01,AZ$44,0.4)</f>
        <v>0.67211745343025231</v>
      </c>
    </row>
    <row r="53" spans="1:52" x14ac:dyDescent="0.3">
      <c r="A53" s="2"/>
      <c r="B53" s="2">
        <v>100</v>
      </c>
      <c r="C53" s="2" cm="1">
        <f t="array" ref="C53">DELTAGREEK($B53,100,0.01,C$44,0.4)</f>
        <v>0.52836130900185174</v>
      </c>
      <c r="D53" s="2" cm="1">
        <f t="array" ref="D53">DELTAGREEK($B53,100,0.01,D$44,0.4)</f>
        <v>0.54007515440860199</v>
      </c>
      <c r="E53" s="2" cm="1">
        <f t="array" ref="E53">DELTAGREEK($B53,100,0.01,E$44,0.4)</f>
        <v>0.54904051427844991</v>
      </c>
      <c r="F53" s="2" cm="1">
        <f t="array" ref="F53">DELTAGREEK($B53,100,0.01,F$44,0.4)</f>
        <v>0.55657946195545982</v>
      </c>
      <c r="G53" s="2" cm="1">
        <f t="array" ref="G53">DELTAGREEK($B53,100,0.01,G$44,0.4)</f>
        <v>0.56320457211528641</v>
      </c>
      <c r="H53" s="2" cm="1">
        <f t="array" ref="H53">DELTAGREEK($B53,100,0.01,H$44,0.4)</f>
        <v>0.56917896198055495</v>
      </c>
      <c r="I53" s="2" cm="1">
        <f t="array" ref="I53">DELTAGREEK($B53,100,0.01,I$44,0.4)</f>
        <v>0.57465907506793834</v>
      </c>
      <c r="J53" s="2" cm="1">
        <f t="array" ref="J53">DELTAGREEK($B53,100,0.01,J$44,0.4)</f>
        <v>0.57974693392650745</v>
      </c>
      <c r="K53" s="2" cm="1">
        <f t="array" ref="K53">DELTAGREEK($B53,100,0.01,K$44,0.4)</f>
        <v>0.58451346694099515</v>
      </c>
      <c r="L53" s="2" cm="1">
        <f t="array" ref="L53">DELTAGREEK($B53,100,0.01,L$44,0.4)</f>
        <v>0.58901036286872965</v>
      </c>
      <c r="M53" s="2" cm="1">
        <f t="array" ref="M53">DELTAGREEK($B53,100,0.01,M$44,0.4)</f>
        <v>0.59327667759883407</v>
      </c>
      <c r="N53" s="2" cm="1">
        <f t="array" ref="N53">DELTAGREEK($B53,100,0.01,N$44,0.4)</f>
        <v>0.59734278103568972</v>
      </c>
      <c r="O53" s="2" cm="1">
        <f t="array" ref="O53">DELTAGREEK($B53,100,0.01,O$44,0.4)</f>
        <v>0.60123284664154708</v>
      </c>
      <c r="P53" s="2" cm="1">
        <f t="array" ref="P53">DELTAGREEK($B53,100,0.01,P$44,0.4)</f>
        <v>0.60496649199295116</v>
      </c>
      <c r="Q53" s="2" cm="1">
        <f t="array" ref="Q53">DELTAGREEK($B53,100,0.01,Q$44,0.4)</f>
        <v>0.60855989955510725</v>
      </c>
      <c r="R53" s="2" cm="1">
        <f t="array" ref="R53">DELTAGREEK($B53,100,0.01,R$44,0.4)</f>
        <v>0.6120266058609285</v>
      </c>
      <c r="S53" s="2" cm="1">
        <f t="array" ref="S53">DELTAGREEK($B53,100,0.01,S$44,0.4)</f>
        <v>0.61537807168890857</v>
      </c>
      <c r="T53" s="2" cm="1">
        <f t="array" ref="T53">DELTAGREEK($B53,100,0.01,T$44,0.4)</f>
        <v>0.61862410325459449</v>
      </c>
      <c r="U53" s="2" cm="1">
        <f t="array" ref="U53">DELTAGREEK($B53,100,0.01,U$44,0.4)</f>
        <v>0.62177316941688865</v>
      </c>
      <c r="V53" s="2" cm="1">
        <f t="array" ref="V53">DELTAGREEK($B53,100,0.01,V$44,0.4)</f>
        <v>0.62483264466500554</v>
      </c>
      <c r="W53" s="2" cm="1">
        <f t="array" ref="W53">DELTAGREEK($B53,100,0.01,W$44,0.4)</f>
        <v>0.62780899807570822</v>
      </c>
      <c r="X53" s="2" cm="1">
        <f t="array" ref="X53">DELTAGREEK($B53,100,0.01,X$44,0.4)</f>
        <v>0.6307079422427182</v>
      </c>
      <c r="Y53" s="2" cm="1">
        <f t="array" ref="Y53">DELTAGREEK($B53,100,0.01,Y$44,0.4)</f>
        <v>0.63353455208287435</v>
      </c>
      <c r="Z53" s="2" cm="1">
        <f t="array" ref="Z53">DELTAGREEK($B53,100,0.01,Z$44,0.4)</f>
        <v>0.6362933606506207</v>
      </c>
      <c r="AA53" s="2" cm="1">
        <f t="array" ref="AA53">DELTAGREEK($B53,100,0.01,AA$44,0.4)</f>
        <v>0.63898843717850951</v>
      </c>
      <c r="AB53" s="2" cm="1">
        <f t="array" ref="AB53">DELTAGREEK($B53,100,0.01,AB$44,0.4)</f>
        <v>0.64162345121685915</v>
      </c>
      <c r="AC53" s="2" cm="1">
        <f t="array" ref="AC53">DELTAGREEK($B53,100,0.01,AC$44,0.4)</f>
        <v>0.64420172578582313</v>
      </c>
      <c r="AD53" s="2" cm="1">
        <f t="array" ref="AD53">DELTAGREEK($B53,100,0.01,AD$44,0.4)</f>
        <v>0.64672628175773994</v>
      </c>
      <c r="AE53" s="2" cm="1">
        <f t="array" ref="AE53">DELTAGREEK($B53,100,0.01,AE$44,0.4)</f>
        <v>0.64919987517704203</v>
      </c>
      <c r="AF53" s="2" cm="1">
        <f t="array" ref="AF53">DELTAGREEK($B53,100,0.01,AF$44,0.4)</f>
        <v>0.65162502884545082</v>
      </c>
      <c r="AG53" s="2" cm="1">
        <f t="array" ref="AG53">DELTAGREEK($B53,100,0.01,AG$44,0.4)</f>
        <v>0.65400405921480276</v>
      </c>
      <c r="AH53" s="2" cm="1">
        <f t="array" ref="AH53">DELTAGREEK($B53,100,0.01,AH$44,0.4)</f>
        <v>0.65633909941300272</v>
      </c>
      <c r="AI53" s="2" cm="1">
        <f t="array" ref="AI53">DELTAGREEK($B53,100,0.01,AI$44,0.4)</f>
        <v>0.65863211906221009</v>
      </c>
      <c r="AJ53" s="2" cm="1">
        <f t="array" ref="AJ53">DELTAGREEK($B53,100,0.01,AJ$44,0.4)</f>
        <v>0.66088494141951859</v>
      </c>
      <c r="AK53" s="2" cm="1">
        <f t="array" ref="AK53">DELTAGREEK($B53,100,0.01,AK$44,0.4)</f>
        <v>0.66309925826977012</v>
      </c>
      <c r="AL53" s="2" cm="1">
        <f t="array" ref="AL53">DELTAGREEK($B53,100,0.01,AL$44,0.4)</f>
        <v>0.66527664292093025</v>
      </c>
      <c r="AM53" s="2" cm="1">
        <f t="array" ref="AM53">DELTAGREEK($B53,100,0.01,AM$44,0.4)</f>
        <v>0.66741856158964397</v>
      </c>
      <c r="AN53" s="2" cm="1">
        <f t="array" ref="AN53">DELTAGREEK($B53,100,0.01,AN$44,0.4)</f>
        <v>0.6695263834144114</v>
      </c>
      <c r="AO53" s="2" cm="1">
        <f t="array" ref="AO53">DELTAGREEK($B53,100,0.01,AO$44,0.4)</f>
        <v>0.67160138929350044</v>
      </c>
      <c r="AP53" s="2" cm="1">
        <f t="array" ref="AP53">DELTAGREEK($B53,100,0.01,AP$44,0.4)</f>
        <v>0.67364477971208003</v>
      </c>
      <c r="AQ53" s="2" cm="1">
        <f t="array" ref="AQ53">DELTAGREEK($B53,100,0.01,AQ$44,0.4)</f>
        <v>0.67565768169651563</v>
      </c>
      <c r="AR53" s="2" cm="1">
        <f t="array" ref="AR53">DELTAGREEK($B53,100,0.01,AR$44,0.4)</f>
        <v>0.67764115501204425</v>
      </c>
      <c r="AS53" s="2" cm="1">
        <f t="array" ref="AS53">DELTAGREEK($B53,100,0.01,AS$44,0.4)</f>
        <v>0.67959619770217961</v>
      </c>
      <c r="AT53" s="2" cm="1">
        <f t="array" ref="AT53">DELTAGREEK($B53,100,0.01,AT$44,0.4)</f>
        <v>0.68152375105343233</v>
      </c>
      <c r="AU53" s="2" cm="1">
        <f t="array" ref="AU53">DELTAGREEK($B53,100,0.01,AU$44,0.4)</f>
        <v>0.68342470405665567</v>
      </c>
      <c r="AV53" s="2" cm="1">
        <f t="array" ref="AV53">DELTAGREEK($B53,100,0.01,AV$44,0.4)</f>
        <v>0.6852998974261012</v>
      </c>
      <c r="AW53" s="2" cm="1">
        <f t="array" ref="AW53">DELTAGREEK($B53,100,0.01,AW$44,0.4)</f>
        <v>0.6871501272286864</v>
      </c>
      <c r="AX53" s="2" cm="1">
        <f t="array" ref="AX53">DELTAGREEK($B53,100,0.01,AX$44,0.4)</f>
        <v>0.68897614816876274</v>
      </c>
      <c r="AY53" s="2" cm="1">
        <f t="array" ref="AY53">DELTAGREEK($B53,100,0.01,AY$44,0.4)</f>
        <v>0.69077867656758185</v>
      </c>
      <c r="AZ53" s="2" cm="1">
        <f t="array" ref="AZ53">DELTAGREEK($B53,100,0.01,AZ$44,0.4)</f>
        <v>0.69255839307148281</v>
      </c>
    </row>
    <row r="54" spans="1:52" x14ac:dyDescent="0.3">
      <c r="A54" s="2"/>
      <c r="B54" s="2">
        <v>105</v>
      </c>
      <c r="C54" s="2" cm="1">
        <f t="array" ref="C54">DELTAGREEK($B54,100,0.01,C$44,0.4)</f>
        <v>0.67611824571104273</v>
      </c>
      <c r="D54" s="2" cm="1">
        <f t="array" ref="D54">DELTAGREEK($B54,100,0.01,D$44,0.4)</f>
        <v>0.64556285071940933</v>
      </c>
      <c r="E54" s="2" cm="1">
        <f t="array" ref="E54">DELTAGREEK($B54,100,0.01,E$44,0.4)</f>
        <v>0.63530353683739615</v>
      </c>
      <c r="F54" s="2" cm="1">
        <f t="array" ref="F54">DELTAGREEK($B54,100,0.01,F$44,0.4)</f>
        <v>0.63124876563153487</v>
      </c>
      <c r="G54" s="2" cm="1">
        <f t="array" ref="G54">DELTAGREEK($B54,100,0.01,G$44,0.4)</f>
        <v>0.62990370035210641</v>
      </c>
      <c r="H54" s="2" cm="1">
        <f t="array" ref="H54">DELTAGREEK($B54,100,0.01,H$44,0.4)</f>
        <v>0.62996242441975325</v>
      </c>
      <c r="I54" s="2" cm="1">
        <f t="array" ref="I54">DELTAGREEK($B54,100,0.01,I$44,0.4)</f>
        <v>0.63082418297129694</v>
      </c>
      <c r="J54" s="2" cm="1">
        <f t="array" ref="J54">DELTAGREEK($B54,100,0.01,J$44,0.4)</f>
        <v>0.63217475322688765</v>
      </c>
      <c r="K54" s="2" cm="1">
        <f t="array" ref="K54">DELTAGREEK($B54,100,0.01,K$44,0.4)</f>
        <v>0.63383475624841346</v>
      </c>
      <c r="L54" s="2" cm="1">
        <f t="array" ref="L54">DELTAGREEK($B54,100,0.01,L$44,0.4)</f>
        <v>0.63569510392185968</v>
      </c>
      <c r="M54" s="2" cm="1">
        <f t="array" ref="M54">DELTAGREEK($B54,100,0.01,M$44,0.4)</f>
        <v>0.63768622515091133</v>
      </c>
      <c r="N54" s="2" cm="1">
        <f t="array" ref="N54">DELTAGREEK($B54,100,0.01,N$44,0.4)</f>
        <v>0.63976209537161788</v>
      </c>
      <c r="O54" s="2" cm="1">
        <f t="array" ref="O54">DELTAGREEK($B54,100,0.01,O$44,0.4)</f>
        <v>0.64189138229991727</v>
      </c>
      <c r="P54" s="2" cm="1">
        <f t="array" ref="P54">DELTAGREEK($B54,100,0.01,P$44,0.4)</f>
        <v>0.64405227007829391</v>
      </c>
      <c r="Q54" s="2" cm="1">
        <f t="array" ref="Q54">DELTAGREEK($B54,100,0.01,Q$44,0.4)</f>
        <v>0.64622929949243746</v>
      </c>
      <c r="R54" s="2" cm="1">
        <f t="array" ref="R54">DELTAGREEK($B54,100,0.01,R$44,0.4)</f>
        <v>0.64841136787189346</v>
      </c>
      <c r="S54" s="2" cm="1">
        <f t="array" ref="S54">DELTAGREEK($B54,100,0.01,S$44,0.4)</f>
        <v>0.65059042368569309</v>
      </c>
      <c r="T54" s="2" cm="1">
        <f t="array" ref="T54">DELTAGREEK($B54,100,0.01,T$44,0.4)</f>
        <v>0.6527605919168209</v>
      </c>
      <c r="U54" s="2" cm="1">
        <f t="array" ref="U54">DELTAGREEK($B54,100,0.01,U$44,0.4)</f>
        <v>0.6549175746346424</v>
      </c>
      <c r="V54" s="2" cm="1">
        <f t="array" ref="V54">DELTAGREEK($B54,100,0.01,V$44,0.4)</f>
        <v>0.65705823198940361</v>
      </c>
      <c r="W54" s="2" cm="1">
        <f t="array" ref="W54">DELTAGREEK($B54,100,0.01,W$44,0.4)</f>
        <v>0.65918028421389419</v>
      </c>
      <c r="X54" s="2" cm="1">
        <f t="array" ref="X54">DELTAGREEK($B54,100,0.01,X$44,0.4)</f>
        <v>0.66128209643149849</v>
      </c>
      <c r="Y54" s="2" cm="1">
        <f t="array" ref="Y54">DELTAGREEK($B54,100,0.01,Y$44,0.4)</f>
        <v>0.66336252115193817</v>
      </c>
      <c r="Z54" s="2" cm="1">
        <f t="array" ref="Z54">DELTAGREEK($B54,100,0.01,Z$44,0.4)</f>
        <v>0.66542078160343643</v>
      </c>
      <c r="AA54" s="2" cm="1">
        <f t="array" ref="AA54">DELTAGREEK($B54,100,0.01,AA$44,0.4)</f>
        <v>0.6674563843907737</v>
      </c>
      <c r="AB54" s="2" cm="1">
        <f t="array" ref="AB54">DELTAGREEK($B54,100,0.01,AB$44,0.4)</f>
        <v>0.66946905348778174</v>
      </c>
      <c r="AC54" s="2" cm="1">
        <f t="array" ref="AC54">DELTAGREEK($B54,100,0.01,AC$44,0.4)</f>
        <v>0.67145867993353181</v>
      </c>
      <c r="AD54" s="2" cm="1">
        <f t="array" ref="AD54">DELTAGREEK($B54,100,0.01,AD$44,0.4)</f>
        <v>0.67342528321114214</v>
      </c>
      <c r="AE54" s="2" cm="1">
        <f t="array" ref="AE54">DELTAGREEK($B54,100,0.01,AE$44,0.4)</f>
        <v>0.67536898140218171</v>
      </c>
      <c r="AF54" s="2" cm="1">
        <f t="array" ref="AF54">DELTAGREEK($B54,100,0.01,AF$44,0.4)</f>
        <v>0.67728996799127406</v>
      </c>
      <c r="AG54" s="2" cm="1">
        <f t="array" ref="AG54">DELTAGREEK($B54,100,0.01,AG$44,0.4)</f>
        <v>0.67918849375083457</v>
      </c>
      <c r="AH54" s="2" cm="1">
        <f t="array" ref="AH54">DELTAGREEK($B54,100,0.01,AH$44,0.4)</f>
        <v>0.68106485253502125</v>
      </c>
      <c r="AI54" s="2" cm="1">
        <f t="array" ref="AI54">DELTAGREEK($B54,100,0.01,AI$44,0.4)</f>
        <v>0.68291937010195569</v>
      </c>
      <c r="AJ54" s="2" cm="1">
        <f t="array" ref="AJ54">DELTAGREEK($B54,100,0.01,AJ$44,0.4)</f>
        <v>0.68475239529604037</v>
      </c>
      <c r="AK54" s="2" cm="1">
        <f t="array" ref="AK54">DELTAGREEK($B54,100,0.01,AK$44,0.4)</f>
        <v>0.6865642930797613</v>
      </c>
      <c r="AL54" s="2" cm="1">
        <f t="array" ref="AL54">DELTAGREEK($B54,100,0.01,AL$44,0.4)</f>
        <v>0.68835543902205276</v>
      </c>
      <c r="AM54" s="2" cm="1">
        <f t="array" ref="AM54">DELTAGREEK($B54,100,0.01,AM$44,0.4)</f>
        <v>0.6901262149389128</v>
      </c>
      <c r="AN54" s="2" cm="1">
        <f t="array" ref="AN54">DELTAGREEK($B54,100,0.01,AN$44,0.4)</f>
        <v>0.69187700544917163</v>
      </c>
      <c r="AO54" s="2" cm="1">
        <f t="array" ref="AO54">DELTAGREEK($B54,100,0.01,AO$44,0.4)</f>
        <v>0.69360819525966311</v>
      </c>
      <c r="AP54" s="2" cm="1">
        <f t="array" ref="AP54">DELTAGREEK($B54,100,0.01,AP$44,0.4)</f>
        <v>0.69532016703352617</v>
      </c>
      <c r="AQ54" s="2" cm="1">
        <f t="array" ref="AQ54">DELTAGREEK($B54,100,0.01,AQ$44,0.4)</f>
        <v>0.69701329972590598</v>
      </c>
      <c r="AR54" s="2" cm="1">
        <f t="array" ref="AR54">DELTAGREEK($B54,100,0.01,AR$44,0.4)</f>
        <v>0.69868796729508709</v>
      </c>
      <c r="AS54" s="2" cm="1">
        <f t="array" ref="AS54">DELTAGREEK($B54,100,0.01,AS$44,0.4)</f>
        <v>0.70034453771567862</v>
      </c>
      <c r="AT54" s="2" cm="1">
        <f t="array" ref="AT54">DELTAGREEK($B54,100,0.01,AT$44,0.4)</f>
        <v>0.70198337223508567</v>
      </c>
      <c r="AU54" s="2" cm="1">
        <f t="array" ref="AU54">DELTAGREEK($B54,100,0.01,AU$44,0.4)</f>
        <v>0.70360482482604902</v>
      </c>
      <c r="AV54" s="2" cm="1">
        <f t="array" ref="AV54">DELTAGREEK($B54,100,0.01,AV$44,0.4)</f>
        <v>0.70520924179719002</v>
      </c>
      <c r="AW54" s="2" cm="1">
        <f t="array" ref="AW54">DELTAGREEK($B54,100,0.01,AW$44,0.4)</f>
        <v>0.70679696153080096</v>
      </c>
      <c r="AX54" s="2" cm="1">
        <f t="array" ref="AX54">DELTAGREEK($B54,100,0.01,AX$44,0.4)</f>
        <v>0.70836831432295611</v>
      </c>
      <c r="AY54" s="2" cm="1">
        <f t="array" ref="AY54">DELTAGREEK($B54,100,0.01,AY$44,0.4)</f>
        <v>0.70992362230570483</v>
      </c>
      <c r="AZ54" s="2" cm="1">
        <f t="array" ref="AZ54">DELTAGREEK($B54,100,0.01,AZ$44,0.4)</f>
        <v>0.71146319943488745</v>
      </c>
    </row>
    <row r="55" spans="1:52" x14ac:dyDescent="0.3">
      <c r="A55" s="2"/>
      <c r="B55" s="2">
        <v>110</v>
      </c>
      <c r="C55" s="2" cm="1">
        <f t="array" ref="C55">DELTAGREEK($B55,100,0.01,C$44,0.4)</f>
        <v>0.79521324074085409</v>
      </c>
      <c r="D55" s="2" cm="1">
        <f t="array" ref="D55">DELTAGREEK($B55,100,0.01,D$44,0.4)</f>
        <v>0.73677132806161283</v>
      </c>
      <c r="E55" s="2" cm="1">
        <f t="array" ref="E55">DELTAGREEK($B55,100,0.01,E$44,0.4)</f>
        <v>0.71166897498697956</v>
      </c>
      <c r="F55" s="2" cm="1">
        <f t="array" ref="F55">DELTAGREEK($B55,100,0.01,F$44,0.4)</f>
        <v>0.69813673514819785</v>
      </c>
      <c r="G55" s="2" cm="1">
        <f t="array" ref="G55">DELTAGREEK($B55,100,0.01,G$44,0.4)</f>
        <v>0.69007798097999373</v>
      </c>
      <c r="H55" s="2" cm="1">
        <f t="array" ref="H55">DELTAGREEK($B55,100,0.01,H$44,0.4)</f>
        <v>0.68506027549519866</v>
      </c>
      <c r="I55" s="2" cm="1">
        <f t="array" ref="I55">DELTAGREEK($B55,100,0.01,I$44,0.4)</f>
        <v>0.68190844250350346</v>
      </c>
      <c r="J55" s="2" cm="1">
        <f t="array" ref="J55">DELTAGREEK($B55,100,0.01,J$44,0.4)</f>
        <v>0.67998117873921649</v>
      </c>
      <c r="K55" s="2" cm="1">
        <f t="array" ref="K55">DELTAGREEK($B55,100,0.01,K$44,0.4)</f>
        <v>0.67889752276808935</v>
      </c>
      <c r="L55" s="2" cm="1">
        <f t="array" ref="L55">DELTAGREEK($B55,100,0.01,L$44,0.4)</f>
        <v>0.67841652953561393</v>
      </c>
      <c r="M55" s="2" cm="1">
        <f t="array" ref="M55">DELTAGREEK($B55,100,0.01,M$44,0.4)</f>
        <v>0.67837828152097746</v>
      </c>
      <c r="N55" s="2" cm="1">
        <f t="array" ref="N55">DELTAGREEK($B55,100,0.01,N$44,0.4)</f>
        <v>0.67867250258230838</v>
      </c>
      <c r="O55" s="2" cm="1">
        <f t="array" ref="O55">DELTAGREEK($B55,100,0.01,O$44,0.4)</f>
        <v>0.67922075051936703</v>
      </c>
      <c r="P55" s="2" cm="1">
        <f t="array" ref="P55">DELTAGREEK($B55,100,0.01,P$44,0.4)</f>
        <v>0.67996577625121424</v>
      </c>
      <c r="Q55" s="2" cm="1">
        <f t="array" ref="Q55">DELTAGREEK($B55,100,0.01,Q$44,0.4)</f>
        <v>0.68086488764682573</v>
      </c>
      <c r="R55" s="2" cm="1">
        <f t="array" ref="R55">DELTAGREEK($B55,100,0.01,R$44,0.4)</f>
        <v>0.68188565960518654</v>
      </c>
      <c r="S55" s="2" cm="1">
        <f t="array" ref="S55">DELTAGREEK($B55,100,0.01,S$44,0.4)</f>
        <v>0.68300307474996325</v>
      </c>
      <c r="T55" s="2" cm="1">
        <f t="array" ref="T55">DELTAGREEK($B55,100,0.01,T$44,0.4)</f>
        <v>0.68419756673834808</v>
      </c>
      <c r="U55" s="2" cm="1">
        <f t="array" ref="U55">DELTAGREEK($B55,100,0.01,U$44,0.4)</f>
        <v>0.68545365013733406</v>
      </c>
      <c r="V55" s="2" cm="1">
        <f t="array" ref="V55">DELTAGREEK($B55,100,0.01,V$44,0.4)</f>
        <v>0.68675894146125127</v>
      </c>
      <c r="W55" s="2" cm="1">
        <f t="array" ref="W55">DELTAGREEK($B55,100,0.01,W$44,0.4)</f>
        <v>0.68810344707336035</v>
      </c>
      <c r="X55" s="2" cm="1">
        <f t="array" ref="X55">DELTAGREEK($B55,100,0.01,X$44,0.4)</f>
        <v>0.68947903687552947</v>
      </c>
      <c r="Y55" s="2" cm="1">
        <f t="array" ref="Y55">DELTAGREEK($B55,100,0.01,Y$44,0.4)</f>
        <v>0.6908790497056867</v>
      </c>
      <c r="Z55" s="2" cm="1">
        <f t="array" ref="Z55">DELTAGREEK($B55,100,0.01,Z$44,0.4)</f>
        <v>0.69229799363884914</v>
      </c>
      <c r="AA55" s="2" cm="1">
        <f t="array" ref="AA55">DELTAGREEK($B55,100,0.01,AA$44,0.4)</f>
        <v>0.69373131568757618</v>
      </c>
      <c r="AB55" s="2" cm="1">
        <f t="array" ref="AB55">DELTAGREEK($B55,100,0.01,AB$44,0.4)</f>
        <v>0.69517522293611245</v>
      </c>
      <c r="AC55" s="2" cm="1">
        <f t="array" ref="AC55">DELTAGREEK($B55,100,0.01,AC$44,0.4)</f>
        <v>0.69662654226236631</v>
      </c>
      <c r="AD55" s="2" cm="1">
        <f t="array" ref="AD55">DELTAGREEK($B55,100,0.01,AD$44,0.4)</f>
        <v>0.69808260933640931</v>
      </c>
      <c r="AE55" s="2" cm="1">
        <f t="array" ref="AE55">DELTAGREEK($B55,100,0.01,AE$44,0.4)</f>
        <v>0.6995411800610698</v>
      </c>
      <c r="AF55" s="2" cm="1">
        <f t="array" ref="AF55">DELTAGREEK($B55,100,0.01,AF$44,0.4)</f>
        <v>0.70100035937994698</v>
      </c>
      <c r="AG55" s="2" cm="1">
        <f t="array" ref="AG55">DELTAGREEK($B55,100,0.01,AG$44,0.4)</f>
        <v>0.70245854364440063</v>
      </c>
      <c r="AH55" s="2" cm="1">
        <f t="array" ref="AH55">DELTAGREEK($B55,100,0.01,AH$44,0.4)</f>
        <v>0.70391437365293852</v>
      </c>
      <c r="AI55" s="2" cm="1">
        <f t="array" ref="AI55">DELTAGREEK($B55,100,0.01,AI$44,0.4)</f>
        <v>0.70536669615494385</v>
      </c>
      <c r="AJ55" s="2" cm="1">
        <f t="array" ref="AJ55">DELTAGREEK($B55,100,0.01,AJ$44,0.4)</f>
        <v>0.70681453211518752</v>
      </c>
      <c r="AK55" s="2" cm="1">
        <f t="array" ref="AK55">DELTAGREEK($B55,100,0.01,AK$44,0.4)</f>
        <v>0.70825705041423959</v>
      </c>
      <c r="AL55" s="2" cm="1">
        <f t="array" ref="AL55">DELTAGREEK($B55,100,0.01,AL$44,0.4)</f>
        <v>0.70969354594665934</v>
      </c>
      <c r="AM55" s="2" cm="1">
        <f t="array" ref="AM55">DELTAGREEK($B55,100,0.01,AM$44,0.4)</f>
        <v>0.71112342129780426</v>
      </c>
      <c r="AN55" s="2" cm="1">
        <f t="array" ref="AN55">DELTAGREEK($B55,100,0.01,AN$44,0.4)</f>
        <v>0.71254617134859832</v>
      </c>
      <c r="AO55" s="2" cm="1">
        <f t="array" ref="AO55">DELTAGREEK($B55,100,0.01,AO$44,0.4)</f>
        <v>0.71396137028822182</v>
      </c>
      <c r="AP55" s="2" cm="1">
        <f t="array" ref="AP55">DELTAGREEK($B55,100,0.01,AP$44,0.4)</f>
        <v>0.71536866061664361</v>
      </c>
      <c r="AQ55" s="2" cm="1">
        <f t="array" ref="AQ55">DELTAGREEK($B55,100,0.01,AQ$44,0.4)</f>
        <v>0.71676774379902597</v>
      </c>
      <c r="AR55" s="2" cm="1">
        <f t="array" ref="AR55">DELTAGREEK($B55,100,0.01,AR$44,0.4)</f>
        <v>0.71815837229735302</v>
      </c>
      <c r="AS55" s="2" cm="1">
        <f t="array" ref="AS55">DELTAGREEK($B55,100,0.01,AS$44,0.4)</f>
        <v>0.71954034275498913</v>
      </c>
      <c r="AT55" s="2" cm="1">
        <f t="array" ref="AT55">DELTAGREEK($B55,100,0.01,AT$44,0.4)</f>
        <v>0.7209134901501365</v>
      </c>
      <c r="AU55" s="2" cm="1">
        <f t="array" ref="AU55">DELTAGREEK($B55,100,0.01,AU$44,0.4)</f>
        <v>0.72227768276651616</v>
      </c>
      <c r="AV55" s="2" cm="1">
        <f t="array" ref="AV55">DELTAGREEK($B55,100,0.01,AV$44,0.4)</f>
        <v>0.72363281785573808</v>
      </c>
      <c r="AW55" s="2" cm="1">
        <f t="array" ref="AW55">DELTAGREEK($B55,100,0.01,AW$44,0.4)</f>
        <v>0.72497881788704244</v>
      </c>
      <c r="AX55" s="2" cm="1">
        <f t="array" ref="AX55">DELTAGREEK($B55,100,0.01,AX$44,0.4)</f>
        <v>0.72631562729739074</v>
      </c>
      <c r="AY55" s="2" cm="1">
        <f t="array" ref="AY55">DELTAGREEK($B55,100,0.01,AY$44,0.4)</f>
        <v>0.72764320966904483</v>
      </c>
      <c r="AZ55" s="2" cm="1">
        <f t="array" ref="AZ55">DELTAGREEK($B55,100,0.01,AZ$44,0.4)</f>
        <v>0.72896154527342505</v>
      </c>
    </row>
    <row r="56" spans="1:52" x14ac:dyDescent="0.3">
      <c r="A56" s="2"/>
      <c r="B56" s="2">
        <v>115</v>
      </c>
      <c r="C56" s="2" cm="1">
        <f t="array" ref="C56">DELTAGREEK($B56,100,0.01,C$44,0.4)</f>
        <v>0.88021583185504604</v>
      </c>
      <c r="D56" s="2" cm="1">
        <f t="array" ref="D56">DELTAGREEK($B56,100,0.01,D$44,0.4)</f>
        <v>0.81108890153677393</v>
      </c>
      <c r="E56" s="2" cm="1">
        <f t="array" ref="E56">DELTAGREEK($B56,100,0.01,E$44,0.4)</f>
        <v>0.77671943972975221</v>
      </c>
      <c r="F56" s="2" cm="1">
        <f t="array" ref="F56">DELTAGREEK($B56,100,0.01,F$44,0.4)</f>
        <v>0.75639716521685774</v>
      </c>
      <c r="G56" s="2" cm="1">
        <f t="array" ref="G56">DELTAGREEK($B56,100,0.01,G$44,0.4)</f>
        <v>0.74319667438721471</v>
      </c>
      <c r="H56" s="2" cm="1">
        <f t="array" ref="H56">DELTAGREEK($B56,100,0.01,H$44,0.4)</f>
        <v>0.73413390137873957</v>
      </c>
      <c r="I56" s="2" cm="1">
        <f t="array" ref="I56">DELTAGREEK($B56,100,0.01,I$44,0.4)</f>
        <v>0.7276985245669445</v>
      </c>
      <c r="J56" s="2" cm="1">
        <f t="array" ref="J56">DELTAGREEK($B56,100,0.01,J$44,0.4)</f>
        <v>0.72303875290811948</v>
      </c>
      <c r="K56" s="2" cm="1">
        <f t="array" ref="K56">DELTAGREEK($B56,100,0.01,K$44,0.4)</f>
        <v>0.71963542011049753</v>
      </c>
      <c r="L56" s="2" cm="1">
        <f t="array" ref="L56">DELTAGREEK($B56,100,0.01,L$44,0.4)</f>
        <v>0.71715306616066388</v>
      </c>
      <c r="M56" s="2" cm="1">
        <f t="array" ref="M56">DELTAGREEK($B56,100,0.01,M$44,0.4)</f>
        <v>0.71536483500453407</v>
      </c>
      <c r="N56" s="2" cm="1">
        <f t="array" ref="N56">DELTAGREEK($B56,100,0.01,N$44,0.4)</f>
        <v>0.71411161135791834</v>
      </c>
      <c r="O56" s="2" cm="1">
        <f t="array" ref="O56">DELTAGREEK($B56,100,0.01,O$44,0.4)</f>
        <v>0.7132784047815599</v>
      </c>
      <c r="P56" s="2" cm="1">
        <f t="array" ref="P56">DELTAGREEK($B56,100,0.01,P$44,0.4)</f>
        <v>0.71278001434305782</v>
      </c>
      <c r="Q56" s="2" cm="1">
        <f t="array" ref="Q56">DELTAGREEK($B56,100,0.01,Q$44,0.4)</f>
        <v>0.71255196442030311</v>
      </c>
      <c r="R56" s="2" cm="1">
        <f t="array" ref="R56">DELTAGREEK($B56,100,0.01,R$44,0.4)</f>
        <v>0.71254457257773407</v>
      </c>
      <c r="S56" s="2" cm="1">
        <f t="array" ref="S56">DELTAGREEK($B56,100,0.01,S$44,0.4)</f>
        <v>0.71271895109651995</v>
      </c>
      <c r="T56" s="2" cm="1">
        <f t="array" ref="T56">DELTAGREEK($B56,100,0.01,T$44,0.4)</f>
        <v>0.71304424219192442</v>
      </c>
      <c r="U56" s="2" cm="1">
        <f t="array" ref="U56">DELTAGREEK($B56,100,0.01,U$44,0.4)</f>
        <v>0.71349566314057644</v>
      </c>
      <c r="V56" s="2" cm="1">
        <f t="array" ref="V56">DELTAGREEK($B56,100,0.01,V$44,0.4)</f>
        <v>0.71405309659886251</v>
      </c>
      <c r="W56" s="2" cm="1">
        <f t="array" ref="W56">DELTAGREEK($B56,100,0.01,W$44,0.4)</f>
        <v>0.71470005613882304</v>
      </c>
      <c r="X56" s="2" cm="1">
        <f t="array" ref="X56">DELTAGREEK($B56,100,0.01,X$44,0.4)</f>
        <v>0.71542291516782497</v>
      </c>
      <c r="Y56" s="2" cm="1">
        <f t="array" ref="Y56">DELTAGREEK($B56,100,0.01,Y$44,0.4)</f>
        <v>0.71621032403103158</v>
      </c>
      <c r="Z56" s="2" cm="1">
        <f t="array" ref="Z56">DELTAGREEK($B56,100,0.01,Z$44,0.4)</f>
        <v>0.71705276372950333</v>
      </c>
      <c r="AA56" s="2" cm="1">
        <f t="array" ref="AA56">DELTAGREEK($B56,100,0.01,AA$44,0.4)</f>
        <v>0.71794220026230193</v>
      </c>
      <c r="AB56" s="2" cm="1">
        <f t="array" ref="AB56">DELTAGREEK($B56,100,0.01,AB$44,0.4)</f>
        <v>0.7188718140654482</v>
      </c>
      <c r="AC56" s="2" cm="1">
        <f t="array" ref="AC56">DELTAGREEK($B56,100,0.01,AC$44,0.4)</f>
        <v>0.7198357861754815</v>
      </c>
      <c r="AD56" s="2" cm="1">
        <f t="array" ref="AD56">DELTAGREEK($B56,100,0.01,AD$44,0.4)</f>
        <v>0.72082912771629937</v>
      </c>
      <c r="AE56" s="2" cm="1">
        <f t="array" ref="AE56">DELTAGREEK($B56,100,0.01,AE$44,0.4)</f>
        <v>0.72184754281265784</v>
      </c>
      <c r="AF56" s="2" cm="1">
        <f t="array" ref="AF56">DELTAGREEK($B56,100,0.01,AF$44,0.4)</f>
        <v>0.72288731753825886</v>
      </c>
      <c r="AG56" s="2" cm="1">
        <f t="array" ref="AG56">DELTAGREEK($B56,100,0.01,AG$44,0.4)</f>
        <v>0.72394522931865968</v>
      </c>
      <c r="AH56" s="2" cm="1">
        <f t="array" ref="AH56">DELTAGREEK($B56,100,0.01,AH$44,0.4)</f>
        <v>0.72501847253587903</v>
      </c>
      <c r="AI56" s="2" cm="1">
        <f t="array" ref="AI56">DELTAGREEK($B56,100,0.01,AI$44,0.4)</f>
        <v>0.7261045970631963</v>
      </c>
      <c r="AJ56" s="2" cm="1">
        <f t="array" ref="AJ56">DELTAGREEK($B56,100,0.01,AJ$44,0.4)</f>
        <v>0.72720145719226925</v>
      </c>
      <c r="AK56" s="2" cm="1">
        <f t="array" ref="AK56">DELTAGREEK($B56,100,0.01,AK$44,0.4)</f>
        <v>0.72830716896814551</v>
      </c>
      <c r="AL56" s="2" cm="1">
        <f t="array" ref="AL56">DELTAGREEK($B56,100,0.01,AL$44,0.4)</f>
        <v>0.72942007436891587</v>
      </c>
      <c r="AM56" s="2" cm="1">
        <f t="array" ref="AM56">DELTAGREEK($B56,100,0.01,AM$44,0.4)</f>
        <v>0.73053871108993107</v>
      </c>
      <c r="AN56" s="2" cm="1">
        <f t="array" ref="AN56">DELTAGREEK($B56,100,0.01,AN$44,0.4)</f>
        <v>0.73166178694237893</v>
      </c>
      <c r="AO56" s="2" cm="1">
        <f t="array" ref="AO56">DELTAGREEK($B56,100,0.01,AO$44,0.4)</f>
        <v>0.7327881580706469</v>
      </c>
      <c r="AP56" s="2" cm="1">
        <f t="array" ref="AP56">DELTAGREEK($B56,100,0.01,AP$44,0.4)</f>
        <v>0.73391681034551604</v>
      </c>
      <c r="AQ56" s="2" cm="1">
        <f t="array" ref="AQ56">DELTAGREEK($B56,100,0.01,AQ$44,0.4)</f>
        <v>0.73504684341070659</v>
      </c>
      <c r="AR56" s="2" cm="1">
        <f t="array" ref="AR56">DELTAGREEK($B56,100,0.01,AR$44,0.4)</f>
        <v>0.7361774569559637</v>
      </c>
      <c r="AS56" s="2" cm="1">
        <f t="array" ref="AS56">DELTAGREEK($B56,100,0.01,AS$44,0.4)</f>
        <v>0.73730793886629287</v>
      </c>
      <c r="AT56" s="2" cm="1">
        <f t="array" ref="AT56">DELTAGREEK($B56,100,0.01,AT$44,0.4)</f>
        <v>0.73843765495833558</v>
      </c>
      <c r="AU56" s="2" cm="1">
        <f t="array" ref="AU56">DELTAGREEK($B56,100,0.01,AU$44,0.4)</f>
        <v>0.7395660400644295</v>
      </c>
      <c r="AV56" s="2" cm="1">
        <f t="array" ref="AV56">DELTAGREEK($B56,100,0.01,AV$44,0.4)</f>
        <v>0.74069259026511935</v>
      </c>
      <c r="AW56" s="2" cm="1">
        <f t="array" ref="AW56">DELTAGREEK($B56,100,0.01,AW$44,0.4)</f>
        <v>0.74181685610365933</v>
      </c>
      <c r="AX56" s="2" cm="1">
        <f t="array" ref="AX56">DELTAGREEK($B56,100,0.01,AX$44,0.4)</f>
        <v>0.74293843664290993</v>
      </c>
      <c r="AY56" s="2" cm="1">
        <f t="array" ref="AY56">DELTAGREEK($B56,100,0.01,AY$44,0.4)</f>
        <v>0.74405697424710637</v>
      </c>
      <c r="AZ56" s="2" cm="1">
        <f t="array" ref="AZ56">DELTAGREEK($B56,100,0.01,AZ$44,0.4)</f>
        <v>0.74517214998922932</v>
      </c>
    </row>
    <row r="57" spans="1:52" x14ac:dyDescent="0.3">
      <c r="A57" s="2"/>
      <c r="B57" s="2">
        <v>120</v>
      </c>
      <c r="C57" s="2" cm="1">
        <f t="array" ref="C57">DELTAGREEK($B57,100,0.01,C$44,0.4)</f>
        <v>0.93480042009614039</v>
      </c>
      <c r="D57" s="2" cm="1">
        <f t="array" ref="D57">DELTAGREEK($B57,100,0.01,D$44,0.4)</f>
        <v>0.86860722319458827</v>
      </c>
      <c r="E57" s="2" cm="1">
        <f t="array" ref="E57">DELTAGREEK($B57,100,0.01,E$44,0.4)</f>
        <v>0.8303167771142137</v>
      </c>
      <c r="F57" s="2" cm="1">
        <f t="array" ref="F57">DELTAGREEK($B57,100,0.01,F$44,0.4)</f>
        <v>0.80592899227632175</v>
      </c>
      <c r="G57" s="2" cm="1">
        <f t="array" ref="G57">DELTAGREEK($B57,100,0.01,G$44,0.4)</f>
        <v>0.78921576011256067</v>
      </c>
      <c r="H57" s="2" cm="1">
        <f t="array" ref="H57">DELTAGREEK($B57,100,0.01,H$44,0.4)</f>
        <v>0.77718615535252056</v>
      </c>
      <c r="I57" s="2" cm="1">
        <f t="array" ref="I57">DELTAGREEK($B57,100,0.01,I$44,0.4)</f>
        <v>0.76823248267039035</v>
      </c>
      <c r="J57" s="2" cm="1">
        <f t="array" ref="J57">DELTAGREEK($B57,100,0.01,J$44,0.4)</f>
        <v>0.76141151560368958</v>
      </c>
      <c r="K57" s="2" cm="1">
        <f t="array" ref="K57">DELTAGREEK($B57,100,0.01,K$44,0.4)</f>
        <v>0.75613168702939038</v>
      </c>
      <c r="L57" s="2" cm="1">
        <f t="array" ref="L57">DELTAGREEK($B57,100,0.01,L$44,0.4)</f>
        <v>0.75200220647013261</v>
      </c>
      <c r="M57" s="2" cm="1">
        <f t="array" ref="M57">DELTAGREEK($B57,100,0.01,M$44,0.4)</f>
        <v>0.7487540088667346</v>
      </c>
      <c r="N57" s="2" cm="1">
        <f t="array" ref="N57">DELTAGREEK($B57,100,0.01,N$44,0.4)</f>
        <v>0.74619549137089491</v>
      </c>
      <c r="O57" s="2" cm="1">
        <f t="array" ref="O57">DELTAGREEK($B57,100,0.01,O$44,0.4)</f>
        <v>0.74418634836810016</v>
      </c>
      <c r="P57" s="2" cm="1">
        <f t="array" ref="P57">DELTAGREEK($B57,100,0.01,P$44,0.4)</f>
        <v>0.7426213939370746</v>
      </c>
      <c r="Q57" s="2" cm="1">
        <f t="array" ref="Q57">DELTAGREEK($B57,100,0.01,Q$44,0.4)</f>
        <v>0.74142017407246608</v>
      </c>
      <c r="R57" s="2" cm="1">
        <f t="array" ref="R57">DELTAGREEK($B57,100,0.01,R$44,0.4)</f>
        <v>0.74052007812711207</v>
      </c>
      <c r="S57" s="2" cm="1">
        <f t="array" ref="S57">DELTAGREEK($B57,100,0.01,S$44,0.4)</f>
        <v>0.73987164200883204</v>
      </c>
      <c r="T57" s="2" cm="1">
        <f t="array" ref="T57">DELTAGREEK($B57,100,0.01,T$44,0.4)</f>
        <v>0.73943526731763154</v>
      </c>
      <c r="U57" s="2" cm="1">
        <f t="array" ref="U57">DELTAGREEK($B57,100,0.01,U$44,0.4)</f>
        <v>0.73917888029653178</v>
      </c>
      <c r="V57" s="2" cm="1">
        <f t="array" ref="V57">DELTAGREEK($B57,100,0.01,V$44,0.4)</f>
        <v>0.73907622962258757</v>
      </c>
      <c r="W57" s="2" cm="1">
        <f t="array" ref="W57">DELTAGREEK($B57,100,0.01,W$44,0.4)</f>
        <v>0.73910562774429445</v>
      </c>
      <c r="X57" s="2" cm="1">
        <f t="array" ref="X57">DELTAGREEK($B57,100,0.01,X$44,0.4)</f>
        <v>0.7392490060590764</v>
      </c>
      <c r="Y57" s="2" cm="1">
        <f t="array" ref="Y57">DELTAGREEK($B57,100,0.01,Y$44,0.4)</f>
        <v>0.7394911959684447</v>
      </c>
      <c r="Z57" s="2" cm="1">
        <f t="array" ref="Z57">DELTAGREEK($B57,100,0.01,Z$44,0.4)</f>
        <v>0.73981937502493877</v>
      </c>
      <c r="AA57" s="2" cm="1">
        <f t="array" ref="AA57">DELTAGREEK($B57,100,0.01,AA$44,0.4)</f>
        <v>0.74022263544306699</v>
      </c>
      <c r="AB57" s="2" cm="1">
        <f t="array" ref="AB57">DELTAGREEK($B57,100,0.01,AB$44,0.4)</f>
        <v>0.74069164447031677</v>
      </c>
      <c r="AC57" s="2" cm="1">
        <f t="array" ref="AC57">DELTAGREEK($B57,100,0.01,AC$44,0.4)</f>
        <v>0.74121837453002326</v>
      </c>
      <c r="AD57" s="2" cm="1">
        <f t="array" ref="AD57">DELTAGREEK($B57,100,0.01,AD$44,0.4)</f>
        <v>0.74179588693227849</v>
      </c>
      <c r="AE57" s="2" cm="1">
        <f t="array" ref="AE57">DELTAGREEK($B57,100,0.01,AE$44,0.4)</f>
        <v>0.7424181571224866</v>
      </c>
      <c r="AF57" s="2" cm="1">
        <f t="array" ref="AF57">DELTAGREEK($B57,100,0.01,AF$44,0.4)</f>
        <v>0.74307993243623416</v>
      </c>
      <c r="AG57" s="2" cm="1">
        <f t="array" ref="AG57">DELTAGREEK($B57,100,0.01,AG$44,0.4)</f>
        <v>0.74377661551062824</v>
      </c>
      <c r="AH57" s="2" cm="1">
        <f t="array" ref="AH57">DELTAGREEK($B57,100,0.01,AH$44,0.4)</f>
        <v>0.74450416810701781</v>
      </c>
      <c r="AI57" s="2" cm="1">
        <f t="array" ref="AI57">DELTAGREEK($B57,100,0.01,AI$44,0.4)</f>
        <v>0.74525903129296556</v>
      </c>
      <c r="AJ57" s="2" cm="1">
        <f t="array" ref="AJ57">DELTAGREEK($B57,100,0.01,AJ$44,0.4)</f>
        <v>0.74603805882687435</v>
      </c>
      <c r="AK57" s="2" cm="1">
        <f t="array" ref="AK57">DELTAGREEK($B57,100,0.01,AK$44,0.4)</f>
        <v>0.74683846126710229</v>
      </c>
      <c r="AL57" s="2" cm="1">
        <f t="array" ref="AL57">DELTAGREEK($B57,100,0.01,AL$44,0.4)</f>
        <v>0.74765775884579777</v>
      </c>
      <c r="AM57" s="2" cm="1">
        <f t="array" ref="AM57">DELTAGREEK($B57,100,0.01,AM$44,0.4)</f>
        <v>0.7484937415469779</v>
      </c>
      <c r="AN57" s="2" cm="1">
        <f t="array" ref="AN57">DELTAGREEK($B57,100,0.01,AN$44,0.4)</f>
        <v>0.7493444351382792</v>
      </c>
      <c r="AO57" s="2" cm="1">
        <f t="array" ref="AO57">DELTAGREEK($B57,100,0.01,AO$44,0.4)</f>
        <v>0.75020807214804053</v>
      </c>
      <c r="AP57" s="2" cm="1">
        <f t="array" ref="AP57">DELTAGREEK($B57,100,0.01,AP$44,0.4)</f>
        <v>0.75108306697001759</v>
      </c>
      <c r="AQ57" s="2" cm="1">
        <f t="array" ref="AQ57">DELTAGREEK($B57,100,0.01,AQ$44,0.4)</f>
        <v>0.75196799442898765</v>
      </c>
      <c r="AR57" s="2" cm="1">
        <f t="array" ref="AR57">DELTAGREEK($B57,100,0.01,AR$44,0.4)</f>
        <v>0.75286157126080089</v>
      </c>
      <c r="AS57" s="2" cm="1">
        <f t="array" ref="AS57">DELTAGREEK($B57,100,0.01,AS$44,0.4)</f>
        <v>0.75376264005681681</v>
      </c>
      <c r="AT57" s="2" cm="1">
        <f t="array" ref="AT57">DELTAGREEK($B57,100,0.01,AT$44,0.4)</f>
        <v>0.75467015530032944</v>
      </c>
      <c r="AU57" s="2" cm="1">
        <f t="array" ref="AU57">DELTAGREEK($B57,100,0.01,AU$44,0.4)</f>
        <v>0.75558317118547014</v>
      </c>
      <c r="AV57" s="2" cm="1">
        <f t="array" ref="AV57">DELTAGREEK($B57,100,0.01,AV$44,0.4)</f>
        <v>0.75650083096026743</v>
      </c>
      <c r="AW57" s="2" cm="1">
        <f t="array" ref="AW57">DELTAGREEK($B57,100,0.01,AW$44,0.4)</f>
        <v>0.75742235757739429</v>
      </c>
      <c r="AX57" s="2" cm="1">
        <f t="array" ref="AX57">DELTAGREEK($B57,100,0.01,AX$44,0.4)</f>
        <v>0.75834704547050091</v>
      </c>
      <c r="AY57" s="2" cm="1">
        <f t="array" ref="AY57">DELTAGREEK($B57,100,0.01,AY$44,0.4)</f>
        <v>0.75927425330239129</v>
      </c>
      <c r="AZ57" s="2" cm="1">
        <f t="array" ref="AZ57">DELTAGREEK($B57,100,0.01,AZ$44,0.4)</f>
        <v>0.76020339755477973</v>
      </c>
    </row>
    <row r="58" spans="1:52" x14ac:dyDescent="0.3">
      <c r="A58" s="2"/>
      <c r="B58" s="2">
        <v>125</v>
      </c>
      <c r="C58" s="2" cm="1">
        <f t="array" ref="C58">DELTAGREEK($B58,100,0.01,C$44,0.4)</f>
        <v>0.96676611016617031</v>
      </c>
      <c r="D58" s="2" cm="1">
        <f t="array" ref="D58">DELTAGREEK($B58,100,0.01,D$44,0.4)</f>
        <v>0.91117618510776843</v>
      </c>
      <c r="E58" s="2" cm="1">
        <f t="array" ref="E58">DELTAGREEK($B58,100,0.01,E$44,0.4)</f>
        <v>0.87321975231296856</v>
      </c>
      <c r="F58" s="2" cm="1">
        <f t="array" ref="F58">DELTAGREEK($B58,100,0.01,F$44,0.4)</f>
        <v>0.84716614531784817</v>
      </c>
      <c r="G58" s="2" cm="1">
        <f t="array" ref="G58">DELTAGREEK($B58,100,0.01,G$44,0.4)</f>
        <v>0.8284430661740726</v>
      </c>
      <c r="H58" s="2" cm="1">
        <f t="array" ref="H58">DELTAGREEK($B58,100,0.01,H$44,0.4)</f>
        <v>0.81446662562292138</v>
      </c>
      <c r="I58" s="2" cm="1">
        <f t="array" ref="I58">DELTAGREEK($B58,100,0.01,I$44,0.4)</f>
        <v>0.80372924169692972</v>
      </c>
      <c r="J58" s="2" cm="1">
        <f t="array" ref="J58">DELTAGREEK($B58,100,0.01,J$44,0.4)</f>
        <v>0.79530038144333182</v>
      </c>
      <c r="K58" s="2" cm="1">
        <f t="array" ref="K58">DELTAGREEK($B58,100,0.01,K$44,0.4)</f>
        <v>0.78857558854601151</v>
      </c>
      <c r="L58" s="2" cm="1">
        <f t="array" ref="L58">DELTAGREEK($B58,100,0.01,L$44,0.4)</f>
        <v>0.78314500611625992</v>
      </c>
      <c r="M58" s="2" cm="1">
        <f t="array" ref="M58">DELTAGREEK($B58,100,0.01,M$44,0.4)</f>
        <v>0.77872062944802334</v>
      </c>
      <c r="N58" s="2" cm="1">
        <f t="array" ref="N58">DELTAGREEK($B58,100,0.01,N$44,0.4)</f>
        <v>0.77509394460053127</v>
      </c>
      <c r="O58" s="2" cm="1">
        <f t="array" ref="O58">DELTAGREEK($B58,100,0.01,O$44,0.4)</f>
        <v>0.77211013138345019</v>
      </c>
      <c r="P58" s="2" cm="1">
        <f t="array" ref="P58">DELTAGREEK($B58,100,0.01,P$44,0.4)</f>
        <v>0.76965173390750141</v>
      </c>
      <c r="Q58" s="2" cm="1">
        <f t="array" ref="Q58">DELTAGREEK($B58,100,0.01,Q$44,0.4)</f>
        <v>0.76762797255215032</v>
      </c>
      <c r="R58" s="2" cm="1">
        <f t="array" ref="R58">DELTAGREEK($B58,100,0.01,R$44,0.4)</f>
        <v>0.76596754215870766</v>
      </c>
      <c r="S58" s="2" cm="1">
        <f t="array" ref="S58">DELTAGREEK($B58,100,0.01,S$44,0.4)</f>
        <v>0.76461363445115649</v>
      </c>
      <c r="T58" s="2" cm="1">
        <f t="array" ref="T58">DELTAGREEK($B58,100,0.01,T$44,0.4)</f>
        <v>0.76352041993585817</v>
      </c>
      <c r="U58" s="2" cm="1">
        <f t="array" ref="U58">DELTAGREEK($B58,100,0.01,U$44,0.4)</f>
        <v>0.76265051156835906</v>
      </c>
      <c r="V58" s="2" cm="1">
        <f t="array" ref="V58">DELTAGREEK($B58,100,0.01,V$44,0.4)</f>
        <v>0.7619731036081745</v>
      </c>
      <c r="W58" s="2" cm="1">
        <f t="array" ref="W58">DELTAGREEK($B58,100,0.01,W$44,0.4)</f>
        <v>0.76146258410227097</v>
      </c>
      <c r="X58" s="2" cm="1">
        <f t="array" ref="X58">DELTAGREEK($B58,100,0.01,X$44,0.4)</f>
        <v>0.76109748557842427</v>
      </c>
      <c r="Y58" s="2" cm="1">
        <f t="array" ref="Y58">DELTAGREEK($B58,100,0.01,Y$44,0.4)</f>
        <v>0.76085968116879199</v>
      </c>
      <c r="Z58" s="2" cm="1">
        <f t="array" ref="Z58">DELTAGREEK($B58,100,0.01,Z$44,0.4)</f>
        <v>0.7607337614598676</v>
      </c>
      <c r="AA58" s="2" cm="1">
        <f t="array" ref="AA58">DELTAGREEK($B58,100,0.01,AA$44,0.4)</f>
        <v>0.76070654621025924</v>
      </c>
      <c r="AB58" s="2" cm="1">
        <f t="array" ref="AB58">DELTAGREEK($B58,100,0.01,AB$44,0.4)</f>
        <v>0.76076669795097018</v>
      </c>
      <c r="AC58" s="2" cm="1">
        <f t="array" ref="AC58">DELTAGREEK($B58,100,0.01,AC$44,0.4)</f>
        <v>0.76090441341891479</v>
      </c>
      <c r="AD58" s="2" cm="1">
        <f t="array" ref="AD58">DELTAGREEK($B58,100,0.01,AD$44,0.4)</f>
        <v>0.76111117506969139</v>
      </c>
      <c r="AE58" s="2" cm="1">
        <f t="array" ref="AE58">DELTAGREEK($B58,100,0.01,AE$44,0.4)</f>
        <v>0.76137954941128783</v>
      </c>
      <c r="AF58" s="2" cm="1">
        <f t="array" ref="AF58">DELTAGREEK($B58,100,0.01,AF$44,0.4)</f>
        <v>0.7617030221515525</v>
      </c>
      <c r="AG58" s="2" cm="1">
        <f t="array" ref="AG58">DELTAGREEK($B58,100,0.01,AG$44,0.4)</f>
        <v>0.76207586253102577</v>
      </c>
      <c r="AH58" s="2" cm="1">
        <f t="array" ref="AH58">DELTAGREEK($B58,100,0.01,AH$44,0.4)</f>
        <v>0.76249301097218136</v>
      </c>
      <c r="AI58" s="2" cm="1">
        <f t="array" ref="AI58">DELTAGREEK($B58,100,0.01,AI$44,0.4)</f>
        <v>0.76294998549075188</v>
      </c>
      <c r="AJ58" s="2" cm="1">
        <f t="array" ref="AJ58">DELTAGREEK($B58,100,0.01,AJ$44,0.4)</f>
        <v>0.7634428033064018</v>
      </c>
      <c r="AK58" s="2" cm="1">
        <f t="array" ref="AK58">DELTAGREEK($B58,100,0.01,AK$44,0.4)</f>
        <v>0.76396791484458604</v>
      </c>
      <c r="AL58" s="2" cm="1">
        <f t="array" ref="AL58">DELTAGREEK($B58,100,0.01,AL$44,0.4)</f>
        <v>0.76452214790045381</v>
      </c>
      <c r="AM58" s="2" cm="1">
        <f t="array" ref="AM58">DELTAGREEK($B58,100,0.01,AM$44,0.4)</f>
        <v>0.76510266018343398</v>
      </c>
      <c r="AN58" s="2" cm="1">
        <f t="array" ref="AN58">DELTAGREEK($B58,100,0.01,AN$44,0.4)</f>
        <v>0.76570689880999643</v>
      </c>
      <c r="AO58" s="2" cm="1">
        <f t="array" ref="AO58">DELTAGREEK($B58,100,0.01,AO$44,0.4)</f>
        <v>0.76633256558574914</v>
      </c>
      <c r="AP58" s="2" cm="1">
        <f t="array" ref="AP58">DELTAGREEK($B58,100,0.01,AP$44,0.4)</f>
        <v>0.76697758713414288</v>
      </c>
      <c r="AQ58" s="2" cm="1">
        <f t="array" ref="AQ58">DELTAGREEK($B58,100,0.01,AQ$44,0.4)</f>
        <v>0.76764008910076664</v>
      </c>
      <c r="AR58" s="2" cm="1">
        <f t="array" ref="AR58">DELTAGREEK($B58,100,0.01,AR$44,0.4)</f>
        <v>0.76831837379946522</v>
      </c>
      <c r="AS58" s="2" cm="1">
        <f t="array" ref="AS58">DELTAGREEK($B58,100,0.01,AS$44,0.4)</f>
        <v>0.76901090077682088</v>
      </c>
      <c r="AT58" s="2" cm="1">
        <f t="array" ref="AT58">DELTAGREEK($B58,100,0.01,AT$44,0.4)</f>
        <v>0.76971626986067621</v>
      </c>
      <c r="AU58" s="2" cm="1">
        <f t="array" ref="AU58">DELTAGREEK($B58,100,0.01,AU$44,0.4)</f>
        <v>0.77043320633076628</v>
      </c>
      <c r="AV58" s="2" cm="1">
        <f t="array" ref="AV58">DELTAGREEK($B58,100,0.01,AV$44,0.4)</f>
        <v>0.771160547908599</v>
      </c>
      <c r="AW58" s="2" cm="1">
        <f t="array" ref="AW58">DELTAGREEK($B58,100,0.01,AW$44,0.4)</f>
        <v>0.77189723331215376</v>
      </c>
      <c r="AX58" s="2" cm="1">
        <f t="array" ref="AX58">DELTAGREEK($B58,100,0.01,AX$44,0.4)</f>
        <v>0.77264229216084157</v>
      </c>
      <c r="AY58" s="2" cm="1">
        <f t="array" ref="AY58">DELTAGREEK($B58,100,0.01,AY$44,0.4)</f>
        <v>0.77339483604914516</v>
      </c>
      <c r="AZ58" s="2" cm="1">
        <f t="array" ref="AZ58">DELTAGREEK($B58,100,0.01,AZ$44,0.4)</f>
        <v>0.77415405063473164</v>
      </c>
    </row>
    <row r="59" spans="1:52" x14ac:dyDescent="0.3">
      <c r="A59" s="2"/>
      <c r="B59" s="2">
        <v>130</v>
      </c>
      <c r="C59" s="2" cm="1">
        <f t="array" ref="C59">DELTAGREEK($B59,100,0.01,C$44,0.4)</f>
        <v>0.98403647973885566</v>
      </c>
      <c r="D59" s="2" cm="1">
        <f t="array" ref="D59">DELTAGREEK($B59,100,0.01,D$44,0.4)</f>
        <v>0.94147582473157476</v>
      </c>
      <c r="E59" s="2" cm="1">
        <f t="array" ref="E59">DELTAGREEK($B59,100,0.01,E$44,0.4)</f>
        <v>0.90670948712270572</v>
      </c>
      <c r="F59" s="2" cm="1">
        <f t="array" ref="F59">DELTAGREEK($B59,100,0.01,F$44,0.4)</f>
        <v>0.8808782060892546</v>
      </c>
      <c r="G59" s="2" cm="1">
        <f t="array" ref="G59">DELTAGREEK($B59,100,0.01,G$44,0.4)</f>
        <v>0.86141458089990475</v>
      </c>
      <c r="H59" s="2" cm="1">
        <f t="array" ref="H59">DELTAGREEK($B59,100,0.01,H$44,0.4)</f>
        <v>0.84638729515909628</v>
      </c>
      <c r="I59" s="2" cm="1">
        <f t="array" ref="I59">DELTAGREEK($B59,100,0.01,I$44,0.4)</f>
        <v>0.83452737778348751</v>
      </c>
      <c r="J59" s="2" cm="1">
        <f t="array" ref="J59">DELTAGREEK($B59,100,0.01,J$44,0.4)</f>
        <v>0.82499671068322522</v>
      </c>
      <c r="K59" s="2" cm="1">
        <f t="array" ref="K59">DELTAGREEK($B59,100,0.01,K$44,0.4)</f>
        <v>0.81722605676269411</v>
      </c>
      <c r="L59" s="2" cm="1">
        <f t="array" ref="L59">DELTAGREEK($B59,100,0.01,L$44,0.4)</f>
        <v>0.81081691168019066</v>
      </c>
      <c r="M59" s="2" cm="1">
        <f t="array" ref="M59">DELTAGREEK($B59,100,0.01,M$44,0.4)</f>
        <v>0.80548237650641141</v>
      </c>
      <c r="N59" s="2" cm="1">
        <f t="array" ref="N59">DELTAGREEK($B59,100,0.01,N$44,0.4)</f>
        <v>0.80101071527298862</v>
      </c>
      <c r="O59" s="2" cm="1">
        <f t="array" ref="O59">DELTAGREEK($B59,100,0.01,O$44,0.4)</f>
        <v>0.79724223269328021</v>
      </c>
      <c r="P59" s="2" cm="1">
        <f t="array" ref="P59">DELTAGREEK($B59,100,0.01,P$44,0.4)</f>
        <v>0.79405417296698322</v>
      </c>
      <c r="Q59" s="2" cm="1">
        <f t="array" ref="Q59">DELTAGREEK($B59,100,0.01,Q$44,0.4)</f>
        <v>0.79135058806995129</v>
      </c>
      <c r="R59" s="2" cm="1">
        <f t="array" ref="R59">DELTAGREEK($B59,100,0.01,R$44,0.4)</f>
        <v>0.78905537183453434</v>
      </c>
      <c r="S59" s="2" cm="1">
        <f t="array" ref="S59">DELTAGREEK($B59,100,0.01,S$44,0.4)</f>
        <v>0.78710736387800817</v>
      </c>
      <c r="T59" s="2" cm="1">
        <f t="array" ref="T59">DELTAGREEK($B59,100,0.01,T$44,0.4)</f>
        <v>0.78545683943597688</v>
      </c>
      <c r="U59" s="2" cm="1">
        <f t="array" ref="U59">DELTAGREEK($B59,100,0.01,U$44,0.4)</f>
        <v>0.78406294746807415</v>
      </c>
      <c r="V59" s="2" cm="1">
        <f t="array" ref="V59">DELTAGREEK($B59,100,0.01,V$44,0.4)</f>
        <v>0.78289181047996426</v>
      </c>
      <c r="W59" s="2" cm="1">
        <f t="array" ref="W59">DELTAGREEK($B59,100,0.01,W$44,0.4)</f>
        <v>0.78191509442255258</v>
      </c>
      <c r="X59" s="2" cm="1">
        <f t="array" ref="X59">DELTAGREEK($B59,100,0.01,X$44,0.4)</f>
        <v>0.78110891800510263</v>
      </c>
      <c r="Y59" s="2" cm="1">
        <f t="array" ref="Y59">DELTAGREEK($B59,100,0.01,Y$44,0.4)</f>
        <v>0.7804530107430816</v>
      </c>
      <c r="Z59" s="2" cm="1">
        <f t="array" ref="Z59">DELTAGREEK($B59,100,0.01,Z$44,0.4)</f>
        <v>0.77993005578106667</v>
      </c>
      <c r="AA59" s="2" cm="1">
        <f t="array" ref="AA59">DELTAGREEK($B59,100,0.01,AA$44,0.4)</f>
        <v>0.77952517170010704</v>
      </c>
      <c r="AB59" s="2" cm="1">
        <f t="array" ref="AB59">DELTAGREEK($B59,100,0.01,AB$44,0.4)</f>
        <v>0.77922550007377089</v>
      </c>
      <c r="AC59" s="2" cm="1">
        <f t="array" ref="AC59">DELTAGREEK($B59,100,0.01,AC$44,0.4)</f>
        <v>0.7790198743421799</v>
      </c>
      <c r="AD59" s="2" cm="1">
        <f t="array" ref="AD59">DELTAGREEK($B59,100,0.01,AD$44,0.4)</f>
        <v>0.77889855183396262</v>
      </c>
      <c r="AE59" s="2" cm="1">
        <f t="array" ref="AE59">DELTAGREEK($B59,100,0.01,AE$44,0.4)</f>
        <v>0.77885299527460949</v>
      </c>
      <c r="AF59" s="2" cm="1">
        <f t="array" ref="AF59">DELTAGREEK($B59,100,0.01,AF$44,0.4)</f>
        <v>0.77887569340516616</v>
      </c>
      <c r="AG59" s="2" cm="1">
        <f t="array" ref="AG59">DELTAGREEK($B59,100,0.01,AG$44,0.4)</f>
        <v>0.77896001275594895</v>
      </c>
      <c r="AH59" s="2" cm="1">
        <f t="array" ref="AH59">DELTAGREEK($B59,100,0.01,AH$44,0.4)</f>
        <v>0.77910007442202889</v>
      </c>
      <c r="AI59" s="2" cm="1">
        <f t="array" ref="AI59">DELTAGREEK($B59,100,0.01,AI$44,0.4)</f>
        <v>0.7792906510417279</v>
      </c>
      <c r="AJ59" s="2" cm="1">
        <f t="array" ref="AJ59">DELTAGREEK($B59,100,0.01,AJ$44,0.4)</f>
        <v>0.77952708020669381</v>
      </c>
      <c r="AK59" s="2" cm="1">
        <f t="array" ref="AK59">DELTAGREEK($B59,100,0.01,AK$44,0.4)</f>
        <v>0.77980519131791826</v>
      </c>
      <c r="AL59" s="2" cm="1">
        <f t="array" ref="AL59">DELTAGREEK($B59,100,0.01,AL$44,0.4)</f>
        <v>0.78012124350794576</v>
      </c>
      <c r="AM59" s="2" cm="1">
        <f t="array" ref="AM59">DELTAGREEK($B59,100,0.01,AM$44,0.4)</f>
        <v>0.78047187272019247</v>
      </c>
      <c r="AN59" s="2" cm="1">
        <f t="array" ref="AN59">DELTAGREEK($B59,100,0.01,AN$44,0.4)</f>
        <v>0.78085404640453582</v>
      </c>
      <c r="AO59" s="2" cm="1">
        <f t="array" ref="AO59">DELTAGREEK($B59,100,0.01,AO$44,0.4)</f>
        <v>0.78126502457837732</v>
      </c>
      <c r="AP59" s="2" cm="1">
        <f t="array" ref="AP59">DELTAGREEK($B59,100,0.01,AP$44,0.4)</f>
        <v>0.78170232623227709</v>
      </c>
      <c r="AQ59" s="2" cm="1">
        <f t="array" ref="AQ59">DELTAGREEK($B59,100,0.01,AQ$44,0.4)</f>
        <v>0.78216370024258719</v>
      </c>
      <c r="AR59" s="2" cm="1">
        <f t="array" ref="AR59">DELTAGREEK($B59,100,0.01,AR$44,0.4)</f>
        <v>0.78264710010053817</v>
      </c>
      <c r="AS59" s="2" cm="1">
        <f t="array" ref="AS59">DELTAGREEK($B59,100,0.01,AS$44,0.4)</f>
        <v>0.78315066188578841</v>
      </c>
      <c r="AT59" s="2" cm="1">
        <f t="array" ref="AT59">DELTAGREEK($B59,100,0.01,AT$44,0.4)</f>
        <v>0.78367268500853671</v>
      </c>
      <c r="AU59" s="2" cm="1">
        <f t="array" ref="AU59">DELTAGREEK($B59,100,0.01,AU$44,0.4)</f>
        <v>0.78421161532257289</v>
      </c>
      <c r="AV59" s="2" cm="1">
        <f t="array" ref="AV59">DELTAGREEK($B59,100,0.01,AV$44,0.4)</f>
        <v>0.78476603027568803</v>
      </c>
      <c r="AW59" s="2" cm="1">
        <f t="array" ref="AW59">DELTAGREEK($B59,100,0.01,AW$44,0.4)</f>
        <v>0.78533462581652158</v>
      </c>
      <c r="AX59" s="2" cm="1">
        <f t="array" ref="AX59">DELTAGREEK($B59,100,0.01,AX$44,0.4)</f>
        <v>0.78591620482038993</v>
      </c>
      <c r="AY59" s="2" cm="1">
        <f t="array" ref="AY59">DELTAGREEK($B59,100,0.01,AY$44,0.4)</f>
        <v>0.78650966683267165</v>
      </c>
      <c r="AZ59" s="2" cm="1">
        <f t="array" ref="AZ59">DELTAGREEK($B59,100,0.01,AZ$44,0.4)</f>
        <v>0.78711399895831202</v>
      </c>
    </row>
    <row r="60" spans="1:52" x14ac:dyDescent="0.3">
      <c r="A60" s="2"/>
      <c r="B60" s="2">
        <v>135</v>
      </c>
      <c r="C60" s="2" cm="1">
        <f t="array" ref="C60">DELTAGREEK($B60,100,0.01,C$44,0.4)</f>
        <v>0.99273097066954352</v>
      </c>
      <c r="D60" s="2" cm="1">
        <f t="array" ref="D60">DELTAGREEK($B60,100,0.01,D$44,0.4)</f>
        <v>0.96231931456995112</v>
      </c>
      <c r="E60" s="2" cm="1">
        <f t="array" ref="E60">DELTAGREEK($B60,100,0.01,E$44,0.4)</f>
        <v>0.93228420294986081</v>
      </c>
      <c r="F60" s="2" cm="1">
        <f t="array" ref="F60">DELTAGREEK($B60,100,0.01,F$44,0.4)</f>
        <v>0.90800507158858346</v>
      </c>
      <c r="G60" s="2" cm="1">
        <f t="array" ref="G60">DELTAGREEK($B60,100,0.01,G$44,0.4)</f>
        <v>0.88879200936476455</v>
      </c>
      <c r="H60" s="2" cm="1">
        <f t="array" ref="H60">DELTAGREEK($B60,100,0.01,H$44,0.4)</f>
        <v>0.87345322872898401</v>
      </c>
      <c r="I60" s="2" cm="1">
        <f t="array" ref="I60">DELTAGREEK($B60,100,0.01,I$44,0.4)</f>
        <v>0.86103529530746403</v>
      </c>
      <c r="J60" s="2" cm="1">
        <f t="array" ref="J60">DELTAGREEK($B60,100,0.01,J$44,0.4)</f>
        <v>0.85084490557274406</v>
      </c>
      <c r="K60" s="2" cm="1">
        <f t="array" ref="K60">DELTAGREEK($B60,100,0.01,K$44,0.4)</f>
        <v>0.84238268981732101</v>
      </c>
      <c r="L60" s="2" cm="1">
        <f t="array" ref="L60">DELTAGREEK($B60,100,0.01,L$44,0.4)</f>
        <v>0.83528471396815041</v>
      </c>
      <c r="M60" s="2" cm="1">
        <f t="array" ref="M60">DELTAGREEK($B60,100,0.01,M$44,0.4)</f>
        <v>0.82928111351080591</v>
      </c>
      <c r="N60" s="2" cm="1">
        <f t="array" ref="N60">DELTAGREEK($B60,100,0.01,N$44,0.4)</f>
        <v>0.82416813446055315</v>
      </c>
      <c r="O60" s="2" cm="1">
        <f t="array" ref="O60">DELTAGREEK($B60,100,0.01,O$44,0.4)</f>
        <v>0.81978927611550167</v>
      </c>
      <c r="P60" s="2" cm="1">
        <f t="array" ref="P60">DELTAGREEK($B60,100,0.01,P$44,0.4)</f>
        <v>0.81602242224032828</v>
      </c>
      <c r="Q60" s="2" cm="1">
        <f t="array" ref="Q60">DELTAGREEK($B60,100,0.01,Q$44,0.4)</f>
        <v>0.81277091427294867</v>
      </c>
      <c r="R60" s="2" cm="1">
        <f t="array" ref="R60">DELTAGREEK($B60,100,0.01,R$44,0.4)</f>
        <v>0.80995725012782704</v>
      </c>
      <c r="S60" s="2" cm="1">
        <f t="array" ref="S60">DELTAGREEK($B60,100,0.01,S$44,0.4)</f>
        <v>0.80751855958604368</v>
      </c>
      <c r="T60" s="2" cm="1">
        <f t="array" ref="T60">DELTAGREEK($B60,100,0.01,T$44,0.4)</f>
        <v>0.80540330225176304</v>
      </c>
      <c r="U60" s="2" cm="1">
        <f t="array" ref="U60">DELTAGREEK($B60,100,0.01,U$44,0.4)</f>
        <v>0.80356882100026894</v>
      </c>
      <c r="V60" s="2" cm="1">
        <f t="array" ref="V60">DELTAGREEK($B60,100,0.01,V$44,0.4)</f>
        <v>0.80197950371166271</v>
      </c>
      <c r="W60" s="2" cm="1">
        <f t="array" ref="W60">DELTAGREEK($B60,100,0.01,W$44,0.4)</f>
        <v>0.80060538408493487</v>
      </c>
      <c r="X60" s="2" cm="1">
        <f t="array" ref="X60">DELTAGREEK($B60,100,0.01,X$44,0.4)</f>
        <v>0.79942106388775225</v>
      </c>
      <c r="Y60" s="2" cm="1">
        <f t="array" ref="Y60">DELTAGREEK($B60,100,0.01,Y$44,0.4)</f>
        <v>0.79840487362093215</v>
      </c>
      <c r="Z60" s="2" cm="1">
        <f t="array" ref="Z60">DELTAGREEK($B60,100,0.01,Z$44,0.4)</f>
        <v>0.79753821218461463</v>
      </c>
      <c r="AA60" s="2" cm="1">
        <f t="array" ref="AA60">DELTAGREEK($B60,100,0.01,AA$44,0.4)</f>
        <v>0.79680502246680474</v>
      </c>
      <c r="AB60" s="2" cm="1">
        <f t="array" ref="AB60">DELTAGREEK($B60,100,0.01,AB$44,0.4)</f>
        <v>0.79619137123290107</v>
      </c>
      <c r="AC60" s="2" cm="1">
        <f t="array" ref="AC60">DELTAGREEK($B60,100,0.01,AC$44,0.4)</f>
        <v>0.79568510983784535</v>
      </c>
      <c r="AD60" s="2" cm="1">
        <f t="array" ref="AD60">DELTAGREEK($B60,100,0.01,AD$44,0.4)</f>
        <v>0.7952755981409293</v>
      </c>
      <c r="AE60" s="2" cm="1">
        <f t="array" ref="AE60">DELTAGREEK($B60,100,0.01,AE$44,0.4)</f>
        <v>0.79495347826680907</v>
      </c>
      <c r="AF60" s="2" cm="1">
        <f t="array" ref="AF60">DELTAGREEK($B60,100,0.01,AF$44,0.4)</f>
        <v>0.79471048799277033</v>
      </c>
      <c r="AG60" s="2" cm="1">
        <f t="array" ref="AG60">DELTAGREEK($B60,100,0.01,AG$44,0.4)</f>
        <v>0.79453930587319721</v>
      </c>
      <c r="AH60" s="2" cm="1">
        <f t="array" ref="AH60">DELTAGREEK($B60,100,0.01,AH$44,0.4)</f>
        <v>0.79443342196103739</v>
      </c>
      <c r="AI60" s="2" cm="1">
        <f t="array" ref="AI60">DELTAGREEK($B60,100,0.01,AI$44,0.4)</f>
        <v>0.79438702930999938</v>
      </c>
      <c r="AJ60" s="2" cm="1">
        <f t="array" ref="AJ60">DELTAGREEK($B60,100,0.01,AJ$44,0.4)</f>
        <v>0.79439493245200921</v>
      </c>
      <c r="AK60" s="2" cm="1">
        <f t="array" ref="AK60">DELTAGREEK($B60,100,0.01,AK$44,0.4)</f>
        <v>0.79445246982234052</v>
      </c>
      <c r="AL60" s="2" cm="1">
        <f t="array" ref="AL60">DELTAGREEK($B60,100,0.01,AL$44,0.4)</f>
        <v>0.79455544770800479</v>
      </c>
      <c r="AM60" s="2" cm="1">
        <f t="array" ref="AM60">DELTAGREEK($B60,100,0.01,AM$44,0.4)</f>
        <v>0.79470008376603218</v>
      </c>
      <c r="AN60" s="2" cm="1">
        <f t="array" ref="AN60">DELTAGREEK($B60,100,0.01,AN$44,0.4)</f>
        <v>0.79488295852861235</v>
      </c>
      <c r="AO60" s="2" cm="1">
        <f t="array" ref="AO60">DELTAGREEK($B60,100,0.01,AO$44,0.4)</f>
        <v>0.79510097360510379</v>
      </c>
      <c r="AP60" s="2" cm="1">
        <f t="array" ref="AP60">DELTAGREEK($B60,100,0.01,AP$44,0.4)</f>
        <v>0.79535131552420124</v>
      </c>
      <c r="AQ60" s="2" cm="1">
        <f t="array" ref="AQ60">DELTAGREEK($B60,100,0.01,AQ$44,0.4)</f>
        <v>0.79563142434632439</v>
      </c>
      <c r="AR60" s="2" cm="1">
        <f t="array" ref="AR60">DELTAGREEK($B60,100,0.01,AR$44,0.4)</f>
        <v>0.79593896632666783</v>
      </c>
      <c r="AS60" s="2" cm="1">
        <f t="array" ref="AS60">DELTAGREEK($B60,100,0.01,AS$44,0.4)</f>
        <v>0.79627181003104042</v>
      </c>
      <c r="AT60" s="2" cm="1">
        <f t="array" ref="AT60">DELTAGREEK($B60,100,0.01,AT$44,0.4)</f>
        <v>0.79662800540559553</v>
      </c>
      <c r="AU60" s="2" cm="1">
        <f t="array" ref="AU60">DELTAGREEK($B60,100,0.01,AU$44,0.4)</f>
        <v>0.79700576538243539</v>
      </c>
      <c r="AV60" s="2" cm="1">
        <f t="array" ref="AV60">DELTAGREEK($B60,100,0.01,AV$44,0.4)</f>
        <v>0.7974034496694653</v>
      </c>
      <c r="AW60" s="2" cm="1">
        <f t="array" ref="AW60">DELTAGREEK($B60,100,0.01,AW$44,0.4)</f>
        <v>0.79781955042761199</v>
      </c>
      <c r="AX60" s="2" cm="1">
        <f t="array" ref="AX60">DELTAGREEK($B60,100,0.01,AX$44,0.4)</f>
        <v>0.79825267958383783</v>
      </c>
      <c r="AY60" s="2" cm="1">
        <f t="array" ref="AY60">DELTAGREEK($B60,100,0.01,AY$44,0.4)</f>
        <v>0.79870155756605188</v>
      </c>
      <c r="AZ60" s="2" cm="1">
        <f t="array" ref="AZ60">DELTAGREEK($B60,100,0.01,AZ$44,0.4)</f>
        <v>0.79916500327744178</v>
      </c>
    </row>
    <row r="61" spans="1:52" x14ac:dyDescent="0.3">
      <c r="A61" s="2"/>
      <c r="B61" s="2">
        <v>140</v>
      </c>
      <c r="C61" s="2" cm="1">
        <f t="array" ref="C61">DELTAGREEK($B61,100,0.01,C$44,0.4)</f>
        <v>0.99684477113655101</v>
      </c>
      <c r="D61" s="2" cm="1">
        <f t="array" ref="D61">DELTAGREEK($B61,100,0.01,D$44,0.4)</f>
        <v>0.97623574851505368</v>
      </c>
      <c r="E61" s="2" cm="1">
        <f t="array" ref="E61">DELTAGREEK($B61,100,0.01,E$44,0.4)</f>
        <v>0.95144373521317527</v>
      </c>
      <c r="F61" s="2" cm="1">
        <f t="array" ref="F61">DELTAGREEK($B61,100,0.01,F$44,0.4)</f>
        <v>0.92953353906359115</v>
      </c>
      <c r="G61" s="2" cm="1">
        <f t="array" ref="G61">DELTAGREEK($B61,100,0.01,G$44,0.4)</f>
        <v>0.91128461684100237</v>
      </c>
      <c r="H61" s="2" cm="1">
        <f t="array" ref="H61">DELTAGREEK($B61,100,0.01,H$44,0.4)</f>
        <v>0.89620927302909015</v>
      </c>
      <c r="I61" s="2" cm="1">
        <f t="array" ref="I61">DELTAGREEK($B61,100,0.01,I$44,0.4)</f>
        <v>0.88369286259387581</v>
      </c>
      <c r="J61" s="2" cm="1">
        <f t="array" ref="J61">DELTAGREEK($B61,100,0.01,J$44,0.4)</f>
        <v>0.87321366704250614</v>
      </c>
      <c r="K61" s="2" cm="1">
        <f t="array" ref="K61">DELTAGREEK($B61,100,0.01,K$44,0.4)</f>
        <v>0.86436355159317801</v>
      </c>
      <c r="L61" s="2" cm="1">
        <f t="array" ref="L61">DELTAGREEK($B61,100,0.01,L$44,0.4)</f>
        <v>0.85682899304336257</v>
      </c>
      <c r="M61" s="2" cm="1">
        <f t="array" ref="M61">DELTAGREEK($B61,100,0.01,M$44,0.4)</f>
        <v>0.8503687471154171</v>
      </c>
      <c r="N61" s="2" cm="1">
        <f t="array" ref="N61">DELTAGREEK($B61,100,0.01,N$44,0.4)</f>
        <v>0.84479556165893566</v>
      </c>
      <c r="O61" s="2" cm="1">
        <f t="array" ref="O61">DELTAGREEK($B61,100,0.01,O$44,0.4)</f>
        <v>0.8399624713823034</v>
      </c>
      <c r="P61" s="2" cm="1">
        <f t="array" ref="P61">DELTAGREEK($B61,100,0.01,P$44,0.4)</f>
        <v>0.83575278553498977</v>
      </c>
      <c r="Q61" s="2" cm="1">
        <f t="array" ref="Q61">DELTAGREEK($B61,100,0.01,Q$44,0.4)</f>
        <v>0.83207279933994505</v>
      </c>
      <c r="R61" s="2" cm="1">
        <f t="array" ref="R61">DELTAGREEK($B61,100,0.01,R$44,0.4)</f>
        <v>0.82884645927256206</v>
      </c>
      <c r="S61" s="2" cm="1">
        <f t="array" ref="S61">DELTAGREEK($B61,100,0.01,S$44,0.4)</f>
        <v>0.82601142211036538</v>
      </c>
      <c r="T61" s="2" cm="1">
        <f t="array" ref="T61">DELTAGREEK($B61,100,0.01,T$44,0.4)</f>
        <v>0.82351611210254883</v>
      </c>
      <c r="U61" s="2" cm="1">
        <f t="array" ref="U61">DELTAGREEK($B61,100,0.01,U$44,0.4)</f>
        <v>0.82131749878169558</v>
      </c>
      <c r="V61" s="2" cm="1">
        <f t="array" ref="V61">DELTAGREEK($B61,100,0.01,V$44,0.4)</f>
        <v>0.81937940032948497</v>
      </c>
      <c r="W61" s="2" cm="1">
        <f t="array" ref="W61">DELTAGREEK($B61,100,0.01,W$44,0.4)</f>
        <v>0.81767117435656411</v>
      </c>
      <c r="X61" s="2" cm="1">
        <f t="array" ref="X61">DELTAGREEK($B61,100,0.01,X$44,0.4)</f>
        <v>0.81616669737031899</v>
      </c>
      <c r="Y61" s="2" cm="1">
        <f t="array" ref="Y61">DELTAGREEK($B61,100,0.01,Y$44,0.4)</f>
        <v>0.81484356164927041</v>
      </c>
      <c r="Z61" s="2" cm="1">
        <f t="array" ref="Z61">DELTAGREEK($B61,100,0.01,Z$44,0.4)</f>
        <v>0.81368243751686387</v>
      </c>
      <c r="AA61" s="2" cm="1">
        <f t="array" ref="AA61">DELTAGREEK($B61,100,0.01,AA$44,0.4)</f>
        <v>0.81266656267410953</v>
      </c>
      <c r="AB61" s="2" cm="1">
        <f t="array" ref="AB61">DELTAGREEK($B61,100,0.01,AB$44,0.4)</f>
        <v>0.81178133003915598</v>
      </c>
      <c r="AC61" s="2" cm="1">
        <f t="array" ref="AC61">DELTAGREEK($B61,100,0.01,AC$44,0.4)</f>
        <v>0.8110139526240302</v>
      </c>
      <c r="AD61" s="2" cm="1">
        <f t="array" ref="AD61">DELTAGREEK($B61,100,0.01,AD$44,0.4)</f>
        <v>0.81035318915388099</v>
      </c>
      <c r="AE61" s="2" cm="1">
        <f t="array" ref="AE61">DELTAGREEK($B61,100,0.01,AE$44,0.4)</f>
        <v>0.80978911795217123</v>
      </c>
      <c r="AF61" s="2" cm="1">
        <f t="array" ref="AF61">DELTAGREEK($B61,100,0.01,AF$44,0.4)</f>
        <v>0.80931294945842069</v>
      </c>
      <c r="AG61" s="2" cm="1">
        <f t="array" ref="AG61">DELTAGREEK($B61,100,0.01,AG$44,0.4)</f>
        <v>0.80891686988108003</v>
      </c>
      <c r="AH61" s="2" cm="1">
        <f t="array" ref="AH61">DELTAGREEK($B61,100,0.01,AH$44,0.4)</f>
        <v>0.80859391010644566</v>
      </c>
      <c r="AI61" s="2" cm="1">
        <f t="array" ref="AI61">DELTAGREEK($B61,100,0.01,AI$44,0.4)</f>
        <v>0.80833783522058178</v>
      </c>
      <c r="AJ61" s="2" cm="1">
        <f t="array" ref="AJ61">DELTAGREEK($B61,100,0.01,AJ$44,0.4)</f>
        <v>0.80814305095254135</v>
      </c>
      <c r="AK61" s="2" cm="1">
        <f t="array" ref="AK61">DELTAGREEK($B61,100,0.01,AK$44,0.4)</f>
        <v>0.80800452408474011</v>
      </c>
      <c r="AL61" s="2" cm="1">
        <f t="array" ref="AL61">DELTAGREEK($B61,100,0.01,AL$44,0.4)</f>
        <v>0.807917714452137</v>
      </c>
      <c r="AM61" s="2" cm="1">
        <f t="array" ref="AM61">DELTAGREEK($B61,100,0.01,AM$44,0.4)</f>
        <v>0.80787851660436605</v>
      </c>
      <c r="AN61" s="2" cm="1">
        <f t="array" ref="AN61">DELTAGREEK($B61,100,0.01,AN$44,0.4)</f>
        <v>0.80788320956280235</v>
      </c>
      <c r="AO61" s="2" cm="1">
        <f t="array" ref="AO61">DELTAGREEK($B61,100,0.01,AO$44,0.4)</f>
        <v>0.80792841338921162</v>
      </c>
      <c r="AP61" s="2" cm="1">
        <f t="array" ref="AP61">DELTAGREEK($B61,100,0.01,AP$44,0.4)</f>
        <v>0.80801105151040675</v>
      </c>
      <c r="AQ61" s="2" cm="1">
        <f t="array" ref="AQ61">DELTAGREEK($B61,100,0.01,AQ$44,0.4)</f>
        <v>0.80812831792655304</v>
      </c>
      <c r="AR61" s="2" cm="1">
        <f t="array" ref="AR61">DELTAGREEK($B61,100,0.01,AR$44,0.4)</f>
        <v>0.80827764857893181</v>
      </c>
      <c r="AS61" s="2" cm="1">
        <f t="array" ref="AS61">DELTAGREEK($B61,100,0.01,AS$44,0.4)</f>
        <v>0.80845669627337968</v>
      </c>
      <c r="AT61" s="2" cm="1">
        <f t="array" ref="AT61">DELTAGREEK($B61,100,0.01,AT$44,0.4)</f>
        <v>0.80866330865392544</v>
      </c>
      <c r="AU61" s="2" cm="1">
        <f t="array" ref="AU61">DELTAGREEK($B61,100,0.01,AU$44,0.4)</f>
        <v>0.80889550880179084</v>
      </c>
      <c r="AV61" s="2" cm="1">
        <f t="array" ref="AV61">DELTAGREEK($B61,100,0.01,AV$44,0.4)</f>
        <v>0.80915147810134336</v>
      </c>
      <c r="AW61" s="2" cm="1">
        <f t="array" ref="AW61">DELTAGREEK($B61,100,0.01,AW$44,0.4)</f>
        <v>0.80942954106953913</v>
      </c>
      <c r="AX61" s="2" cm="1">
        <f t="array" ref="AX61">DELTAGREEK($B61,100,0.01,AX$44,0.4)</f>
        <v>0.80972815189102654</v>
      </c>
      <c r="AY61" s="2" cm="1">
        <f t="array" ref="AY61">DELTAGREEK($B61,100,0.01,AY$44,0.4)</f>
        <v>0.81004588243912845</v>
      </c>
      <c r="AZ61" s="2" cm="1">
        <f t="array" ref="AZ61">DELTAGREEK($B61,100,0.01,AZ$44,0.4)</f>
        <v>0.81038141159475252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B16E2-C6BC-40A8-988D-800F8A9CFE77}">
  <sheetPr codeName="Sheet3"/>
  <dimension ref="A1:AZ61"/>
  <sheetViews>
    <sheetView topLeftCell="AP3" workbookViewId="0">
      <selection activeCell="AQ3" sqref="AQ3"/>
    </sheetView>
  </sheetViews>
  <sheetFormatPr defaultRowHeight="14.4" x14ac:dyDescent="0.3"/>
  <cols>
    <col min="3" max="3" width="12" bestFit="1" customWidth="1"/>
  </cols>
  <sheetData>
    <row r="1" spans="1:52" x14ac:dyDescent="0.3">
      <c r="A1" s="2" t="s">
        <v>13</v>
      </c>
      <c r="B1" s="2"/>
      <c r="C1" s="2" t="s">
        <v>12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</row>
    <row r="2" spans="1:52" x14ac:dyDescent="0.3">
      <c r="A2" s="2"/>
      <c r="B2" s="2"/>
      <c r="C2" s="2">
        <v>0.1</v>
      </c>
      <c r="D2" s="2">
        <v>0.2</v>
      </c>
      <c r="E2" s="2">
        <v>0.3</v>
      </c>
      <c r="F2" s="2">
        <v>0.4</v>
      </c>
      <c r="G2" s="2">
        <v>0.5</v>
      </c>
      <c r="H2" s="2">
        <v>0.6</v>
      </c>
      <c r="I2" s="2">
        <v>0.7</v>
      </c>
      <c r="J2" s="2">
        <v>0.8</v>
      </c>
      <c r="K2" s="2">
        <v>0.9</v>
      </c>
      <c r="L2" s="2">
        <v>1</v>
      </c>
      <c r="M2" s="2">
        <v>1.1000000000000001</v>
      </c>
      <c r="N2" s="2">
        <v>1.2</v>
      </c>
      <c r="O2" s="2">
        <v>1.3</v>
      </c>
      <c r="P2" s="2">
        <v>1.4</v>
      </c>
      <c r="Q2" s="2">
        <v>1.5</v>
      </c>
      <c r="R2" s="2">
        <v>1.6</v>
      </c>
      <c r="S2" s="2">
        <v>1.7</v>
      </c>
      <c r="T2" s="2">
        <v>1.8</v>
      </c>
      <c r="U2" s="2">
        <v>1.9</v>
      </c>
      <c r="V2" s="2">
        <v>2</v>
      </c>
      <c r="W2" s="2">
        <v>2.1</v>
      </c>
      <c r="X2" s="2">
        <v>2.2000000000000002</v>
      </c>
      <c r="Y2" s="2">
        <v>2.2999999999999998</v>
      </c>
      <c r="Z2" s="2">
        <v>2.4</v>
      </c>
      <c r="AA2" s="2">
        <v>2.5</v>
      </c>
      <c r="AB2" s="2">
        <v>2.6</v>
      </c>
      <c r="AC2" s="2">
        <v>2.7</v>
      </c>
      <c r="AD2" s="2">
        <v>2.8</v>
      </c>
      <c r="AE2" s="2">
        <v>2.9</v>
      </c>
      <c r="AF2" s="2">
        <v>3</v>
      </c>
      <c r="AG2" s="2">
        <v>3.1</v>
      </c>
      <c r="AH2" s="2">
        <v>3.2</v>
      </c>
      <c r="AI2" s="2">
        <v>3.3</v>
      </c>
      <c r="AJ2" s="2">
        <v>3.4</v>
      </c>
      <c r="AK2" s="2">
        <v>3.5</v>
      </c>
      <c r="AL2" s="2">
        <v>3.6</v>
      </c>
      <c r="AM2" s="2">
        <v>3.7</v>
      </c>
      <c r="AN2" s="2">
        <v>3.8</v>
      </c>
      <c r="AO2" s="2">
        <v>3.9</v>
      </c>
      <c r="AP2" s="2">
        <v>4</v>
      </c>
      <c r="AQ2" s="2">
        <v>4.0999999999999996</v>
      </c>
      <c r="AR2" s="2">
        <v>4.2</v>
      </c>
      <c r="AS2" s="2">
        <v>4.3</v>
      </c>
      <c r="AT2" s="2">
        <v>4.4000000000000004</v>
      </c>
      <c r="AU2" s="2">
        <v>4.5</v>
      </c>
      <c r="AV2" s="2">
        <v>4.5999999999999996</v>
      </c>
      <c r="AW2" s="2">
        <v>4.7</v>
      </c>
      <c r="AX2" s="2">
        <v>4.8</v>
      </c>
      <c r="AY2" s="2">
        <v>4.9000000000000004</v>
      </c>
      <c r="AZ2" s="2">
        <v>5</v>
      </c>
    </row>
    <row r="3" spans="1:52" x14ac:dyDescent="0.3">
      <c r="A3" s="2" t="s">
        <v>11</v>
      </c>
      <c r="B3" s="2">
        <v>60</v>
      </c>
      <c r="C3" s="2" cm="1">
        <f t="array" ref="C3">GAMMAGREEK($B3,100,0.01,C$2,0.1)</f>
        <v>9.8181668070315382E-58</v>
      </c>
      <c r="D3" s="2" cm="1">
        <f t="array" ref="D3">GAMMAGREEK($B3,100,0.01,D$2,0.1)</f>
        <v>1.4877614568192042E-29</v>
      </c>
      <c r="E3" s="2" cm="1">
        <f t="array" ref="E3">GAMMAGREEK($B3,100,0.01,E$2,0.1)</f>
        <v>3.3715886606540406E-20</v>
      </c>
      <c r="F3" s="2" cm="1">
        <f t="array" ref="F3">GAMMAGREEK($B3,100,0.01,F$2,0.1)</f>
        <v>1.5374265651823356E-15</v>
      </c>
      <c r="G3" s="2" cm="1">
        <f t="array" ref="G3">GAMMAGREEK($B3,100,0.01,G$2,0.1)</f>
        <v>9.3540877738933165E-13</v>
      </c>
      <c r="H3" s="2" cm="1">
        <f t="array" ref="H3">GAMMAGREEK($B3,100,0.01,H$2,0.1)</f>
        <v>6.6022100125858922E-11</v>
      </c>
      <c r="I3" s="2" cm="1">
        <f t="array" ref="I3">GAMMAGREEK($B3,100,0.01,I$2,0.1)</f>
        <v>1.3641015888556876E-9</v>
      </c>
      <c r="J3" s="2" cm="1">
        <f t="array" ref="J3">GAMMAGREEK($B3,100,0.01,J$2,0.1)</f>
        <v>1.309790020055326E-8</v>
      </c>
      <c r="K3" s="2" cm="1">
        <f t="array" ref="K3">GAMMAGREEK($B3,100,0.01,K$2,0.1)</f>
        <v>7.5530633187758109E-8</v>
      </c>
      <c r="L3" s="2" cm="1">
        <f t="array" ref="L3">GAMMAGREEK($B3,100,0.01,L$2,0.1)</f>
        <v>3.0503159925846612E-7</v>
      </c>
      <c r="M3" s="2" cm="1">
        <f t="array" ref="M3">GAMMAGREEK($B3,100,0.01,M$2,0.1)</f>
        <v>9.5121394259865129E-7</v>
      </c>
      <c r="N3" s="2" cm="1">
        <f t="array" ref="N3">GAMMAGREEK($B3,100,0.01,N$2,0.1)</f>
        <v>2.4443342622052874E-6</v>
      </c>
      <c r="O3" s="2" cm="1">
        <f t="array" ref="O3">GAMMAGREEK($B3,100,0.01,O$2,0.1)</f>
        <v>5.413964489629683E-6</v>
      </c>
      <c r="P3" s="2" cm="1">
        <f t="array" ref="P3">GAMMAGREEK($B3,100,0.01,P$2,0.1)</f>
        <v>1.0672587299213475E-5</v>
      </c>
      <c r="Q3" s="2" cm="1">
        <f t="array" ref="Q3">GAMMAGREEK($B3,100,0.01,Q$2,0.1)</f>
        <v>1.9170056555515457E-5</v>
      </c>
      <c r="R3" s="2" cm="1">
        <f t="array" ref="R3">GAMMAGREEK($B3,100,0.01,R$2,0.1)</f>
        <v>3.1931280756622618E-5</v>
      </c>
      <c r="S3" s="2" cm="1">
        <f t="array" ref="S3">GAMMAGREEK($B3,100,0.01,S$2,0.1)</f>
        <v>4.999000592778726E-5</v>
      </c>
      <c r="T3" s="2" cm="1">
        <f t="array" ref="T3">GAMMAGREEK($B3,100,0.01,T$2,0.1)</f>
        <v>7.4328618349887621E-5</v>
      </c>
      <c r="U3" s="2" cm="1">
        <f t="array" ref="U3">GAMMAGREEK($B3,100,0.01,U$2,0.1)</f>
        <v>1.058298681962173E-4</v>
      </c>
      <c r="V3" s="2" cm="1">
        <f t="array" ref="V3">GAMMAGREEK($B3,100,0.01,V$2,0.1)</f>
        <v>1.4524281869372589E-4</v>
      </c>
      <c r="W3" s="2" cm="1">
        <f t="array" ref="W3">GAMMAGREEK($B3,100,0.01,W$2,0.1)</f>
        <v>1.9316274717843477E-4</v>
      </c>
      <c r="X3" s="2" cm="1">
        <f t="array" ref="X3">GAMMAGREEK($B3,100,0.01,X$2,0.1)</f>
        <v>2.5002320222478573E-4</v>
      </c>
      <c r="Y3" s="2" cm="1">
        <f t="array" ref="Y3">GAMMAGREEK($B3,100,0.01,Y$2,0.1)</f>
        <v>3.1609774186313342E-4</v>
      </c>
      <c r="Z3" s="2" cm="1">
        <f t="array" ref="Z3">GAMMAGREEK($B3,100,0.01,Z$2,0.1)</f>
        <v>3.9150877005365587E-4</v>
      </c>
      <c r="AA3" s="2" cm="1">
        <f t="array" ref="AA3">GAMMAGREEK($B3,100,0.01,AA$2,0.1)</f>
        <v>4.7624111367904195E-4</v>
      </c>
      <c r="AB3" s="2" cm="1">
        <f t="array" ref="AB3">GAMMAGREEK($B3,100,0.01,AB$2,0.1)</f>
        <v>5.7015836483492049E-4</v>
      </c>
      <c r="AC3" s="2" cm="1">
        <f t="array" ref="AC3">GAMMAGREEK($B3,100,0.01,AC$2,0.1)</f>
        <v>6.730204390180387E-4</v>
      </c>
      <c r="AD3" s="2" cm="1">
        <f t="array" ref="AD3">GAMMAGREEK($B3,100,0.01,AD$2,0.1)</f>
        <v>7.8450120319180914E-4</v>
      </c>
      <c r="AE3" s="2" cm="1">
        <f t="array" ref="AE3">GAMMAGREEK($B3,100,0.01,AE$2,0.1)</f>
        <v>9.0420537654301871E-4</v>
      </c>
      <c r="AF3" s="2" cm="1">
        <f t="array" ref="AF3">GAMMAGREEK($B3,100,0.01,AF$2,0.1)</f>
        <v>1.0316841901525141E-3</v>
      </c>
      <c r="AG3" s="2" cm="1">
        <f t="array" ref="AG3">GAMMAGREEK($B3,100,0.01,AG$2,0.1)</f>
        <v>1.1664495110299679E-3</v>
      </c>
      <c r="AH3" s="2" cm="1">
        <f t="array" ref="AH3">GAMMAGREEK($B3,100,0.01,AH$2,0.1)</f>
        <v>1.3079862982968309E-3</v>
      </c>
      <c r="AI3" s="2" cm="1">
        <f t="array" ref="AI3">GAMMAGREEK($B3,100,0.01,AI$2,0.1)</f>
        <v>1.4557633743250606E-3</v>
      </c>
      <c r="AJ3" s="2" cm="1">
        <f t="array" ref="AJ3">GAMMAGREEK($B3,100,0.01,AJ$2,0.1)</f>
        <v>1.6092425710987691E-3</v>
      </c>
      <c r="AK3" s="2" cm="1">
        <f t="array" ref="AK3">GAMMAGREEK($B3,100,0.01,AK$2,0.1)</f>
        <v>1.7678863607937067E-3</v>
      </c>
      <c r="AL3" s="2" cm="1">
        <f t="array" ref="AL3">GAMMAGREEK($B3,100,0.01,AL$2,0.1)</f>
        <v>1.9311641070432544E-3</v>
      </c>
      <c r="AM3" s="2" cm="1">
        <f t="array" ref="AM3">GAMMAGREEK($B3,100,0.01,AM$2,0.1)</f>
        <v>2.0985570856236588E-3</v>
      </c>
      <c r="AN3" s="2" cm="1">
        <f t="array" ref="AN3">GAMMAGREEK($B3,100,0.01,AN$2,0.1)</f>
        <v>2.269562425063854E-3</v>
      </c>
      <c r="AO3" s="2" cm="1">
        <f t="array" ref="AO3">GAMMAGREEK($B3,100,0.01,AO$2,0.1)</f>
        <v>2.4436961125434498E-3</v>
      </c>
      <c r="AP3" s="2" cm="1">
        <f t="array" ref="AP3">GAMMAGREEK($B3,100,0.01,AP$2,0.1)</f>
        <v>2.6204952010288858E-3</v>
      </c>
      <c r="AQ3" s="2" cm="1">
        <f t="array" ref="AQ3">GAMMAGREEK($B3,100,0.01,AQ$2,0.1)</f>
        <v>2.7995193418148983E-3</v>
      </c>
      <c r="AR3" s="2" cm="1">
        <f t="array" ref="AR3">GAMMAGREEK($B3,100,0.01,AR$2,0.1)</f>
        <v>2.9803517538177851E-3</v>
      </c>
      <c r="AS3" s="2" cm="1">
        <f t="array" ref="AS3">GAMMAGREEK($B3,100,0.01,AS$2,0.1)</f>
        <v>3.1625997280112809E-3</v>
      </c>
      <c r="AT3" s="2" cm="1">
        <f t="array" ref="AT3">GAMMAGREEK($B3,100,0.01,AT$2,0.1)</f>
        <v>3.3458947528903918E-3</v>
      </c>
      <c r="AU3" s="2" cm="1">
        <f t="array" ref="AU3">GAMMAGREEK($B3,100,0.01,AU$2,0.1)</f>
        <v>3.5298923351491729E-3</v>
      </c>
      <c r="AV3" s="2" cm="1">
        <f t="array" ref="AV3">GAMMAGREEK($B3,100,0.01,AV$2,0.1)</f>
        <v>3.714271579060526E-3</v>
      </c>
      <c r="AW3" s="2" cm="1">
        <f t="array" ref="AW3">GAMMAGREEK($B3,100,0.01,AW$2,0.1)</f>
        <v>3.8987345784309217E-3</v>
      </c>
      <c r="AX3" s="2" cm="1">
        <f t="array" ref="AX3">GAMMAGREEK($B3,100,0.01,AX$2,0.1)</f>
        <v>4.0830056664795319E-3</v>
      </c>
      <c r="AY3" s="2" cm="1">
        <f t="array" ref="AY3">GAMMAGREEK($B3,100,0.01,AY$2,0.1)</f>
        <v>4.2668305615188272E-3</v>
      </c>
      <c r="AZ3" s="2" cm="1">
        <f t="array" ref="AZ3">GAMMAGREEK($B3,100,0.01,AZ$2,0.1)</f>
        <v>4.4499754398238511E-3</v>
      </c>
    </row>
    <row r="4" spans="1:52" x14ac:dyDescent="0.3">
      <c r="A4" s="2"/>
      <c r="B4" s="2">
        <v>65</v>
      </c>
      <c r="C4" s="2" cm="1">
        <f t="array" ref="C4">GAMMAGREEK($B4,100,0.01,C$2,0.1)</f>
        <v>1.867554133449173E-41</v>
      </c>
      <c r="D4" s="2" cm="1">
        <f t="array" ref="D4">GAMMAGREEK($B4,100,0.01,D$2,0.1)</f>
        <v>1.8565304082520695E-21</v>
      </c>
      <c r="E4" s="2" cm="1">
        <f t="array" ref="E4">GAMMAGREEK($B4,100,0.01,E$2,0.1)</f>
        <v>7.8761142092032751E-15</v>
      </c>
      <c r="F4" s="2" cm="1">
        <f t="array" ref="F4">GAMMAGREEK($B4,100,0.01,F$2,0.1)</f>
        <v>1.5539109604002677E-11</v>
      </c>
      <c r="G4" s="2" cm="1">
        <f t="array" ref="G4">GAMMAGREEK($B4,100,0.01,G$2,0.1)</f>
        <v>1.4365666725428543E-9</v>
      </c>
      <c r="H4" s="2" cm="1">
        <f t="array" ref="H4">GAMMAGREEK($B4,100,0.01,H$2,0.1)</f>
        <v>2.8871903156587544E-8</v>
      </c>
      <c r="I4" s="2" cm="1">
        <f t="array" ref="I4">GAMMAGREEK($B4,100,0.01,I$2,0.1)</f>
        <v>2.4319945667214467E-7</v>
      </c>
      <c r="J4" s="2" cm="1">
        <f t="array" ref="J4">GAMMAGREEK($B4,100,0.01,J$2,0.1)</f>
        <v>1.191420089105155E-6</v>
      </c>
      <c r="K4" s="2" cm="1">
        <f t="array" ref="K4">GAMMAGREEK($B4,100,0.01,K$2,0.1)</f>
        <v>4.0707905271917845E-6</v>
      </c>
      <c r="L4" s="2" cm="1">
        <f t="array" ref="L4">GAMMAGREEK($B4,100,0.01,L$2,0.1)</f>
        <v>1.0815693509621757E-5</v>
      </c>
      <c r="M4" s="2" cm="1">
        <f t="array" ref="M4">GAMMAGREEK($B4,100,0.01,M$2,0.1)</f>
        <v>2.3944434431744491E-5</v>
      </c>
      <c r="N4" s="2" cm="1">
        <f t="array" ref="N4">GAMMAGREEK($B4,100,0.01,N$2,0.1)</f>
        <v>4.6248856703093457E-5</v>
      </c>
      <c r="O4" s="2" cm="1">
        <f t="array" ref="O4">GAMMAGREEK($B4,100,0.01,O$2,0.1)</f>
        <v>8.0453437229498616E-5</v>
      </c>
      <c r="P4" s="2" cm="1">
        <f t="array" ref="P4">GAMMAGREEK($B4,100,0.01,P$2,0.1)</f>
        <v>1.2893624729911796E-4</v>
      </c>
      <c r="Q4" s="2" cm="1">
        <f t="array" ref="Q4">GAMMAGREEK($B4,100,0.01,Q$2,0.1)</f>
        <v>1.9355066407409304E-4</v>
      </c>
      <c r="R4" s="2" cm="1">
        <f t="array" ref="R4">GAMMAGREEK($B4,100,0.01,R$2,0.1)</f>
        <v>2.755467711611144E-4</v>
      </c>
      <c r="S4" s="2" cm="1">
        <f t="array" ref="S4">GAMMAGREEK($B4,100,0.01,S$2,0.1)</f>
        <v>3.7557140106388062E-4</v>
      </c>
      <c r="T4" s="2" cm="1">
        <f t="array" ref="T4">GAMMAGREEK($B4,100,0.01,T$2,0.1)</f>
        <v>4.9372059316376692E-4</v>
      </c>
      <c r="U4" s="2" cm="1">
        <f t="array" ref="U4">GAMMAGREEK($B4,100,0.01,U$2,0.1)</f>
        <v>6.2962099770165144E-4</v>
      </c>
      <c r="V4" s="2" cm="1">
        <f t="array" ref="V4">GAMMAGREEK($B4,100,0.01,V$2,0.1)</f>
        <v>7.8252244975753993E-4</v>
      </c>
      <c r="W4" s="2" cm="1">
        <f t="array" ref="W4">GAMMAGREEK($B4,100,0.01,W$2,0.1)</f>
        <v>9.5138980103538816E-4</v>
      </c>
      <c r="X4" s="2" cm="1">
        <f t="array" ref="X4">GAMMAGREEK($B4,100,0.01,X$2,0.1)</f>
        <v>1.1349869508365884E-3</v>
      </c>
      <c r="Y4" s="2" cm="1">
        <f t="array" ref="Y4">GAMMAGREEK($B4,100,0.01,Y$2,0.1)</f>
        <v>1.3319495713363613E-3</v>
      </c>
      <c r="Z4" s="2" cm="1">
        <f t="array" ref="Z4">GAMMAGREEK($B4,100,0.01,Z$2,0.1)</f>
        <v>1.5408453962359101E-3</v>
      </c>
      <c r="AA4" s="2" cm="1">
        <f t="array" ref="AA4">GAMMAGREEK($B4,100,0.01,AA$2,0.1)</f>
        <v>1.7602223937193432E-3</v>
      </c>
      <c r="AB4" s="2" cm="1">
        <f t="array" ref="AB4">GAMMAGREEK($B4,100,0.01,AB$2,0.1)</f>
        <v>1.9886459388581898E-3</v>
      </c>
      <c r="AC4" s="2" cm="1">
        <f t="array" ref="AC4">GAMMAGREEK($B4,100,0.01,AC$2,0.1)</f>
        <v>2.2247264576399734E-3</v>
      </c>
      <c r="AD4" s="2" cm="1">
        <f t="array" ref="AD4">GAMMAGREEK($B4,100,0.01,AD$2,0.1)</f>
        <v>2.4671390999004145E-3</v>
      </c>
      <c r="AE4" s="2" cm="1">
        <f t="array" ref="AE4">GAMMAGREEK($B4,100,0.01,AE$2,0.1)</f>
        <v>2.7146369271330508E-3</v>
      </c>
      <c r="AF4" s="2" cm="1">
        <f t="array" ref="AF4">GAMMAGREEK($B4,100,0.01,AF$2,0.1)</f>
        <v>2.9660589498737341E-3</v>
      </c>
      <c r="AG4" s="2" cm="1">
        <f t="array" ref="AG4">GAMMAGREEK($B4,100,0.01,AG$2,0.1)</f>
        <v>3.2203341661422597E-3</v>
      </c>
      <c r="AH4" s="2" cm="1">
        <f t="array" ref="AH4">GAMMAGREEK($B4,100,0.01,AH$2,0.1)</f>
        <v>3.4764825657431797E-3</v>
      </c>
      <c r="AI4" s="2" cm="1">
        <f t="array" ref="AI4">GAMMAGREEK($B4,100,0.01,AI$2,0.1)</f>
        <v>3.7336138906653086E-3</v>
      </c>
      <c r="AJ4" s="2" cm="1">
        <f t="array" ref="AJ4">GAMMAGREEK($B4,100,0.01,AJ$2,0.1)</f>
        <v>3.9909247868034573E-3</v>
      </c>
      <c r="AK4" s="2" cm="1">
        <f t="array" ref="AK4">GAMMAGREEK($B4,100,0.01,AK$2,0.1)</f>
        <v>4.2476948492530045E-3</v>
      </c>
      <c r="AL4" s="2" cm="1">
        <f t="array" ref="AL4">GAMMAGREEK($B4,100,0.01,AL$2,0.1)</f>
        <v>4.5032819521822528E-3</v>
      </c>
      <c r="AM4" s="2" cm="1">
        <f t="array" ref="AM4">GAMMAGREEK($B4,100,0.01,AM$2,0.1)</f>
        <v>4.7571171629837853E-3</v>
      </c>
      <c r="AN4" s="2" cm="1">
        <f t="array" ref="AN4">GAMMAGREEK($B4,100,0.01,AN$2,0.1)</f>
        <v>5.0086994666185842E-3</v>
      </c>
      <c r="AO4" s="2" cm="1">
        <f t="array" ref="AO4">GAMMAGREEK($B4,100,0.01,AO$2,0.1)</f>
        <v>5.2575904672104148E-3</v>
      </c>
      <c r="AP4" s="2" cm="1">
        <f t="array" ref="AP4">GAMMAGREEK($B4,100,0.01,AP$2,0.1)</f>
        <v>5.5034091875470377E-3</v>
      </c>
      <c r="AQ4" s="2" cm="1">
        <f t="array" ref="AQ4">GAMMAGREEK($B4,100,0.01,AQ$2,0.1)</f>
        <v>5.7458270509649989E-3</v>
      </c>
      <c r="AR4" s="2" cm="1">
        <f t="array" ref="AR4">GAMMAGREEK($B4,100,0.01,AR$2,0.1)</f>
        <v>5.9845631021919355E-3</v>
      </c>
      <c r="AS4" s="2" cm="1">
        <f t="array" ref="AS4">GAMMAGREEK($B4,100,0.01,AS$2,0.1)</f>
        <v>6.2193795024492494E-3</v>
      </c>
      <c r="AT4" s="2" cm="1">
        <f t="array" ref="AT4">GAMMAGREEK($B4,100,0.01,AT$2,0.1)</f>
        <v>6.4500773181101765E-3</v>
      </c>
      <c r="AU4" s="2" cm="1">
        <f t="array" ref="AU4">GAMMAGREEK($B4,100,0.01,AU$2,0.1)</f>
        <v>6.6764926103418526E-3</v>
      </c>
      <c r="AV4" s="2" cm="1">
        <f t="array" ref="AV4">GAMMAGREEK($B4,100,0.01,AV$2,0.1)</f>
        <v>6.8984928245275174E-3</v>
      </c>
      <c r="AW4" s="2" cm="1">
        <f t="array" ref="AW4">GAMMAGREEK($B4,100,0.01,AW$2,0.1)</f>
        <v>7.1159734721358827E-3</v>
      </c>
      <c r="AX4" s="2" cm="1">
        <f t="array" ref="AX4">GAMMAGREEK($B4,100,0.01,AX$2,0.1)</f>
        <v>7.3288550934994361E-3</v>
      </c>
      <c r="AY4" s="2" cm="1">
        <f t="array" ref="AY4">GAMMAGREEK($B4,100,0.01,AY$2,0.1)</f>
        <v>7.5370804872209778E-3</v>
      </c>
      <c r="AZ4" s="2" cm="1">
        <f t="array" ref="AZ4">GAMMAGREEK($B4,100,0.01,AZ$2,0.1)</f>
        <v>7.7406121902881759E-3</v>
      </c>
    </row>
    <row r="5" spans="1:52" x14ac:dyDescent="0.3">
      <c r="A5" s="2"/>
      <c r="B5" s="2">
        <v>70</v>
      </c>
      <c r="C5" s="2" cm="1">
        <f t="array" ref="C5">GAMMAGREEK($B5,100,0.01,C$2,0.1)</f>
        <v>7.2920970083605385E-29</v>
      </c>
      <c r="D5" s="2" cm="1">
        <f t="array" ref="D5">GAMMAGREEK($B5,100,0.01,D$2,0.1)</f>
        <v>3.3439581371571196E-15</v>
      </c>
      <c r="E5" s="2" cm="1">
        <f t="array" ref="E5">GAMMAGREEK($B5,100,0.01,E$2,0.1)</f>
        <v>1.0961347486332681E-10</v>
      </c>
      <c r="F5" s="2" cm="1">
        <f t="array" ref="F5">GAMMAGREEK($B5,100,0.01,F$2,0.1)</f>
        <v>1.9009673521623136E-8</v>
      </c>
      <c r="G5" s="2" cm="1">
        <f t="array" ref="G5">GAMMAGREEK($B5,100,0.01,G$2,0.1)</f>
        <v>4.0857545005606398E-7</v>
      </c>
      <c r="H5" s="2" cm="1">
        <f t="array" ref="H5">GAMMAGREEK($B5,100,0.01,H$2,0.1)</f>
        <v>3.1047063387496911E-6</v>
      </c>
      <c r="I5" s="2" cm="1">
        <f t="array" ref="I5">GAMMAGREEK($B5,100,0.01,I$2,0.1)</f>
        <v>1.3055468334454289E-5</v>
      </c>
      <c r="J5" s="2" cm="1">
        <f t="array" ref="J5">GAMMAGREEK($B5,100,0.01,J$2,0.1)</f>
        <v>3.7984667450688666E-5</v>
      </c>
      <c r="K5" s="2" cm="1">
        <f t="array" ref="K5">GAMMAGREEK($B5,100,0.01,K$2,0.1)</f>
        <v>8.6540937665519063E-5</v>
      </c>
      <c r="L5" s="2" cm="1">
        <f t="array" ref="L5">GAMMAGREEK($B5,100,0.01,L$2,0.1)</f>
        <v>1.6626343859570762E-4</v>
      </c>
      <c r="M5" s="2" cm="1">
        <f t="array" ref="M5">GAMMAGREEK($B5,100,0.01,M$2,0.1)</f>
        <v>2.8232321920876173E-4</v>
      </c>
      <c r="N5" s="2" cm="1">
        <f t="array" ref="N5">GAMMAGREEK($B5,100,0.01,N$2,0.1)</f>
        <v>4.3716230282047399E-4</v>
      </c>
      <c r="O5" s="2" cm="1">
        <f t="array" ref="O5">GAMMAGREEK($B5,100,0.01,O$2,0.1)</f>
        <v>6.3074711880356873E-4</v>
      </c>
      <c r="P5" s="2" cm="1">
        <f t="array" ref="P5">GAMMAGREEK($B5,100,0.01,P$2,0.1)</f>
        <v>8.6111092530915796E-4</v>
      </c>
      <c r="Q5" s="2" cm="1">
        <f t="array" ref="Q5">GAMMAGREEK($B5,100,0.01,Q$2,0.1)</f>
        <v>1.1249563903663509E-3</v>
      </c>
      <c r="R5" s="2" cm="1">
        <f t="array" ref="R5">GAMMAGREEK($B5,100,0.01,R$2,0.1)</f>
        <v>1.4181957419552914E-3</v>
      </c>
      <c r="S5" s="2" cm="1">
        <f t="array" ref="S5">GAMMAGREEK($B5,100,0.01,S$2,0.1)</f>
        <v>1.7363808167980457E-3</v>
      </c>
      <c r="T5" s="2" cm="1">
        <f t="array" ref="T5">GAMMAGREEK($B5,100,0.01,T$2,0.1)</f>
        <v>2.0750177136691491E-3</v>
      </c>
      <c r="U5" s="2" cm="1">
        <f t="array" ref="U5">GAMMAGREEK($B5,100,0.01,U$2,0.1)</f>
        <v>2.429780365397074E-3</v>
      </c>
      <c r="V5" s="2" cm="1">
        <f t="array" ref="V5">GAMMAGREEK($B5,100,0.01,V$2,0.1)</f>
        <v>2.7966437332461475E-3</v>
      </c>
      <c r="W5" s="2" cm="1">
        <f t="array" ref="W5">GAMMAGREEK($B5,100,0.01,W$2,0.1)</f>
        <v>3.1719570951389406E-3</v>
      </c>
      <c r="X5" s="2" cm="1">
        <f t="array" ref="X5">GAMMAGREEK($B5,100,0.01,X$2,0.1)</f>
        <v>3.5524749251303988E-3</v>
      </c>
      <c r="Y5" s="2" cm="1">
        <f t="array" ref="Y5">GAMMAGREEK($B5,100,0.01,Y$2,0.1)</f>
        <v>3.9353591752865529E-3</v>
      </c>
      <c r="Z5" s="2" cm="1">
        <f t="array" ref="Z5">GAMMAGREEK($B5,100,0.01,Z$2,0.1)</f>
        <v>4.3181633076544487E-3</v>
      </c>
      <c r="AA5" s="2" cm="1">
        <f t="array" ref="AA5">GAMMAGREEK($B5,100,0.01,AA$2,0.1)</f>
        <v>4.6988055307334055E-3</v>
      </c>
      <c r="AB5" s="2" cm="1">
        <f t="array" ref="AB5">GAMMAGREEK($B5,100,0.01,AB$2,0.1)</f>
        <v>5.0755364320462897E-3</v>
      </c>
      <c r="AC5" s="2" cm="1">
        <f t="array" ref="AC5">GAMMAGREEK($B5,100,0.01,AC$2,0.1)</f>
        <v>5.4469045031631186E-3</v>
      </c>
      <c r="AD5" s="2" cm="1">
        <f t="array" ref="AD5">GAMMAGREEK($B5,100,0.01,AD$2,0.1)</f>
        <v>5.8117218228405853E-3</v>
      </c>
      <c r="AE5" s="2" cm="1">
        <f t="array" ref="AE5">GAMMAGREEK($B5,100,0.01,AE$2,0.1)</f>
        <v>6.1690312931701134E-3</v>
      </c>
      <c r="AF5" s="2" cm="1">
        <f t="array" ref="AF5">GAMMAGREEK($B5,100,0.01,AF$2,0.1)</f>
        <v>6.5180762218454997E-3</v>
      </c>
      <c r="AG5" s="2" cm="1">
        <f t="array" ref="AG5">GAMMAGREEK($B5,100,0.01,AG$2,0.1)</f>
        <v>6.8582726377569908E-3</v>
      </c>
      <c r="AH5" s="2" cm="1">
        <f t="array" ref="AH5">GAMMAGREEK($B5,100,0.01,AH$2,0.1)</f>
        <v>7.1891844609573837E-3</v>
      </c>
      <c r="AI5" s="2" cm="1">
        <f t="array" ref="AI5">GAMMAGREEK($B5,100,0.01,AI$2,0.1)</f>
        <v>7.5105014798205957E-3</v>
      </c>
      <c r="AJ5" s="2" cm="1">
        <f t="array" ref="AJ5">GAMMAGREEK($B5,100,0.01,AJ$2,0.1)</f>
        <v>7.8220199874603439E-3</v>
      </c>
      <c r="AK5" s="2" cm="1">
        <f t="array" ref="AK5">GAMMAGREEK($B5,100,0.01,AK$2,0.1)</f>
        <v>8.1236258743692166E-3</v>
      </c>
      <c r="AL5" s="2" cm="1">
        <f t="array" ref="AL5">GAMMAGREEK($B5,100,0.01,AL$2,0.1)</f>
        <v>8.4152799493561262E-3</v>
      </c>
      <c r="AM5" s="2" cm="1">
        <f t="array" ref="AM5">GAMMAGREEK($B5,100,0.01,AM$2,0.1)</f>
        <v>8.6970052554481894E-3</v>
      </c>
      <c r="AN5" s="2" cm="1">
        <f t="array" ref="AN5">GAMMAGREEK($B5,100,0.01,AN$2,0.1)</f>
        <v>8.9688761540762021E-3</v>
      </c>
      <c r="AO5" s="2" cm="1">
        <f t="array" ref="AO5">GAMMAGREEK($B5,100,0.01,AO$2,0.1)</f>
        <v>9.2310089645536685E-3</v>
      </c>
      <c r="AP5" s="2" cm="1">
        <f t="array" ref="AP5">GAMMAGREEK($B5,100,0.01,AP$2,0.1)</f>
        <v>9.4835539632301003E-3</v>
      </c>
      <c r="AQ5" s="2" cm="1">
        <f t="array" ref="AQ5">GAMMAGREEK($B5,100,0.01,AQ$2,0.1)</f>
        <v>9.7266885655561304E-3</v>
      </c>
      <c r="AR5" s="2" cm="1">
        <f t="array" ref="AR5">GAMMAGREEK($B5,100,0.01,AR$2,0.1)</f>
        <v>9.9606115332469009E-3</v>
      </c>
      <c r="AS5" s="2" cm="1">
        <f t="array" ref="AS5">GAMMAGREEK($B5,100,0.01,AS$2,0.1)</f>
        <v>1.0185538066924585E-2</v>
      </c>
      <c r="AT5" s="2" cm="1">
        <f t="array" ref="AT5">GAMMAGREEK($B5,100,0.01,AT$2,0.1)</f>
        <v>1.0401695661580291E-2</v>
      </c>
      <c r="AU5" s="2" cm="1">
        <f t="array" ref="AU5">GAMMAGREEK($B5,100,0.01,AU$2,0.1)</f>
        <v>1.060932061768317E-2</v>
      </c>
      <c r="AV5" s="2" cm="1">
        <f t="array" ref="AV5">GAMMAGREEK($B5,100,0.01,AV$2,0.1)</f>
        <v>1.0808655114700531E-2</v>
      </c>
      <c r="AW5" s="2" cm="1">
        <f t="array" ref="AW5">GAMMAGREEK($B5,100,0.01,AW$2,0.1)</f>
        <v>1.0999944766195133E-2</v>
      </c>
      <c r="AX5" s="2" cm="1">
        <f t="array" ref="AX5">GAMMAGREEK($B5,100,0.01,AX$2,0.1)</f>
        <v>1.1183436586612196E-2</v>
      </c>
      <c r="AY5" s="2" cm="1">
        <f t="array" ref="AY5">GAMMAGREEK($B5,100,0.01,AY$2,0.1)</f>
        <v>1.1359377309467468E-2</v>
      </c>
      <c r="AZ5" s="2" cm="1">
        <f t="array" ref="AZ5">GAMMAGREEK($B5,100,0.01,AZ$2,0.1)</f>
        <v>1.1528012005023356E-2</v>
      </c>
    </row>
    <row r="6" spans="1:52" x14ac:dyDescent="0.3">
      <c r="A6" s="2"/>
      <c r="B6" s="2">
        <v>75</v>
      </c>
      <c r="C6" s="2" cm="1">
        <f t="array" ref="C6">GAMMAGREEK($B6,100,0.01,C$2,0.1)</f>
        <v>2.7634460319906588E-19</v>
      </c>
      <c r="D6" s="2" cm="1">
        <f t="array" ref="D6">GAMMAGREEK($B6,100,0.01,D$2,0.1)</f>
        <v>1.8884525527510622E-10</v>
      </c>
      <c r="E6" s="2" cm="1">
        <f t="array" ref="E6">GAMMAGREEK($B6,100,0.01,E$2,0.1)</f>
        <v>1.5233209793360397E-7</v>
      </c>
      <c r="F6" s="2" cm="1">
        <f t="array" ref="F6">GAMMAGREEK($B6,100,0.01,F$2,0.1)</f>
        <v>4.1442242901485525E-6</v>
      </c>
      <c r="G6" s="2" cm="1">
        <f t="array" ref="G6">GAMMAGREEK($B6,100,0.01,G$2,0.1)</f>
        <v>2.9313355232607502E-5</v>
      </c>
      <c r="H6" s="2" cm="1">
        <f t="array" ref="H6">GAMMAGREEK($B6,100,0.01,H$2,0.1)</f>
        <v>1.0617694808839026E-4</v>
      </c>
      <c r="I6" s="2" cm="1">
        <f t="array" ref="I6">GAMMAGREEK($B6,100,0.01,I$2,0.1)</f>
        <v>2.6300061856659871E-4</v>
      </c>
      <c r="J6" s="2" cm="1">
        <f t="array" ref="J6">GAMMAGREEK($B6,100,0.01,J$2,0.1)</f>
        <v>5.1450381124671068E-4</v>
      </c>
      <c r="K6" s="2" cm="1">
        <f t="array" ref="K6">GAMMAGREEK($B6,100,0.01,K$2,0.1)</f>
        <v>8.6084583659867624E-4</v>
      </c>
      <c r="L6" s="2" cm="1">
        <f t="array" ref="L6">GAMMAGREEK($B6,100,0.01,L$2,0.1)</f>
        <v>1.2919311227899844E-3</v>
      </c>
      <c r="M6" s="2" cm="1">
        <f t="array" ref="M6">GAMMAGREEK($B6,100,0.01,M$2,0.1)</f>
        <v>1.7923798333018394E-3</v>
      </c>
      <c r="N6" s="2" cm="1">
        <f t="array" ref="N6">GAMMAGREEK($B6,100,0.01,N$2,0.1)</f>
        <v>2.3452736849611283E-3</v>
      </c>
      <c r="O6" s="2" cm="1">
        <f t="array" ref="O6">GAMMAGREEK($B6,100,0.01,O$2,0.1)</f>
        <v>2.9344360429402502E-3</v>
      </c>
      <c r="P6" s="2" cm="1">
        <f t="array" ref="P6">GAMMAGREEK($B6,100,0.01,P$2,0.1)</f>
        <v>3.5455794962407088E-3</v>
      </c>
      <c r="Q6" s="2" cm="1">
        <f t="array" ref="Q6">GAMMAGREEK($B6,100,0.01,Q$2,0.1)</f>
        <v>4.1667240165623948E-3</v>
      </c>
      <c r="R6" s="2" cm="1">
        <f t="array" ref="R6">GAMMAGREEK($B6,100,0.01,R$2,0.1)</f>
        <v>4.7881999930811502E-3</v>
      </c>
      <c r="S6" s="2" cm="1">
        <f t="array" ref="S6">GAMMAGREEK($B6,100,0.01,S$2,0.1)</f>
        <v>5.4024437118469371E-3</v>
      </c>
      <c r="T6" s="2" cm="1">
        <f t="array" ref="T6">GAMMAGREEK($B6,100,0.01,T$2,0.1)</f>
        <v>6.0037095379608186E-3</v>
      </c>
      <c r="U6" s="2" cm="1">
        <f t="array" ref="U6">GAMMAGREEK($B6,100,0.01,U$2,0.1)</f>
        <v>6.5877673737268754E-3</v>
      </c>
      <c r="V6" s="2" cm="1">
        <f t="array" ref="V6">GAMMAGREEK($B6,100,0.01,V$2,0.1)</f>
        <v>7.1516197776597028E-3</v>
      </c>
      <c r="W6" s="2" cm="1">
        <f t="array" ref="W6">GAMMAGREEK($B6,100,0.01,W$2,0.1)</f>
        <v>7.6932533872035701E-3</v>
      </c>
      <c r="X6" s="2" cm="1">
        <f t="array" ref="X6">GAMMAGREEK($B6,100,0.01,X$2,0.1)</f>
        <v>8.211428537679262E-3</v>
      </c>
      <c r="Y6" s="2" cm="1">
        <f t="array" ref="Y6">GAMMAGREEK($B6,100,0.01,Y$2,0.1)</f>
        <v>8.7055055394259506E-3</v>
      </c>
      <c r="Z6" s="2" cm="1">
        <f t="array" ref="Z6">GAMMAGREEK($B6,100,0.01,Z$2,0.1)</f>
        <v>9.175303661593779E-3</v>
      </c>
      <c r="AA6" s="2" cm="1">
        <f t="array" ref="AA6">GAMMAGREEK($B6,100,0.01,AA$2,0.1)</f>
        <v>9.6209880929964998E-3</v>
      </c>
      <c r="AB6" s="2" cm="1">
        <f t="array" ref="AB6">GAMMAGREEK($B6,100,0.01,AB$2,0.1)</f>
        <v>1.0042980206275004E-2</v>
      </c>
      <c r="AC6" s="2" cm="1">
        <f t="array" ref="AC6">GAMMAGREEK($B6,100,0.01,AC$2,0.1)</f>
        <v>1.0441886890643732E-2</v>
      </c>
      <c r="AD6" s="2" cm="1">
        <f t="array" ref="AD6">GAMMAGREEK($B6,100,0.01,AD$2,0.1)</f>
        <v>1.0818445296346147E-2</v>
      </c>
      <c r="AE6" s="2" cm="1">
        <f t="array" ref="AE6">GAMMAGREEK($B6,100,0.01,AE$2,0.1)</f>
        <v>1.1173479924798793E-2</v>
      </c>
      <c r="AF6" s="2" cm="1">
        <f t="array" ref="AF6">GAMMAGREEK($B6,100,0.01,AF$2,0.1)</f>
        <v>1.1507869542832887E-2</v>
      </c>
      <c r="AG6" s="2" cm="1">
        <f t="array" ref="AG6">GAMMAGREEK($B6,100,0.01,AG$2,0.1)</f>
        <v>1.1822521874123528E-2</v>
      </c>
      <c r="AH6" s="2" cm="1">
        <f t="array" ref="AH6">GAMMAGREEK($B6,100,0.01,AH$2,0.1)</f>
        <v>1.2118354421281499E-2</v>
      </c>
      <c r="AI6" s="2" cm="1">
        <f t="array" ref="AI6">GAMMAGREEK($B6,100,0.01,AI$2,0.1)</f>
        <v>1.2396280102696821E-2</v>
      </c>
      <c r="AJ6" s="2" cm="1">
        <f t="array" ref="AJ6">GAMMAGREEK($B6,100,0.01,AJ$2,0.1)</f>
        <v>1.2657196657370324E-2</v>
      </c>
      <c r="AK6" s="2" cm="1">
        <f t="array" ref="AK6">GAMMAGREEK($B6,100,0.01,AK$2,0.1)</f>
        <v>1.2901978987950383E-2</v>
      </c>
      <c r="AL6" s="2" cm="1">
        <f t="array" ref="AL6">GAMMAGREEK($B6,100,0.01,AL$2,0.1)</f>
        <v>1.3131473785934397E-2</v>
      </c>
      <c r="AM6" s="2" cm="1">
        <f t="array" ref="AM6">GAMMAGREEK($B6,100,0.01,AM$2,0.1)</f>
        <v>1.3346495921454262E-2</v>
      </c>
      <c r="AN6" s="2" cm="1">
        <f t="array" ref="AN6">GAMMAGREEK($B6,100,0.01,AN$2,0.1)</f>
        <v>1.3547826190039768E-2</v>
      </c>
      <c r="AO6" s="2" cm="1">
        <f t="array" ref="AO6">GAMMAGREEK($B6,100,0.01,AO$2,0.1)</f>
        <v>1.373621009589986E-2</v>
      </c>
      <c r="AP6" s="2" cm="1">
        <f t="array" ref="AP6">GAMMAGREEK($B6,100,0.01,AP$2,0.1)</f>
        <v>1.3912357420204602E-2</v>
      </c>
      <c r="AQ6" s="2" cm="1">
        <f t="array" ref="AQ6">GAMMAGREEK($B6,100,0.01,AQ$2,0.1)</f>
        <v>1.4076942377330435E-2</v>
      </c>
      <c r="AR6" s="2" cm="1">
        <f t="array" ref="AR6">GAMMAGREEK($B6,100,0.01,AR$2,0.1)</f>
        <v>1.4230604205045714E-2</v>
      </c>
      <c r="AS6" s="2" cm="1">
        <f t="array" ref="AS6">GAMMAGREEK($B6,100,0.01,AS$2,0.1)</f>
        <v>1.4373948068553079E-2</v>
      </c>
      <c r="AT6" s="2" cm="1">
        <f t="array" ref="AT6">GAMMAGREEK($B6,100,0.01,AT$2,0.1)</f>
        <v>1.4507546185069763E-2</v>
      </c>
      <c r="AU6" s="2" cm="1">
        <f t="array" ref="AU6">GAMMAGREEK($B6,100,0.01,AU$2,0.1)</f>
        <v>1.4631939096719672E-2</v>
      </c>
      <c r="AV6" s="2" cm="1">
        <f t="array" ref="AV6">GAMMAGREEK($B6,100,0.01,AV$2,0.1)</f>
        <v>1.4747637036123728E-2</v>
      </c>
      <c r="AW6" s="2" cm="1">
        <f t="array" ref="AW6">GAMMAGREEK($B6,100,0.01,AW$2,0.1)</f>
        <v>1.485512134214647E-2</v>
      </c>
      <c r="AX6" s="2" cm="1">
        <f t="array" ref="AX6">GAMMAGREEK($B6,100,0.01,AX$2,0.1)</f>
        <v>1.495484589353129E-2</v>
      </c>
      <c r="AY6" s="2" cm="1">
        <f t="array" ref="AY6">GAMMAGREEK($B6,100,0.01,AY$2,0.1)</f>
        <v>1.5047238536220328E-2</v>
      </c>
      <c r="AZ6" s="2" cm="1">
        <f t="array" ref="AZ6">GAMMAGREEK($B6,100,0.01,AZ$2,0.1)</f>
        <v>1.5132702486471094E-2</v>
      </c>
    </row>
    <row r="7" spans="1:52" x14ac:dyDescent="0.3">
      <c r="A7" s="2"/>
      <c r="B7" s="2">
        <v>80</v>
      </c>
      <c r="C7" s="2" cm="1">
        <f t="array" ref="C7">GAMMAGREEK($B7,100,0.01,C$2,0.1)</f>
        <v>3.3905822708430672E-12</v>
      </c>
      <c r="D7" s="2" cm="1">
        <f t="array" ref="D7">GAMMAGREEK($B7,100,0.01,D$2,0.1)</f>
        <v>6.1021351588952594E-7</v>
      </c>
      <c r="E7" s="2" cm="1">
        <f t="array" ref="E7">GAMMAGREEK($B7,100,0.01,E$2,0.1)</f>
        <v>3.1551352715495865E-5</v>
      </c>
      <c r="F7" s="2" cm="1">
        <f t="array" ref="F7">GAMMAGREEK($B7,100,0.01,F$2,0.1)</f>
        <v>2.1731776002153875E-4</v>
      </c>
      <c r="G7" s="2" cm="1">
        <f t="array" ref="G7">GAMMAGREEK($B7,100,0.01,G$2,0.1)</f>
        <v>6.7417515498728662E-4</v>
      </c>
      <c r="H7" s="2" cm="1">
        <f t="array" ref="H7">GAMMAGREEK($B7,100,0.01,H$2,0.1)</f>
        <v>1.4096380488958409E-3</v>
      </c>
      <c r="I7" s="2" cm="1">
        <f t="array" ref="I7">GAMMAGREEK($B7,100,0.01,I$2,0.1)</f>
        <v>2.3582196949555496E-3</v>
      </c>
      <c r="J7" s="2" cm="1">
        <f t="array" ref="J7">GAMMAGREEK($B7,100,0.01,J$2,0.1)</f>
        <v>3.4369932223750682E-3</v>
      </c>
      <c r="K7" s="2" cm="1">
        <f t="array" ref="K7">GAMMAGREEK($B7,100,0.01,K$2,0.1)</f>
        <v>4.5738968285542487E-3</v>
      </c>
      <c r="L7" s="2" cm="1">
        <f t="array" ref="L7">GAMMAGREEK($B7,100,0.01,L$2,0.1)</f>
        <v>5.7155372876400001E-3</v>
      </c>
      <c r="M7" s="2" cm="1">
        <f t="array" ref="M7">GAMMAGREEK($B7,100,0.01,M$2,0.1)</f>
        <v>6.826009463911935E-3</v>
      </c>
      <c r="N7" s="2" cm="1">
        <f t="array" ref="N7">GAMMAGREEK($B7,100,0.01,N$2,0.1)</f>
        <v>7.8830868977911566E-3</v>
      </c>
      <c r="O7" s="2" cm="1">
        <f t="array" ref="O7">GAMMAGREEK($B7,100,0.01,O$2,0.1)</f>
        <v>8.8743607353373982E-3</v>
      </c>
      <c r="P7" s="2" cm="1">
        <f t="array" ref="P7">GAMMAGREEK($B7,100,0.01,P$2,0.1)</f>
        <v>9.7941120622852939E-3</v>
      </c>
      <c r="Q7" s="2" cm="1">
        <f t="array" ref="Q7">GAMMAGREEK($B7,100,0.01,Q$2,0.1)</f>
        <v>1.0641003860392568E-2</v>
      </c>
      <c r="R7" s="2" cm="1">
        <f t="array" ref="R7">GAMMAGREEK($B7,100,0.01,R$2,0.1)</f>
        <v>1.1416458885178874E-2</v>
      </c>
      <c r="S7" s="2" cm="1">
        <f t="array" ref="S7">GAMMAGREEK($B7,100,0.01,S$2,0.1)</f>
        <v>1.2123553089968977E-2</v>
      </c>
      <c r="T7" s="2" cm="1">
        <f t="array" ref="T7">GAMMAGREEK($B7,100,0.01,T$2,0.1)</f>
        <v>1.2766276858927545E-2</v>
      </c>
      <c r="U7" s="2" cm="1">
        <f t="array" ref="U7">GAMMAGREEK($B7,100,0.01,U$2,0.1)</f>
        <v>1.3349051209191403E-2</v>
      </c>
      <c r="V7" s="2" cm="1">
        <f t="array" ref="V7">GAMMAGREEK($B7,100,0.01,V$2,0.1)</f>
        <v>1.3876417664915323E-2</v>
      </c>
      <c r="W7" s="2" cm="1">
        <f t="array" ref="W7">GAMMAGREEK($B7,100,0.01,W$2,0.1)</f>
        <v>1.4352844998591066E-2</v>
      </c>
      <c r="X7" s="2" cm="1">
        <f t="array" ref="X7">GAMMAGREEK($B7,100,0.01,X$2,0.1)</f>
        <v>1.4782613826540546E-2</v>
      </c>
      <c r="Y7" s="2" cm="1">
        <f t="array" ref="Y7">GAMMAGREEK($B7,100,0.01,Y$2,0.1)</f>
        <v>1.5169752537754695E-2</v>
      </c>
      <c r="Z7" s="2" cm="1">
        <f t="array" ref="Z7">GAMMAGREEK($B7,100,0.01,Z$2,0.1)</f>
        <v>1.5518006646572246E-2</v>
      </c>
      <c r="AA7" s="2" cm="1">
        <f t="array" ref="AA7">GAMMAGREEK($B7,100,0.01,AA$2,0.1)</f>
        <v>1.5830829535525757E-2</v>
      </c>
      <c r="AB7" s="2" cm="1">
        <f t="array" ref="AB7">GAMMAGREEK($B7,100,0.01,AB$2,0.1)</f>
        <v>1.6111386541389234E-2</v>
      </c>
      <c r="AC7" s="2" cm="1">
        <f t="array" ref="AC7">GAMMAGREEK($B7,100,0.01,AC$2,0.1)</f>
        <v>1.6362567033840338E-2</v>
      </c>
      <c r="AD7" s="2" cm="1">
        <f t="array" ref="AD7">GAMMAGREEK($B7,100,0.01,AD$2,0.1)</f>
        <v>1.6587000956220531E-2</v>
      </c>
      <c r="AE7" s="2" cm="1">
        <f t="array" ref="AE7">GAMMAGREEK($B7,100,0.01,AE$2,0.1)</f>
        <v>1.6787077524387201E-2</v>
      </c>
      <c r="AF7" s="2" cm="1">
        <f t="array" ref="AF7">GAMMAGREEK($B7,100,0.01,AF$2,0.1)</f>
        <v>1.6964964604488351E-2</v>
      </c>
      <c r="AG7" s="2" cm="1">
        <f t="array" ref="AG7">GAMMAGREEK($B7,100,0.01,AG$2,0.1)</f>
        <v>1.7122627843512966E-2</v>
      </c>
      <c r="AH7" s="2" cm="1">
        <f t="array" ref="AH7">GAMMAGREEK($B7,100,0.01,AH$2,0.1)</f>
        <v>1.7261848995509897E-2</v>
      </c>
      <c r="AI7" s="2" cm="1">
        <f t="array" ref="AI7">GAMMAGREEK($B7,100,0.01,AI$2,0.1)</f>
        <v>1.7384243130865843E-2</v>
      </c>
      <c r="AJ7" s="2" cm="1">
        <f t="array" ref="AJ7">GAMMAGREEK($B7,100,0.01,AJ$2,0.1)</f>
        <v>1.7491274576265117E-2</v>
      </c>
      <c r="AK7" s="2" cm="1">
        <f t="array" ref="AK7">GAMMAGREEK($B7,100,0.01,AK$2,0.1)</f>
        <v>1.7584271536254789E-2</v>
      </c>
      <c r="AL7" s="2" cm="1">
        <f t="array" ref="AL7">GAMMAGREEK($B7,100,0.01,AL$2,0.1)</f>
        <v>1.7664439412282244E-2</v>
      </c>
      <c r="AM7" s="2" cm="1">
        <f t="array" ref="AM7">GAMMAGREEK($B7,100,0.01,AM$2,0.1)</f>
        <v>1.7732872874295067E-2</v>
      </c>
      <c r="AN7" s="2" cm="1">
        <f t="array" ref="AN7">GAMMAGREEK($B7,100,0.01,AN$2,0.1)</f>
        <v>1.7790566762095304E-2</v>
      </c>
      <c r="AO7" s="2" cm="1">
        <f t="array" ref="AO7">GAMMAGREEK($B7,100,0.01,AO$2,0.1)</f>
        <v>1.7838425904472294E-2</v>
      </c>
      <c r="AP7" s="2" cm="1">
        <f t="array" ref="AP7">GAMMAGREEK($B7,100,0.01,AP$2,0.1)</f>
        <v>1.7877273947675212E-2</v>
      </c>
      <c r="AQ7" s="2" cm="1">
        <f t="array" ref="AQ7">GAMMAGREEK($B7,100,0.01,AQ$2,0.1)</f>
        <v>1.7907861283719205E-2</v>
      </c>
      <c r="AR7" s="2" cm="1">
        <f t="array" ref="AR7">GAMMAGREEK($B7,100,0.01,AR$2,0.1)</f>
        <v>1.7930872165161663E-2</v>
      </c>
      <c r="AS7" s="2" cm="1">
        <f t="array" ref="AS7">GAMMAGREEK($B7,100,0.01,AS$2,0.1)</f>
        <v>1.7946931087550258E-2</v>
      </c>
      <c r="AT7" s="2" cm="1">
        <f t="array" ref="AT7">GAMMAGREEK($B7,100,0.01,AT$2,0.1)</f>
        <v>1.7956608514533092E-2</v>
      </c>
      <c r="AU7" s="2" cm="1">
        <f t="array" ref="AU7">GAMMAGREEK($B7,100,0.01,AU$2,0.1)</f>
        <v>1.7960426014155231E-2</v>
      </c>
      <c r="AV7" s="2" cm="1">
        <f t="array" ref="AV7">GAMMAGREEK($B7,100,0.01,AV$2,0.1)</f>
        <v>1.7958860868473807E-2</v>
      </c>
      <c r="AW7" s="2" cm="1">
        <f t="array" ref="AW7">GAMMAGREEK($B7,100,0.01,AW$2,0.1)</f>
        <v>1.7952350212507063E-2</v>
      </c>
      <c r="AX7" s="2" cm="1">
        <f t="array" ref="AX7">GAMMAGREEK($B7,100,0.01,AX$2,0.1)</f>
        <v>1.7941294752804218E-2</v>
      </c>
      <c r="AY7" s="2" cm="1">
        <f t="array" ref="AY7">GAMMAGREEK($B7,100,0.01,AY$2,0.1)</f>
        <v>1.7926062110639199E-2</v>
      </c>
      <c r="AZ7" s="2" cm="1">
        <f t="array" ref="AZ7">GAMMAGREEK($B7,100,0.01,AZ$2,0.1)</f>
        <v>1.7906989830010486E-2</v>
      </c>
    </row>
    <row r="8" spans="1:52" x14ac:dyDescent="0.3">
      <c r="A8" s="2"/>
      <c r="B8" s="2">
        <v>85</v>
      </c>
      <c r="C8" s="2" cm="1">
        <f t="array" ref="C8">GAMMAGREEK($B8,100,0.01,C$2,0.1)</f>
        <v>3.4793158250122273E-7</v>
      </c>
      <c r="D8" s="2" cm="1">
        <f t="array" ref="D8">GAMMAGREEK($B8,100,0.01,D$2,0.1)</f>
        <v>1.8120927891742718E-4</v>
      </c>
      <c r="E8" s="2" cm="1">
        <f t="array" ref="E8">GAMMAGREEK($B8,100,0.01,E$2,0.1)</f>
        <v>1.3351896003566924E-3</v>
      </c>
      <c r="F8" s="2" cm="1">
        <f t="array" ref="F8">GAMMAGREEK($B8,100,0.01,F$2,0.1)</f>
        <v>3.4716293491663342E-3</v>
      </c>
      <c r="G8" s="2" cm="1">
        <f t="array" ref="G8">GAMMAGREEK($B8,100,0.01,G$2,0.1)</f>
        <v>6.002867803556796E-3</v>
      </c>
      <c r="H8" s="2" cm="1">
        <f t="array" ref="H8">GAMMAGREEK($B8,100,0.01,H$2,0.1)</f>
        <v>8.5007827825346466E-3</v>
      </c>
      <c r="I8" s="2" cm="1">
        <f t="array" ref="I8">GAMMAGREEK($B8,100,0.01,I$2,0.1)</f>
        <v>1.0765981199439556E-2</v>
      </c>
      <c r="J8" s="2" cm="1">
        <f t="array" ref="J8">GAMMAGREEK($B8,100,0.01,J$2,0.1)</f>
        <v>1.2734636942227621E-2</v>
      </c>
      <c r="K8" s="2" cm="1">
        <f t="array" ref="K8">GAMMAGREEK($B8,100,0.01,K$2,0.1)</f>
        <v>1.4407206646598529E-2</v>
      </c>
      <c r="L8" s="2" cm="1">
        <f t="array" ref="L8">GAMMAGREEK($B8,100,0.01,L$2,0.1)</f>
        <v>1.5810256172317044E-2</v>
      </c>
      <c r="M8" s="2" cm="1">
        <f t="array" ref="M8">GAMMAGREEK($B8,100,0.01,M$2,0.1)</f>
        <v>1.6978284397553434E-2</v>
      </c>
      <c r="N8" s="2" cm="1">
        <f t="array" ref="N8">GAMMAGREEK($B8,100,0.01,N$2,0.1)</f>
        <v>1.7945716109250363E-2</v>
      </c>
      <c r="O8" s="2" cm="1">
        <f t="array" ref="O8">GAMMAGREEK($B8,100,0.01,O$2,0.1)</f>
        <v>1.8743747156104312E-2</v>
      </c>
      <c r="P8" s="2" cm="1">
        <f t="array" ref="P8">GAMMAGREEK($B8,100,0.01,P$2,0.1)</f>
        <v>1.9399412282466211E-2</v>
      </c>
      <c r="Q8" s="2" cm="1">
        <f t="array" ref="Q8">GAMMAGREEK($B8,100,0.01,Q$2,0.1)</f>
        <v>1.9935618528927151E-2</v>
      </c>
      <c r="R8" s="2" cm="1">
        <f t="array" ref="R8">GAMMAGREEK($B8,100,0.01,R$2,0.1)</f>
        <v>2.0371555415962622E-2</v>
      </c>
      <c r="S8" s="2" cm="1">
        <f t="array" ref="S8">GAMMAGREEK($B8,100,0.01,S$2,0.1)</f>
        <v>2.0723213249242645E-2</v>
      </c>
      <c r="T8" s="2" cm="1">
        <f t="array" ref="T8">GAMMAGREEK($B8,100,0.01,T$2,0.1)</f>
        <v>2.1003892934564884E-2</v>
      </c>
      <c r="U8" s="2" cm="1">
        <f t="array" ref="U8">GAMMAGREEK($B8,100,0.01,U$2,0.1)</f>
        <v>2.1224662079564822E-2</v>
      </c>
      <c r="V8" s="2" cm="1">
        <f t="array" ref="V8">GAMMAGREEK($B8,100,0.01,V$2,0.1)</f>
        <v>2.139474487152776E-2</v>
      </c>
      <c r="W8" s="2" cm="1">
        <f t="array" ref="W8">GAMMAGREEK($B8,100,0.01,W$2,0.1)</f>
        <v>2.1521847441877458E-2</v>
      </c>
      <c r="X8" s="2" cm="1">
        <f t="array" ref="X8">GAMMAGREEK($B8,100,0.01,X$2,0.1)</f>
        <v>2.1612425903485721E-2</v>
      </c>
      <c r="Y8" s="2" cm="1">
        <f t="array" ref="Y8">GAMMAGREEK($B8,100,0.01,Y$2,0.1)</f>
        <v>2.16719056929249E-2</v>
      </c>
      <c r="Z8" s="2" cm="1">
        <f t="array" ref="Z8">GAMMAGREEK($B8,100,0.01,Z$2,0.1)</f>
        <v>2.1704860542054501E-2</v>
      </c>
      <c r="AA8" s="2" cm="1">
        <f t="array" ref="AA8">GAMMAGREEK($B8,100,0.01,AA$2,0.1)</f>
        <v>2.1715158426745509E-2</v>
      </c>
      <c r="AB8" s="2" cm="1">
        <f t="array" ref="AB8">GAMMAGREEK($B8,100,0.01,AB$2,0.1)</f>
        <v>2.1706080697378387E-2</v>
      </c>
      <c r="AC8" s="2" cm="1">
        <f t="array" ref="AC8">GAMMAGREEK($B8,100,0.01,AC$2,0.1)</f>
        <v>2.1680419504537175E-2</v>
      </c>
      <c r="AD8" s="2" cm="1">
        <f t="array" ref="AD8">GAMMAGREEK($B8,100,0.01,AD$2,0.1)</f>
        <v>2.1640557676400829E-2</v>
      </c>
      <c r="AE8" s="2" cm="1">
        <f t="array" ref="AE8">GAMMAGREEK($B8,100,0.01,AE$2,0.1)</f>
        <v>2.1588534400753447E-2</v>
      </c>
      <c r="AF8" s="2" cm="1">
        <f t="array" ref="AF8">GAMMAGREEK($B8,100,0.01,AF$2,0.1)</f>
        <v>2.1526099405862077E-2</v>
      </c>
      <c r="AG8" s="2" cm="1">
        <f t="array" ref="AG8">GAMMAGREEK($B8,100,0.01,AG$2,0.1)</f>
        <v>2.1454757802067691E-2</v>
      </c>
      <c r="AH8" s="2" cm="1">
        <f t="array" ref="AH8">GAMMAGREEK($B8,100,0.01,AH$2,0.1)</f>
        <v>2.1375807319016293E-2</v>
      </c>
      <c r="AI8" s="2" cm="1">
        <f t="array" ref="AI8">GAMMAGREEK($B8,100,0.01,AI$2,0.1)</f>
        <v>2.1290369332571966E-2</v>
      </c>
      <c r="AJ8" s="2" cm="1">
        <f t="array" ref="AJ8">GAMMAGREEK($B8,100,0.01,AJ$2,0.1)</f>
        <v>2.1199414803756339E-2</v>
      </c>
      <c r="AK8" s="2" cm="1">
        <f t="array" ref="AK8">GAMMAGREEK($B8,100,0.01,AK$2,0.1)</f>
        <v>2.1103786035546329E-2</v>
      </c>
      <c r="AL8" s="2" cm="1">
        <f t="array" ref="AL8">GAMMAGREEK($B8,100,0.01,AL$2,0.1)</f>
        <v>2.1004214980664671E-2</v>
      </c>
      <c r="AM8" s="2" cm="1">
        <f t="array" ref="AM8">GAMMAGREEK($B8,100,0.01,AM$2,0.1)</f>
        <v>2.0901338695515647E-2</v>
      </c>
      <c r="AN8" s="2" cm="1">
        <f t="array" ref="AN8">GAMMAGREEK($B8,100,0.01,AN$2,0.1)</f>
        <v>2.0795712424927514E-2</v>
      </c>
      <c r="AO8" s="2" cm="1">
        <f t="array" ref="AO8">GAMMAGREEK($B8,100,0.01,AO$2,0.1)</f>
        <v>2.0687820713656921E-2</v>
      </c>
      <c r="AP8" s="2" cm="1">
        <f t="array" ref="AP8">GAMMAGREEK($B8,100,0.01,AP$2,0.1)</f>
        <v>2.0578086869191912E-2</v>
      </c>
      <c r="AQ8" s="2" cm="1">
        <f t="array" ref="AQ8">GAMMAGREEK($B8,100,0.01,AQ$2,0.1)</f>
        <v>2.0466881042717499E-2</v>
      </c>
      <c r="AR8" s="2" cm="1">
        <f t="array" ref="AR8">GAMMAGREEK($B8,100,0.01,AR$2,0.1)</f>
        <v>2.0354527148391106E-2</v>
      </c>
      <c r="AS8" s="2" cm="1">
        <f t="array" ref="AS8">GAMMAGREEK($B8,100,0.01,AS$2,0.1)</f>
        <v>2.0241308803114234E-2</v>
      </c>
      <c r="AT8" s="2" cm="1">
        <f t="array" ref="AT8">GAMMAGREEK($B8,100,0.01,AT$2,0.1)</f>
        <v>2.0127474438042563E-2</v>
      </c>
      <c r="AU8" s="2" cm="1">
        <f t="array" ref="AU8">GAMMAGREEK($B8,100,0.01,AU$2,0.1)</f>
        <v>2.0013241707772886E-2</v>
      </c>
      <c r="AV8" s="2" cm="1">
        <f t="array" ref="AV8">GAMMAGREEK($B8,100,0.01,AV$2,0.1)</f>
        <v>1.9898801302388473E-2</v>
      </c>
      <c r="AW8" s="2" cm="1">
        <f t="array" ref="AW8">GAMMAGREEK($B8,100,0.01,AW$2,0.1)</f>
        <v>1.9784320250465382E-2</v>
      </c>
      <c r="AX8" s="2" cm="1">
        <f t="array" ref="AX8">GAMMAGREEK($B8,100,0.01,AX$2,0.1)</f>
        <v>1.966994478704602E-2</v>
      </c>
      <c r="AY8" s="2" cm="1">
        <f t="array" ref="AY8">GAMMAGREEK($B8,100,0.01,AY$2,0.1)</f>
        <v>1.9555802848917388E-2</v>
      </c>
      <c r="AZ8" s="2" cm="1">
        <f t="array" ref="AZ8">GAMMAGREEK($B8,100,0.01,AZ$2,0.1)</f>
        <v>1.9442006249843845E-2</v>
      </c>
    </row>
    <row r="9" spans="1:52" x14ac:dyDescent="0.3">
      <c r="A9" s="2"/>
      <c r="B9" s="2">
        <v>90</v>
      </c>
      <c r="C9" s="2" cm="1">
        <f t="array" ref="C9">GAMMAGREEK($B9,100,0.01,C$2,0.1)</f>
        <v>6.3723381042931444E-4</v>
      </c>
      <c r="D9" s="2" cm="1">
        <f t="array" ref="D9">GAMMAGREEK($B9,100,0.01,D$2,0.1)</f>
        <v>7.2202698909513219E-3</v>
      </c>
      <c r="E9" s="2" cm="1">
        <f t="array" ref="E9">GAMMAGREEK($B9,100,0.01,E$2,0.1)</f>
        <v>1.4851555899595272E-2</v>
      </c>
      <c r="F9" s="2" cm="1">
        <f t="array" ref="F9">GAMMAGREEK($B9,100,0.01,F$2,0.1)</f>
        <v>2.0402828136932075E-2</v>
      </c>
      <c r="G9" s="2" cm="1">
        <f t="array" ref="G9">GAMMAGREEK($B9,100,0.01,G$2,0.1)</f>
        <v>2.40587247501736E-2</v>
      </c>
      <c r="H9" s="2" cm="1">
        <f t="array" ref="H9">GAMMAGREEK($B9,100,0.01,H$2,0.1)</f>
        <v>2.6396354113062119E-2</v>
      </c>
      <c r="I9" s="2" cm="1">
        <f t="array" ref="I9">GAMMAGREEK($B9,100,0.01,I$2,0.1)</f>
        <v>2.7859621858699932E-2</v>
      </c>
      <c r="J9" s="2" cm="1">
        <f t="array" ref="J9">GAMMAGREEK($B9,100,0.01,J$2,0.1)</f>
        <v>2.8743231871235137E-2</v>
      </c>
      <c r="K9" s="2" cm="1">
        <f t="array" ref="K9">GAMMAGREEK($B9,100,0.01,K$2,0.1)</f>
        <v>2.92381675347584E-2</v>
      </c>
      <c r="L9" s="2" cm="1">
        <f t="array" ref="L9">GAMMAGREEK($B9,100,0.01,L$2,0.1)</f>
        <v>2.9469063817634214E-2</v>
      </c>
      <c r="M9" s="2" cm="1">
        <f t="array" ref="M9">GAMMAGREEK($B9,100,0.01,M$2,0.1)</f>
        <v>2.9518562264452687E-2</v>
      </c>
      <c r="N9" s="2" cm="1">
        <f t="array" ref="N9">GAMMAGREEK($B9,100,0.01,N$2,0.1)</f>
        <v>2.9442441919150998E-2</v>
      </c>
      <c r="O9" s="2" cm="1">
        <f t="array" ref="O9">GAMMAGREEK($B9,100,0.01,O$2,0.1)</f>
        <v>2.9278998726647597E-2</v>
      </c>
      <c r="P9" s="2" cm="1">
        <f t="array" ref="P9">GAMMAGREEK($B9,100,0.01,P$2,0.1)</f>
        <v>2.9054934010821321E-2</v>
      </c>
      <c r="Q9" s="2" cm="1">
        <f t="array" ref="Q9">GAMMAGREEK($B9,100,0.01,Q$2,0.1)</f>
        <v>2.8789117348416975E-2</v>
      </c>
      <c r="R9" s="2" cm="1">
        <f t="array" ref="R9">GAMMAGREEK($B9,100,0.01,R$2,0.1)</f>
        <v>2.8495036998019165E-2</v>
      </c>
      <c r="S9" s="2" cm="1">
        <f t="array" ref="S9">GAMMAGREEK($B9,100,0.01,S$2,0.1)</f>
        <v>2.8182425472280361E-2</v>
      </c>
      <c r="T9" s="2" cm="1">
        <f t="array" ref="T9">GAMMAGREEK($B9,100,0.01,T$2,0.1)</f>
        <v>2.7858356943680409E-2</v>
      </c>
      <c r="U9" s="2" cm="1">
        <f t="array" ref="U9">GAMMAGREEK($B9,100,0.01,U$2,0.1)</f>
        <v>2.7528000212608917E-2</v>
      </c>
      <c r="V9" s="2" cm="1">
        <f t="array" ref="V9">GAMMAGREEK($B9,100,0.01,V$2,0.1)</f>
        <v>2.7195143108108638E-2</v>
      </c>
      <c r="W9" s="2" cm="1">
        <f t="array" ref="W9">GAMMAGREEK($B9,100,0.01,W$2,0.1)</f>
        <v>2.6862562717162666E-2</v>
      </c>
      <c r="X9" s="2" cm="1">
        <f t="array" ref="X9">GAMMAGREEK($B9,100,0.01,X$2,0.1)</f>
        <v>2.6532290034906311E-2</v>
      </c>
      <c r="Y9" s="2" cm="1">
        <f t="array" ref="Y9">GAMMAGREEK($B9,100,0.01,Y$2,0.1)</f>
        <v>2.6205801291540386E-2</v>
      </c>
      <c r="Z9" s="2" cm="1">
        <f t="array" ref="Z9">GAMMAGREEK($B9,100,0.01,Z$2,0.1)</f>
        <v>2.5884157693900157E-2</v>
      </c>
      <c r="AA9" s="2" cm="1">
        <f t="array" ref="AA9">GAMMAGREEK($B9,100,0.01,AA$2,0.1)</f>
        <v>2.5568108439573696E-2</v>
      </c>
      <c r="AB9" s="2" cm="1">
        <f t="array" ref="AB9">GAMMAGREEK($B9,100,0.01,AB$2,0.1)</f>
        <v>2.5258167293134105E-2</v>
      </c>
      <c r="AC9" s="2" cm="1">
        <f t="array" ref="AC9">GAMMAGREEK($B9,100,0.01,AC$2,0.1)</f>
        <v>2.4954669937826211E-2</v>
      </c>
      <c r="AD9" s="2" cm="1">
        <f t="array" ref="AD9">GAMMAGREEK($B9,100,0.01,AD$2,0.1)</f>
        <v>2.4657817217182819E-2</v>
      </c>
      <c r="AE9" s="2" cm="1">
        <f t="array" ref="AE9">GAMMAGREEK($B9,100,0.01,AE$2,0.1)</f>
        <v>2.4367707931312481E-2</v>
      </c>
      <c r="AF9" s="2" cm="1">
        <f t="array" ref="AF9">GAMMAGREEK($B9,100,0.01,AF$2,0.1)</f>
        <v>2.4084363839664259E-2</v>
      </c>
      <c r="AG9" s="2" cm="1">
        <f t="array" ref="AG9">GAMMAGREEK($B9,100,0.01,AG$2,0.1)</f>
        <v>2.3807748806682828E-2</v>
      </c>
      <c r="AH9" s="2" cm="1">
        <f t="array" ref="AH9">GAMMAGREEK($B9,100,0.01,AH$2,0.1)</f>
        <v>2.3537783516410442E-2</v>
      </c>
      <c r="AI9" s="2" cm="1">
        <f t="array" ref="AI9">GAMMAGREEK($B9,100,0.01,AI$2,0.1)</f>
        <v>2.3274356814561987E-2</v>
      </c>
      <c r="AJ9" s="2" cm="1">
        <f t="array" ref="AJ9">GAMMAGREEK($B9,100,0.01,AJ$2,0.1)</f>
        <v>2.3017334469579567E-2</v>
      </c>
      <c r="AK9" s="2" cm="1">
        <f t="array" ref="AK9">GAMMAGREEK($B9,100,0.01,AK$2,0.1)</f>
        <v>2.2766565948565552E-2</v>
      </c>
      <c r="AL9" s="2" cm="1">
        <f t="array" ref="AL9">GAMMAGREEK($B9,100,0.01,AL$2,0.1)</f>
        <v>2.2521889659583717E-2</v>
      </c>
      <c r="AM9" s="2" cm="1">
        <f t="array" ref="AM9">GAMMAGREEK($B9,100,0.01,AM$2,0.1)</f>
        <v>2.2283137004427529E-2</v>
      </c>
      <c r="AN9" s="2" cm="1">
        <f t="array" ref="AN9">GAMMAGREEK($B9,100,0.01,AN$2,0.1)</f>
        <v>2.2050135505545715E-2</v>
      </c>
      <c r="AO9" s="2" cm="1">
        <f t="array" ref="AO9">GAMMAGREEK($B9,100,0.01,AO$2,0.1)</f>
        <v>2.1822711210221692E-2</v>
      </c>
      <c r="AP9" s="2" cm="1">
        <f t="array" ref="AP9">GAMMAGREEK($B9,100,0.01,AP$2,0.1)</f>
        <v>2.1600690529166151E-2</v>
      </c>
      <c r="AQ9" s="2" cm="1">
        <f t="array" ref="AQ9">GAMMAGREEK($B9,100,0.01,AQ$2,0.1)</f>
        <v>2.1383901631658712E-2</v>
      </c>
      <c r="AR9" s="2" cm="1">
        <f t="array" ref="AR9">GAMMAGREEK($B9,100,0.01,AR$2,0.1)</f>
        <v>2.1172175492530171E-2</v>
      </c>
      <c r="AS9" s="2" cm="1">
        <f t="array" ref="AS9">GAMMAGREEK($B9,100,0.01,AS$2,0.1)</f>
        <v>2.0965346665598798E-2</v>
      </c>
      <c r="AT9" s="2" cm="1">
        <f t="array" ref="AT9">GAMMAGREEK($B9,100,0.01,AT$2,0.1)</f>
        <v>2.0763253842171595E-2</v>
      </c>
      <c r="AU9" s="2" cm="1">
        <f t="array" ref="AU9">GAMMAGREEK($B9,100,0.01,AU$2,0.1)</f>
        <v>2.0565740240783316E-2</v>
      </c>
      <c r="AV9" s="2" cm="1">
        <f t="array" ref="AV9">GAMMAGREEK($B9,100,0.01,AV$2,0.1)</f>
        <v>2.0372653864638709E-2</v>
      </c>
      <c r="AW9" s="2" cm="1">
        <f t="array" ref="AW9">GAMMAGREEK($B9,100,0.01,AW$2,0.1)</f>
        <v>2.0183847655619067E-2</v>
      </c>
      <c r="AX9" s="2" cm="1">
        <f t="array" ref="AX9">GAMMAGREEK($B9,100,0.01,AX$2,0.1)</f>
        <v>1.9999179567735635E-2</v>
      </c>
      <c r="AY9" s="2" cm="1">
        <f t="array" ref="AY9">GAMMAGREEK($B9,100,0.01,AY$2,0.1)</f>
        <v>1.9818512578197525E-2</v>
      </c>
      <c r="AZ9" s="2" cm="1">
        <f t="array" ref="AZ9">GAMMAGREEK($B9,100,0.01,AZ$2,0.1)</f>
        <v>1.964171465053164E-2</v>
      </c>
    </row>
    <row r="10" spans="1:52" x14ac:dyDescent="0.3">
      <c r="A10" s="2"/>
      <c r="B10" s="2">
        <v>95</v>
      </c>
      <c r="C10" s="2" cm="1">
        <f t="array" ref="C10">GAMMAGREEK($B10,100,0.01,C$2,0.1)</f>
        <v>3.8441261874572009E-2</v>
      </c>
      <c r="D10" s="2" cm="1">
        <f t="array" ref="D10">GAMMAGREEK($B10,100,0.01,D$2,0.1)</f>
        <v>5.2414503254015789E-2</v>
      </c>
      <c r="E10" s="2" cm="1">
        <f t="array" ref="E10">GAMMAGREEK($B10,100,0.01,E$2,0.1)</f>
        <v>5.3227540948401569E-2</v>
      </c>
      <c r="F10" s="2" cm="1">
        <f t="array" ref="F10">GAMMAGREEK($B10,100,0.01,F$2,0.1)</f>
        <v>5.1379281037838453E-2</v>
      </c>
      <c r="G10" s="2" cm="1">
        <f t="array" ref="G10">GAMMAGREEK($B10,100,0.01,G$2,0.1)</f>
        <v>4.9024161779533067E-2</v>
      </c>
      <c r="H10" s="2" cm="1">
        <f t="array" ref="H10">GAMMAGREEK($B10,100,0.01,H$2,0.1)</f>
        <v>4.670622857015766E-2</v>
      </c>
      <c r="I10" s="2" cm="1">
        <f t="array" ref="I10">GAMMAGREEK($B10,100,0.01,I$2,0.1)</f>
        <v>4.4567221413124185E-2</v>
      </c>
      <c r="J10" s="2" cm="1">
        <f t="array" ref="J10">GAMMAGREEK($B10,100,0.01,J$2,0.1)</f>
        <v>4.2631739576590874E-2</v>
      </c>
      <c r="K10" s="2" cm="1">
        <f t="array" ref="K10">GAMMAGREEK($B10,100,0.01,K$2,0.1)</f>
        <v>4.0888684659269085E-2</v>
      </c>
      <c r="L10" s="2" cm="1">
        <f t="array" ref="L10">GAMMAGREEK($B10,100,0.01,L$2,0.1)</f>
        <v>3.9317306319057527E-2</v>
      </c>
      <c r="M10" s="2" cm="1">
        <f t="array" ref="M10">GAMMAGREEK($B10,100,0.01,M$2,0.1)</f>
        <v>3.7895932961868335E-2</v>
      </c>
      <c r="N10" s="2" cm="1">
        <f t="array" ref="N10">GAMMAGREEK($B10,100,0.01,N$2,0.1)</f>
        <v>3.6604787028204494E-2</v>
      </c>
      <c r="O10" s="2" cm="1">
        <f t="array" ref="O10">GAMMAGREEK($B10,100,0.01,O$2,0.1)</f>
        <v>3.5426685718783324E-2</v>
      </c>
      <c r="P10" s="2" cm="1">
        <f t="array" ref="P10">GAMMAGREEK($B10,100,0.01,P$2,0.1)</f>
        <v>3.4346990827101728E-2</v>
      </c>
      <c r="Q10" s="2" cm="1">
        <f t="array" ref="Q10">GAMMAGREEK($B10,100,0.01,Q$2,0.1)</f>
        <v>3.335331829105008E-2</v>
      </c>
      <c r="R10" s="2" cm="1">
        <f t="array" ref="R10">GAMMAGREEK($B10,100,0.01,R$2,0.1)</f>
        <v>3.2435200235792903E-2</v>
      </c>
      <c r="S10" s="2" cm="1">
        <f t="array" ref="S10">GAMMAGREEK($B10,100,0.01,S$2,0.1)</f>
        <v>3.1583769019488048E-2</v>
      </c>
      <c r="T10" s="2" cm="1">
        <f t="array" ref="T10">GAMMAGREEK($B10,100,0.01,T$2,0.1)</f>
        <v>3.0791484240359053E-2</v>
      </c>
      <c r="U10" s="2" cm="1">
        <f t="array" ref="U10">GAMMAGREEK($B10,100,0.01,U$2,0.1)</f>
        <v>3.0051904889462275E-2</v>
      </c>
      <c r="V10" s="2" cm="1">
        <f t="array" ref="V10">GAMMAGREEK($B10,100,0.01,V$2,0.1)</f>
        <v>2.9359502161316494E-2</v>
      </c>
      <c r="W10" s="2" cm="1">
        <f t="array" ref="W10">GAMMAGREEK($B10,100,0.01,W$2,0.1)</f>
        <v>2.8709506660872505E-2</v>
      </c>
      <c r="X10" s="2" cm="1">
        <f t="array" ref="X10">GAMMAGREEK($B10,100,0.01,X$2,0.1)</f>
        <v>2.8097783871693975E-2</v>
      </c>
      <c r="Y10" s="2" cm="1">
        <f t="array" ref="Y10">GAMMAGREEK($B10,100,0.01,Y$2,0.1)</f>
        <v>2.7520732523333185E-2</v>
      </c>
      <c r="Z10" s="2" cm="1">
        <f t="array" ref="Z10">GAMMAGREEK($B10,100,0.01,Z$2,0.1)</f>
        <v>2.6975201402602338E-2</v>
      </c>
      <c r="AA10" s="2" cm="1">
        <f t="array" ref="AA10">GAMMAGREEK($B10,100,0.01,AA$2,0.1)</f>
        <v>2.6458420997554591E-2</v>
      </c>
      <c r="AB10" s="2" cm="1">
        <f t="array" ref="AB10">GAMMAGREEK($B10,100,0.01,AB$2,0.1)</f>
        <v>2.5967947082823985E-2</v>
      </c>
      <c r="AC10" s="2" cm="1">
        <f t="array" ref="AC10">GAMMAGREEK($B10,100,0.01,AC$2,0.1)</f>
        <v>2.5501613943872944E-2</v>
      </c>
      <c r="AD10" s="2" cm="1">
        <f t="array" ref="AD10">GAMMAGREEK($B10,100,0.01,AD$2,0.1)</f>
        <v>2.5057495409369166E-2</v>
      </c>
      <c r="AE10" s="2" cm="1">
        <f t="array" ref="AE10">GAMMAGREEK($B10,100,0.01,AE$2,0.1)</f>
        <v>2.4633872234648736E-2</v>
      </c>
      <c r="AF10" s="2" cm="1">
        <f t="array" ref="AF10">GAMMAGREEK($B10,100,0.01,AF$2,0.1)</f>
        <v>2.4229204673908024E-2</v>
      </c>
      <c r="AG10" s="2" cm="1">
        <f t="array" ref="AG10">GAMMAGREEK($B10,100,0.01,AG$2,0.1)</f>
        <v>2.3842109310802242E-2</v>
      </c>
      <c r="AH10" s="2" cm="1">
        <f t="array" ref="AH10">GAMMAGREEK($B10,100,0.01,AH$2,0.1)</f>
        <v>2.3471339399977437E-2</v>
      </c>
      <c r="AI10" s="2" cm="1">
        <f t="array" ref="AI10">GAMMAGREEK($B10,100,0.01,AI$2,0.1)</f>
        <v>2.3115768116465291E-2</v>
      </c>
      <c r="AJ10" s="2" cm="1">
        <f t="array" ref="AJ10">GAMMAGREEK($B10,100,0.01,AJ$2,0.1)</f>
        <v>2.2774374224258393E-2</v>
      </c>
      <c r="AK10" s="2" cm="1">
        <f t="array" ref="AK10">GAMMAGREEK($B10,100,0.01,AK$2,0.1)</f>
        <v>2.2446229766323472E-2</v>
      </c>
      <c r="AL10" s="2" cm="1">
        <f t="array" ref="AL10">GAMMAGREEK($B10,100,0.01,AL$2,0.1)</f>
        <v>2.2130489450894245E-2</v>
      </c>
      <c r="AM10" s="2" cm="1">
        <f t="array" ref="AM10">GAMMAGREEK($B10,100,0.01,AM$2,0.1)</f>
        <v>2.1826381467059425E-2</v>
      </c>
      <c r="AN10" s="2" cm="1">
        <f t="array" ref="AN10">GAMMAGREEK($B10,100,0.01,AN$2,0.1)</f>
        <v>2.1533199509483875E-2</v>
      </c>
      <c r="AO10" s="2" cm="1">
        <f t="array" ref="AO10">GAMMAGREEK($B10,100,0.01,AO$2,0.1)</f>
        <v>2.1250295829948276E-2</v>
      </c>
      <c r="AP10" s="2" cm="1">
        <f t="array" ref="AP10">GAMMAGREEK($B10,100,0.01,AP$2,0.1)</f>
        <v>2.0977075164115507E-2</v>
      </c>
      <c r="AQ10" s="2" cm="1">
        <f t="array" ref="AQ10">GAMMAGREEK($B10,100,0.01,AQ$2,0.1)</f>
        <v>2.0712989406975881E-2</v>
      </c>
      <c r="AR10" s="2" cm="1">
        <f t="array" ref="AR10">GAMMAGREEK($B10,100,0.01,AR$2,0.1)</f>
        <v>2.045753293092302E-2</v>
      </c>
      <c r="AS10" s="2" cm="1">
        <f t="array" ref="AS10">GAMMAGREEK($B10,100,0.01,AS$2,0.1)</f>
        <v>2.0210238457259114E-2</v>
      </c>
      <c r="AT10" s="2" cm="1">
        <f t="array" ref="AT10">GAMMAGREEK($B10,100,0.01,AT$2,0.1)</f>
        <v>1.9970673405828365E-2</v>
      </c>
      <c r="AU10" s="2" cm="1">
        <f t="array" ref="AU10">GAMMAGREEK($B10,100,0.01,AU$2,0.1)</f>
        <v>1.9738436658990017E-2</v>
      </c>
      <c r="AV10" s="2" cm="1">
        <f t="array" ref="AV10">GAMMAGREEK($B10,100,0.01,AV$2,0.1)</f>
        <v>1.9513155685712526E-2</v>
      </c>
      <c r="AW10" s="2" cm="1">
        <f t="array" ref="AW10">GAMMAGREEK($B10,100,0.01,AW$2,0.1)</f>
        <v>1.9294483979555334E-2</v>
      </c>
      <c r="AX10" s="2" cm="1">
        <f t="array" ref="AX10">GAMMAGREEK($B10,100,0.01,AX$2,0.1)</f>
        <v>1.9082098770989597E-2</v>
      </c>
      <c r="AY10" s="2" cm="1">
        <f t="array" ref="AY10">GAMMAGREEK($B10,100,0.01,AY$2,0.1)</f>
        <v>1.8875698980125085E-2</v>
      </c>
      <c r="AZ10" s="2" cm="1">
        <f t="array" ref="AZ10">GAMMAGREEK($B10,100,0.01,AZ$2,0.1)</f>
        <v>1.8675003380643759E-2</v>
      </c>
    </row>
    <row r="11" spans="1:52" x14ac:dyDescent="0.3">
      <c r="A11" s="2"/>
      <c r="B11" s="2">
        <v>100</v>
      </c>
      <c r="C11" s="2" cm="1">
        <f t="array" ref="C11">GAMMAGREEK($B11,100,0.01,C$2,0.1)</f>
        <v>0.12601477970020519</v>
      </c>
      <c r="D11" s="2" cm="1">
        <f t="array" ref="D11">GAMMAGREEK($B11,100,0.01,D$2,0.1)</f>
        <v>8.9005717478522636E-2</v>
      </c>
      <c r="E11" s="2" cm="1">
        <f t="array" ref="E11">GAMMAGREEK($B11,100,0.01,E$2,0.1)</f>
        <v>7.2591153003284115E-2</v>
      </c>
      <c r="F11" s="2" cm="1">
        <f t="array" ref="F11">GAMMAGREEK($B11,100,0.01,F$2,0.1)</f>
        <v>6.2795098352771278E-2</v>
      </c>
      <c r="G11" s="2" cm="1">
        <f t="array" ref="G11">GAMMAGREEK($B11,100,0.01,G$2,0.1)</f>
        <v>5.6102492608372502E-2</v>
      </c>
      <c r="H11" s="2" cm="1">
        <f t="array" ref="H11">GAMMAGREEK($B11,100,0.01,H$2,0.1)</f>
        <v>5.1156750826999199E-2</v>
      </c>
      <c r="I11" s="2" cm="1">
        <f t="array" ref="I11">GAMMAGREEK($B11,100,0.01,I$2,0.1)</f>
        <v>4.730869592301469E-2</v>
      </c>
      <c r="J11" s="2" cm="1">
        <f t="array" ref="J11">GAMMAGREEK($B11,100,0.01,J$2,0.1)</f>
        <v>4.4203475996246966E-2</v>
      </c>
      <c r="K11" s="2" cm="1">
        <f t="array" ref="K11">GAMMAGREEK($B11,100,0.01,K$2,0.1)</f>
        <v>4.1628578335024279E-2</v>
      </c>
      <c r="L11" s="2" cm="1">
        <f t="array" ref="L11">GAMMAGREEK($B11,100,0.01,L$2,0.1)</f>
        <v>3.9447933090788895E-2</v>
      </c>
      <c r="M11" s="2" cm="1">
        <f t="array" ref="M11">GAMMAGREEK($B11,100,0.01,M$2,0.1)</f>
        <v>3.7569838573154178E-2</v>
      </c>
      <c r="N11" s="2" cm="1">
        <f t="array" ref="N11">GAMMAGREEK($B11,100,0.01,N$2,0.1)</f>
        <v>3.5929937958321799E-2</v>
      </c>
      <c r="O11" s="2" cm="1">
        <f t="array" ref="O11">GAMMAGREEK($B11,100,0.01,O$2,0.1)</f>
        <v>3.4481554212551765E-2</v>
      </c>
      <c r="P11" s="2" cm="1">
        <f t="array" ref="P11">GAMMAGREEK($B11,100,0.01,P$2,0.1)</f>
        <v>3.3189897401270013E-2</v>
      </c>
      <c r="Q11" s="2" cm="1">
        <f t="array" ref="Q11">GAMMAGREEK($B11,100,0.01,Q$2,0.1)</f>
        <v>3.2028434895757518E-2</v>
      </c>
      <c r="R11" s="2" cm="1">
        <f t="array" ref="R11">GAMMAGREEK($B11,100,0.01,R$2,0.1)</f>
        <v>3.0976530532551543E-2</v>
      </c>
      <c r="S11" s="2" cm="1">
        <f t="array" ref="S11">GAMMAGREEK($B11,100,0.01,S$2,0.1)</f>
        <v>3.0017859681733601E-2</v>
      </c>
      <c r="T11" s="2" cm="1">
        <f t="array" ref="T11">GAMMAGREEK($B11,100,0.01,T$2,0.1)</f>
        <v>2.9139315788165681E-2</v>
      </c>
      <c r="U11" s="2" cm="1">
        <f t="array" ref="U11">GAMMAGREEK($B11,100,0.01,U$2,0.1)</f>
        <v>2.8330237855564874E-2</v>
      </c>
      <c r="V11" s="2" cm="1">
        <f t="array" ref="V11">GAMMAGREEK($B11,100,0.01,V$2,0.1)</f>
        <v>2.7581853166270594E-2</v>
      </c>
      <c r="W11" s="2" cm="1">
        <f t="array" ref="W11">GAMMAGREEK($B11,100,0.01,W$2,0.1)</f>
        <v>2.6886867770049713E-2</v>
      </c>
      <c r="X11" s="2" cm="1">
        <f t="array" ref="X11">GAMMAGREEK($B11,100,0.01,X$2,0.1)</f>
        <v>2.6239160557133951E-2</v>
      </c>
      <c r="Y11" s="2" cm="1">
        <f t="array" ref="Y11">GAMMAGREEK($B11,100,0.01,Y$2,0.1)</f>
        <v>2.5633551306602057E-2</v>
      </c>
      <c r="Z11" s="2" cm="1">
        <f t="array" ref="Z11">GAMMAGREEK($B11,100,0.01,Z$2,0.1)</f>
        <v>2.5065622456674288E-2</v>
      </c>
      <c r="AA11" s="2" cm="1">
        <f t="array" ref="AA11">GAMMAGREEK($B11,100,0.01,AA$2,0.1)</f>
        <v>2.4531580483881502E-2</v>
      </c>
      <c r="AB11" s="2" cm="1">
        <f t="array" ref="AB11">GAMMAGREEK($B11,100,0.01,AB$2,0.1)</f>
        <v>2.4028146890383732E-2</v>
      </c>
      <c r="AC11" s="2" cm="1">
        <f t="array" ref="AC11">GAMMAGREEK($B11,100,0.01,AC$2,0.1)</f>
        <v>2.3552471603653233E-2</v>
      </c>
      <c r="AD11" s="2" cm="1">
        <f t="array" ref="AD11">GAMMAGREEK($B11,100,0.01,AD$2,0.1)</f>
        <v>2.3102063538126733E-2</v>
      </c>
      <c r="AE11" s="2" cm="1">
        <f t="array" ref="AE11">GAMMAGREEK($B11,100,0.01,AE$2,0.1)</f>
        <v>2.2674734438440241E-2</v>
      </c>
      <c r="AF11" s="2" cm="1">
        <f t="array" ref="AF11">GAMMAGREEK($B11,100,0.01,AF$2,0.1)</f>
        <v>2.2268553102305574E-2</v>
      </c>
      <c r="AG11" s="2" cm="1">
        <f t="array" ref="AG11">GAMMAGREEK($B11,100,0.01,AG$2,0.1)</f>
        <v>2.1881807788990112E-2</v>
      </c>
      <c r="AH11" s="2" cm="1">
        <f t="array" ref="AH11">GAMMAGREEK($B11,100,0.01,AH$2,0.1)</f>
        <v>2.1512975137699085E-2</v>
      </c>
      <c r="AI11" s="2" cm="1">
        <f t="array" ref="AI11">GAMMAGREEK($B11,100,0.01,AI$2,0.1)</f>
        <v>2.116069430393883E-2</v>
      </c>
      <c r="AJ11" s="2" cm="1">
        <f t="array" ref="AJ11">GAMMAGREEK($B11,100,0.01,AJ$2,0.1)</f>
        <v>2.0823745309046258E-2</v>
      </c>
      <c r="AK11" s="2" cm="1">
        <f t="array" ref="AK11">GAMMAGREEK($B11,100,0.01,AK$2,0.1)</f>
        <v>2.0501030814938835E-2</v>
      </c>
      <c r="AL11" s="2" cm="1">
        <f t="array" ref="AL11">GAMMAGREEK($B11,100,0.01,AL$2,0.1)</f>
        <v>2.0191560701439622E-2</v>
      </c>
      <c r="AM11" s="2" cm="1">
        <f t="array" ref="AM11">GAMMAGREEK($B11,100,0.01,AM$2,0.1)</f>
        <v>1.9894438950596498E-2</v>
      </c>
      <c r="AN11" s="2" cm="1">
        <f t="array" ref="AN11">GAMMAGREEK($B11,100,0.01,AN$2,0.1)</f>
        <v>1.9608852440866732E-2</v>
      </c>
      <c r="AO11" s="2" cm="1">
        <f t="array" ref="AO11">GAMMAGREEK($B11,100,0.01,AO$2,0.1)</f>
        <v>1.9334061330894017E-2</v>
      </c>
      <c r="AP11" s="2" cm="1">
        <f t="array" ref="AP11">GAMMAGREEK($B11,100,0.01,AP$2,0.1)</f>
        <v>1.9069390773026208E-2</v>
      </c>
      <c r="AQ11" s="2" cm="1">
        <f t="array" ref="AQ11">GAMMAGREEK($B11,100,0.01,AQ$2,0.1)</f>
        <v>1.8814223744540053E-2</v>
      </c>
      <c r="AR11" s="2" cm="1">
        <f t="array" ref="AR11">GAMMAGREEK($B11,100,0.01,AR$2,0.1)</f>
        <v>1.8567994822622547E-2</v>
      </c>
      <c r="AS11" s="2" cm="1">
        <f t="array" ref="AS11">GAMMAGREEK($B11,100,0.01,AS$2,0.1)</f>
        <v>1.8330184759670066E-2</v>
      </c>
      <c r="AT11" s="2" cm="1">
        <f t="array" ref="AT11">GAMMAGREEK($B11,100,0.01,AT$2,0.1)</f>
        <v>1.8100315740050391E-2</v>
      </c>
      <c r="AU11" s="2" cm="1">
        <f t="array" ref="AU11">GAMMAGREEK($B11,100,0.01,AU$2,0.1)</f>
        <v>1.7877947219388072E-2</v>
      </c>
      <c r="AV11" s="2" cm="1">
        <f t="array" ref="AV11">GAMMAGREEK($B11,100,0.01,AV$2,0.1)</f>
        <v>1.7662672263648489E-2</v>
      </c>
      <c r="AW11" s="2" cm="1">
        <f t="array" ref="AW11">GAMMAGREEK($B11,100,0.01,AW$2,0.1)</f>
        <v>1.7454114318564019E-2</v>
      </c>
      <c r="AX11" s="2" cm="1">
        <f t="array" ref="AX11">GAMMAGREEK($B11,100,0.01,AX$2,0.1)</f>
        <v>1.7251924350851457E-2</v>
      </c>
      <c r="AY11" s="2" cm="1">
        <f t="array" ref="AY11">GAMMAGREEK($B11,100,0.01,AY$2,0.1)</f>
        <v>1.7055778311675065E-2</v>
      </c>
      <c r="AZ11" s="2" cm="1">
        <f t="array" ref="AZ11">GAMMAGREEK($B11,100,0.01,AZ$2,0.1)</f>
        <v>1.6865374880276125E-2</v>
      </c>
    </row>
    <row r="12" spans="1:52" x14ac:dyDescent="0.3">
      <c r="A12" s="2"/>
      <c r="B12" s="2">
        <v>105</v>
      </c>
      <c r="C12" s="2" cm="1">
        <f t="array" ref="C12">GAMMAGREEK($B12,100,0.01,C$2,0.1)</f>
        <v>3.3926069444668298E-2</v>
      </c>
      <c r="D12" s="2" cm="1">
        <f t="array" ref="D12">GAMMAGREEK($B12,100,0.01,D$2,0.1)</f>
        <v>4.3449753071981685E-2</v>
      </c>
      <c r="E12" s="2" cm="1">
        <f t="array" ref="E12">GAMMAGREEK($B12,100,0.01,E$2,0.1)</f>
        <v>4.3212117686085329E-2</v>
      </c>
      <c r="F12" s="2" cm="1">
        <f t="array" ref="F12">GAMMAGREEK($B12,100,0.01,F$2,0.1)</f>
        <v>4.1278492158452362E-2</v>
      </c>
      <c r="G12" s="2" cm="1">
        <f t="array" ref="G12">GAMMAGREEK($B12,100,0.01,G$2,0.1)</f>
        <v>3.9140464152421513E-2</v>
      </c>
      <c r="H12" s="2" cm="1">
        <f t="array" ref="H12">GAMMAGREEK($B12,100,0.01,H$2,0.1)</f>
        <v>3.7134472308525492E-2</v>
      </c>
      <c r="I12" s="2" cm="1">
        <f t="array" ref="I12">GAMMAGREEK($B12,100,0.01,I$2,0.1)</f>
        <v>3.5328302741473985E-2</v>
      </c>
      <c r="J12" s="2" cm="1">
        <f t="array" ref="J12">GAMMAGREEK($B12,100,0.01,J$2,0.1)</f>
        <v>3.3718545937390328E-2</v>
      </c>
      <c r="K12" s="2" cm="1">
        <f t="array" ref="K12">GAMMAGREEK($B12,100,0.01,K$2,0.1)</f>
        <v>3.2283704705699044E-2</v>
      </c>
      <c r="L12" s="2" cm="1">
        <f t="array" ref="L12">GAMMAGREEK($B12,100,0.01,L$2,0.1)</f>
        <v>3.0999845988993833E-2</v>
      </c>
      <c r="M12" s="2" cm="1">
        <f t="array" ref="M12">GAMMAGREEK($B12,100,0.01,M$2,0.1)</f>
        <v>2.9845154867104241E-2</v>
      </c>
      <c r="N12" s="2" cm="1">
        <f t="array" ref="N12">GAMMAGREEK($B12,100,0.01,N$2,0.1)</f>
        <v>2.8800962084896738E-2</v>
      </c>
      <c r="O12" s="2" cm="1">
        <f t="array" ref="O12">GAMMAGREEK($B12,100,0.01,O$2,0.1)</f>
        <v>2.7851649216456921E-2</v>
      </c>
      <c r="P12" s="2" cm="1">
        <f t="array" ref="P12">GAMMAGREEK($B12,100,0.01,P$2,0.1)</f>
        <v>2.6984239596275317E-2</v>
      </c>
      <c r="Q12" s="2" cm="1">
        <f t="array" ref="Q12">GAMMAGREEK($B12,100,0.01,Q$2,0.1)</f>
        <v>2.6187949205915512E-2</v>
      </c>
      <c r="R12" s="2" cm="1">
        <f t="array" ref="R12">GAMMAGREEK($B12,100,0.01,R$2,0.1)</f>
        <v>2.5453784212774371E-2</v>
      </c>
      <c r="S12" s="2" cm="1">
        <f t="array" ref="S12">GAMMAGREEK($B12,100,0.01,S$2,0.1)</f>
        <v>2.4774205117917496E-2</v>
      </c>
      <c r="T12" s="2" cm="1">
        <f t="array" ref="T12">GAMMAGREEK($B12,100,0.01,T$2,0.1)</f>
        <v>2.4142854638570039E-2</v>
      </c>
      <c r="U12" s="2" cm="1">
        <f t="array" ref="U12">GAMMAGREEK($B12,100,0.01,U$2,0.1)</f>
        <v>2.3554339843767848E-2</v>
      </c>
      <c r="V12" s="2" cm="1">
        <f t="array" ref="V12">GAMMAGREEK($B12,100,0.01,V$2,0.1)</f>
        <v>2.3004058320651034E-2</v>
      </c>
      <c r="W12" s="2" cm="1">
        <f t="array" ref="W12">GAMMAGREEK($B12,100,0.01,W$2,0.1)</f>
        <v>2.2488059330242807E-2</v>
      </c>
      <c r="X12" s="2" cm="1">
        <f t="array" ref="X12">GAMMAGREEK($B12,100,0.01,X$2,0.1)</f>
        <v>2.2002932529617505E-2</v>
      </c>
      <c r="Y12" s="2" cm="1">
        <f t="array" ref="Y12">GAMMAGREEK($B12,100,0.01,Y$2,0.1)</f>
        <v>2.1545718365481119E-2</v>
      </c>
      <c r="Z12" s="2" cm="1">
        <f t="array" ref="Z12">GAMMAGREEK($B12,100,0.01,Z$2,0.1)</f>
        <v>2.1113835528676544E-2</v>
      </c>
      <c r="AA12" s="2" cm="1">
        <f t="array" ref="AA12">GAMMAGREEK($B12,100,0.01,AA$2,0.1)</f>
        <v>2.0705021885851421E-2</v>
      </c>
      <c r="AB12" s="2" cm="1">
        <f t="array" ref="AB12">GAMMAGREEK($B12,100,0.01,AB$2,0.1)</f>
        <v>2.0317286105818386E-2</v>
      </c>
      <c r="AC12" s="2" cm="1">
        <f t="array" ref="AC12">GAMMAGREEK($B12,100,0.01,AC$2,0.1)</f>
        <v>1.994886781655179E-2</v>
      </c>
      <c r="AD12" s="2" cm="1">
        <f t="array" ref="AD12">GAMMAGREEK($B12,100,0.01,AD$2,0.1)</f>
        <v>1.9598204603990407E-2</v>
      </c>
      <c r="AE12" s="2" cm="1">
        <f t="array" ref="AE12">GAMMAGREEK($B12,100,0.01,AE$2,0.1)</f>
        <v>1.9263904528874987E-2</v>
      </c>
      <c r="AF12" s="2" cm="1">
        <f t="array" ref="AF12">GAMMAGREEK($B12,100,0.01,AF$2,0.1)</f>
        <v>1.8944723118837964E-2</v>
      </c>
      <c r="AG12" s="2" cm="1">
        <f t="array" ref="AG12">GAMMAGREEK($B12,100,0.01,AG$2,0.1)</f>
        <v>1.8639544009979449E-2</v>
      </c>
      <c r="AH12" s="2" cm="1">
        <f t="array" ref="AH12">GAMMAGREEK($B12,100,0.01,AH$2,0.1)</f>
        <v>1.83473625804902E-2</v>
      </c>
      <c r="AI12" s="2" cm="1">
        <f t="array" ref="AI12">GAMMAGREEK($B12,100,0.01,AI$2,0.1)</f>
        <v>1.8067272050067282E-2</v>
      </c>
      <c r="AJ12" s="2" cm="1">
        <f t="array" ref="AJ12">GAMMAGREEK($B12,100,0.01,AJ$2,0.1)</f>
        <v>1.7798451621625064E-2</v>
      </c>
      <c r="AK12" s="2" cm="1">
        <f t="array" ref="AK12">GAMMAGREEK($B12,100,0.01,AK$2,0.1)</f>
        <v>1.7540156322711244E-2</v>
      </c>
      <c r="AL12" s="2" cm="1">
        <f t="array" ref="AL12">GAMMAGREEK($B12,100,0.01,AL$2,0.1)</f>
        <v>1.7291708268073674E-2</v>
      </c>
      <c r="AM12" s="2" cm="1">
        <f t="array" ref="AM12">GAMMAGREEK($B12,100,0.01,AM$2,0.1)</f>
        <v>1.7052489115768971E-2</v>
      </c>
      <c r="AN12" s="2" cm="1">
        <f t="array" ref="AN12">GAMMAGREEK($B12,100,0.01,AN$2,0.1)</f>
        <v>1.6821933529941713E-2</v>
      </c>
      <c r="AO12" s="2" cm="1">
        <f t="array" ref="AO12">GAMMAGREEK($B12,100,0.01,AO$2,0.1)</f>
        <v>1.6599523496140179E-2</v>
      </c>
      <c r="AP12" s="2" cm="1">
        <f t="array" ref="AP12">GAMMAGREEK($B12,100,0.01,AP$2,0.1)</f>
        <v>1.6384783361470954E-2</v>
      </c>
      <c r="AQ12" s="2" cm="1">
        <f t="array" ref="AQ12">GAMMAGREEK($B12,100,0.01,AQ$2,0.1)</f>
        <v>1.6177275493342708E-2</v>
      </c>
      <c r="AR12" s="2" cm="1">
        <f t="array" ref="AR12">GAMMAGREEK($B12,100,0.01,AR$2,0.1)</f>
        <v>1.597659646803061E-2</v>
      </c>
      <c r="AS12" s="2" cm="1">
        <f t="array" ref="AS12">GAMMAGREEK($B12,100,0.01,AS$2,0.1)</f>
        <v>1.5782373714603122E-2</v>
      </c>
      <c r="AT12" s="2" cm="1">
        <f t="array" ref="AT12">GAMMAGREEK($B12,100,0.01,AT$2,0.1)</f>
        <v>1.5594262551517697E-2</v>
      </c>
      <c r="AU12" s="2" cm="1">
        <f t="array" ref="AU12">GAMMAGREEK($B12,100,0.01,AU$2,0.1)</f>
        <v>1.5411943562904132E-2</v>
      </c>
      <c r="AV12" s="2" cm="1">
        <f t="array" ref="AV12">GAMMAGREEK($B12,100,0.01,AV$2,0.1)</f>
        <v>1.5235120269603136E-2</v>
      </c>
      <c r="AW12" s="2" cm="1">
        <f t="array" ref="AW12">GAMMAGREEK($B12,100,0.01,AW$2,0.1)</f>
        <v>1.5063517056724691E-2</v>
      </c>
      <c r="AX12" s="2" cm="1">
        <f t="array" ref="AX12">GAMMAGREEK($B12,100,0.01,AX$2,0.1)</f>
        <v>1.4896877325082502E-2</v>
      </c>
      <c r="AY12" s="2" cm="1">
        <f t="array" ref="AY12">GAMMAGREEK($B12,100,0.01,AY$2,0.1)</f>
        <v>1.4734961838547283E-2</v>
      </c>
      <c r="AZ12" s="2" cm="1">
        <f t="array" ref="AZ12">GAMMAGREEK($B12,100,0.01,AZ$2,0.1)</f>
        <v>1.4577547243302309E-2</v>
      </c>
    </row>
    <row r="13" spans="1:52" x14ac:dyDescent="0.3">
      <c r="A13" s="2"/>
      <c r="B13" s="2">
        <v>110</v>
      </c>
      <c r="C13" s="2" cm="1">
        <f t="array" ref="C13">GAMMAGREEK($B13,100,0.01,C$2,0.1)</f>
        <v>1.0577125055269184E-3</v>
      </c>
      <c r="D13" s="2" cm="1">
        <f t="array" ref="D13">GAMMAGREEK($B13,100,0.01,D$2,0.1)</f>
        <v>7.2385257929532577E-3</v>
      </c>
      <c r="E13" s="2" cm="1">
        <f t="array" ref="E13">GAMMAGREEK($B13,100,0.01,E$2,0.1)</f>
        <v>1.2585716288856257E-2</v>
      </c>
      <c r="F13" s="2" cm="1">
        <f t="array" ref="F13">GAMMAGREEK($B13,100,0.01,F$2,0.1)</f>
        <v>1.5896481134192911E-2</v>
      </c>
      <c r="G13" s="2" cm="1">
        <f t="array" ref="G13">GAMMAGREEK($B13,100,0.01,G$2,0.1)</f>
        <v>1.7823213843019742E-2</v>
      </c>
      <c r="H13" s="2" cm="1">
        <f t="array" ref="H13">GAMMAGREEK($B13,100,0.01,H$2,0.1)</f>
        <v>1.8908593172743498E-2</v>
      </c>
      <c r="I13" s="2" cm="1">
        <f t="array" ref="I13">GAMMAGREEK($B13,100,0.01,I$2,0.1)</f>
        <v>1.9483332622964502E-2</v>
      </c>
      <c r="J13" s="2" cm="1">
        <f t="array" ref="J13">GAMMAGREEK($B13,100,0.01,J$2,0.1)</f>
        <v>1.9742547542846395E-2</v>
      </c>
      <c r="K13" s="2" cm="1">
        <f t="array" ref="K13">GAMMAGREEK($B13,100,0.01,K$2,0.1)</f>
        <v>1.9803191408745976E-2</v>
      </c>
      <c r="L13" s="2" cm="1">
        <f t="array" ref="L13">GAMMAGREEK($B13,100,0.01,L$2,0.1)</f>
        <v>1.9737190221859435E-2</v>
      </c>
      <c r="M13" s="2" cm="1">
        <f t="array" ref="M13">GAMMAGREEK($B13,100,0.01,M$2,0.1)</f>
        <v>1.9589929669154654E-2</v>
      </c>
      <c r="N13" s="2" cm="1">
        <f t="array" ref="N13">GAMMAGREEK($B13,100,0.01,N$2,0.1)</f>
        <v>1.9390711432614016E-2</v>
      </c>
      <c r="O13" s="2" cm="1">
        <f t="array" ref="O13">GAMMAGREEK($B13,100,0.01,O$2,0.1)</f>
        <v>1.9158821981085879E-2</v>
      </c>
      <c r="P13" s="2" cm="1">
        <f t="array" ref="P13">GAMMAGREEK($B13,100,0.01,P$2,0.1)</f>
        <v>1.890715513011423E-2</v>
      </c>
      <c r="Q13" s="2" cm="1">
        <f t="array" ref="Q13">GAMMAGREEK($B13,100,0.01,Q$2,0.1)</f>
        <v>1.8644433631487912E-2</v>
      </c>
      <c r="R13" s="2" cm="1">
        <f t="array" ref="R13">GAMMAGREEK($B13,100,0.01,R$2,0.1)</f>
        <v>1.8376605941409354E-2</v>
      </c>
      <c r="S13" s="2" cm="1">
        <f t="array" ref="S13">GAMMAGREEK($B13,100,0.01,S$2,0.1)</f>
        <v>1.8107744393202695E-2</v>
      </c>
      <c r="T13" s="2" cm="1">
        <f t="array" ref="T13">GAMMAGREEK($B13,100,0.01,T$2,0.1)</f>
        <v>1.7840634519514936E-2</v>
      </c>
      <c r="U13" s="2" cm="1">
        <f t="array" ref="U13">GAMMAGREEK($B13,100,0.01,U$2,0.1)</f>
        <v>1.7577168740926678E-2</v>
      </c>
      <c r="V13" s="2" cm="1">
        <f t="array" ref="V13">GAMMAGREEK($B13,100,0.01,V$2,0.1)</f>
        <v>1.7318613598151577E-2</v>
      </c>
      <c r="W13" s="2" cm="1">
        <f t="array" ref="W13">GAMMAGREEK($B13,100,0.01,W$2,0.1)</f>
        <v>1.7065793729784985E-2</v>
      </c>
      <c r="X13" s="2" cm="1">
        <f t="array" ref="X13">GAMMAGREEK($B13,100,0.01,X$2,0.1)</f>
        <v>1.6819220121194238E-2</v>
      </c>
      <c r="Y13" s="2" cm="1">
        <f t="array" ref="Y13">GAMMAGREEK($B13,100,0.01,Y$2,0.1)</f>
        <v>1.6579180486053939E-2</v>
      </c>
      <c r="Z13" s="2" cm="1">
        <f t="array" ref="Z13">GAMMAGREEK($B13,100,0.01,Z$2,0.1)</f>
        <v>1.6345803566445494E-2</v>
      </c>
      <c r="AA13" s="2" cm="1">
        <f t="array" ref="AA13">GAMMAGREEK($B13,100,0.01,AA$2,0.1)</f>
        <v>1.6119105248291538E-2</v>
      </c>
      <c r="AB13" s="2" cm="1">
        <f t="array" ref="AB13">GAMMAGREEK($B13,100,0.01,AB$2,0.1)</f>
        <v>1.5899021857614021E-2</v>
      </c>
      <c r="AC13" s="2" cm="1">
        <f t="array" ref="AC13">GAMMAGREEK($B13,100,0.01,AC$2,0.1)</f>
        <v>1.5685434330171975E-2</v>
      </c>
      <c r="AD13" s="2" cm="1">
        <f t="array" ref="AD13">GAMMAGREEK($B13,100,0.01,AD$2,0.1)</f>
        <v>1.5478185825660093E-2</v>
      </c>
      <c r="AE13" s="2" cm="1">
        <f t="array" ref="AE13">GAMMAGREEK($B13,100,0.01,AE$2,0.1)</f>
        <v>1.5277094596122202E-2</v>
      </c>
      <c r="AF13" s="2" cm="1">
        <f t="array" ref="AF13">GAMMAGREEK($B13,100,0.01,AF$2,0.1)</f>
        <v>1.5081963394812055E-2</v>
      </c>
      <c r="AG13" s="2" cm="1">
        <f t="array" ref="AG13">GAMMAGREEK($B13,100,0.01,AG$2,0.1)</f>
        <v>1.4892586347940781E-2</v>
      </c>
      <c r="AH13" s="2" cm="1">
        <f t="array" ref="AH13">GAMMAGREEK($B13,100,0.01,AH$2,0.1)</f>
        <v>1.4708753956283844E-2</v>
      </c>
      <c r="AI13" s="2" cm="1">
        <f t="array" ref="AI13">GAMMAGREEK($B13,100,0.01,AI$2,0.1)</f>
        <v>1.4530256712505492E-2</v>
      </c>
      <c r="AJ13" s="2" cm="1">
        <f t="array" ref="AJ13">GAMMAGREEK($B13,100,0.01,AJ$2,0.1)</f>
        <v>1.4356887690516983E-2</v>
      </c>
      <c r="AK13" s="2" cm="1">
        <f t="array" ref="AK13">GAMMAGREEK($B13,100,0.01,AK$2,0.1)</f>
        <v>1.418844436977096E-2</v>
      </c>
      <c r="AL13" s="2" cm="1">
        <f t="array" ref="AL13">GAMMAGREEK($B13,100,0.01,AL$2,0.1)</f>
        <v>1.4024729889521911E-2</v>
      </c>
      <c r="AM13" s="2" cm="1">
        <f t="array" ref="AM13">GAMMAGREEK($B13,100,0.01,AM$2,0.1)</f>
        <v>1.3865553878423267E-2</v>
      </c>
      <c r="AN13" s="2" cm="1">
        <f t="array" ref="AN13">GAMMAGREEK($B13,100,0.01,AN$2,0.1)</f>
        <v>1.3710732968263587E-2</v>
      </c>
      <c r="AO13" s="2" cm="1">
        <f t="array" ref="AO13">GAMMAGREEK($B13,100,0.01,AO$2,0.1)</f>
        <v>1.3560091073557519E-2</v>
      </c>
      <c r="AP13" s="2" cm="1">
        <f t="array" ref="AP13">GAMMAGREEK($B13,100,0.01,AP$2,0.1)</f>
        <v>1.3413459498534527E-2</v>
      </c>
      <c r="AQ13" s="2" cm="1">
        <f t="array" ref="AQ13">GAMMAGREEK($B13,100,0.01,AQ$2,0.1)</f>
        <v>1.3270676917971298E-2</v>
      </c>
      <c r="AR13" s="2" cm="1">
        <f t="array" ref="AR13">GAMMAGREEK($B13,100,0.01,AR$2,0.1)</f>
        <v>1.3131589266965031E-2</v>
      </c>
      <c r="AS13" s="2" cm="1">
        <f t="array" ref="AS13">GAMMAGREEK($B13,100,0.01,AS$2,0.1)</f>
        <v>1.2996049566180071E-2</v>
      </c>
      <c r="AT13" s="2" cm="1">
        <f t="array" ref="AT13">GAMMAGREEK($B13,100,0.01,AT$2,0.1)</f>
        <v>1.2863917702614122E-2</v>
      </c>
      <c r="AU13" s="2" cm="1">
        <f t="array" ref="AU13">GAMMAGREEK($B13,100,0.01,AU$2,0.1)</f>
        <v>1.2735060181003694E-2</v>
      </c>
      <c r="AV13" s="2" cm="1">
        <f t="array" ref="AV13">GAMMAGREEK($B13,100,0.01,AV$2,0.1)</f>
        <v>1.260934985723686E-2</v>
      </c>
      <c r="AW13" s="2" cm="1">
        <f t="array" ref="AW13">GAMMAGREEK($B13,100,0.01,AW$2,0.1)</f>
        <v>1.2486665662279538E-2</v>
      </c>
      <c r="AX13" s="2" cm="1">
        <f t="array" ref="AX13">GAMMAGREEK($B13,100,0.01,AX$2,0.1)</f>
        <v>1.236689232293476E-2</v>
      </c>
      <c r="AY13" s="2" cm="1">
        <f t="array" ref="AY13">GAMMAGREEK($B13,100,0.01,AY$2,0.1)</f>
        <v>1.2249920084082938E-2</v>
      </c>
      <c r="AZ13" s="2" cm="1">
        <f t="array" ref="AZ13">GAMMAGREEK($B13,100,0.01,AZ$2,0.1)</f>
        <v>1.2135644435772964E-2</v>
      </c>
    </row>
    <row r="14" spans="1:52" x14ac:dyDescent="0.3">
      <c r="A14" s="2"/>
      <c r="B14" s="2">
        <v>115</v>
      </c>
      <c r="C14" s="2" cm="1">
        <f t="array" ref="C14">GAMMAGREEK($B14,100,0.01,C$2,0.1)</f>
        <v>5.0939285700327121E-6</v>
      </c>
      <c r="D14" s="2" cm="1">
        <f t="array" ref="D14">GAMMAGREEK($B14,100,0.01,D$2,0.1)</f>
        <v>4.7518343000644376E-4</v>
      </c>
      <c r="E14" s="2" cm="1">
        <f t="array" ref="E14">GAMMAGREEK($B14,100,0.01,E$2,0.1)</f>
        <v>1.9736239926009679E-3</v>
      </c>
      <c r="F14" s="2" cm="1">
        <f t="array" ref="F14">GAMMAGREEK($B14,100,0.01,F$2,0.1)</f>
        <v>3.852788206715317E-3</v>
      </c>
      <c r="G14" s="2" cm="1">
        <f t="array" ref="G14">GAMMAGREEK($B14,100,0.01,G$2,0.1)</f>
        <v>5.6093527215653792E-3</v>
      </c>
      <c r="H14" s="2" cm="1">
        <f t="array" ref="H14">GAMMAGREEK($B14,100,0.01,H$2,0.1)</f>
        <v>7.0830615084530825E-3</v>
      </c>
      <c r="I14" s="2" cm="1">
        <f t="array" ref="I14">GAMMAGREEK($B14,100,0.01,I$2,0.1)</f>
        <v>8.2651375479295131E-3</v>
      </c>
      <c r="J14" s="2" cm="1">
        <f t="array" ref="J14">GAMMAGREEK($B14,100,0.01,J$2,0.1)</f>
        <v>9.1940914034214817E-3</v>
      </c>
      <c r="K14" s="2" cm="1">
        <f t="array" ref="K14">GAMMAGREEK($B14,100,0.01,K$2,0.1)</f>
        <v>9.9164315716425786E-3</v>
      </c>
      <c r="L14" s="2" cm="1">
        <f t="array" ref="L14">GAMMAGREEK($B14,100,0.01,L$2,0.1)</f>
        <v>1.0474112849205521E-2</v>
      </c>
      <c r="M14" s="2" cm="1">
        <f t="array" ref="M14">GAMMAGREEK($B14,100,0.01,M$2,0.1)</f>
        <v>1.0901657745085901E-2</v>
      </c>
      <c r="N14" s="2" cm="1">
        <f t="array" ref="N14">GAMMAGREEK($B14,100,0.01,N$2,0.1)</f>
        <v>1.1226469401526022E-2</v>
      </c>
      <c r="O14" s="2" cm="1">
        <f t="array" ref="O14">GAMMAGREEK($B14,100,0.01,O$2,0.1)</f>
        <v>1.1470001117776157E-2</v>
      </c>
      <c r="P14" s="2" cm="1">
        <f t="array" ref="P14">GAMMAGREEK($B14,100,0.01,P$2,0.1)</f>
        <v>1.1648987085762071E-2</v>
      </c>
      <c r="Q14" s="2" cm="1">
        <f t="array" ref="Q14">GAMMAGREEK($B14,100,0.01,Q$2,0.1)</f>
        <v>1.1776498483790461E-2</v>
      </c>
      <c r="R14" s="2" cm="1">
        <f t="array" ref="R14">GAMMAGREEK($B14,100,0.01,R$2,0.1)</f>
        <v>1.186278531460724E-2</v>
      </c>
      <c r="S14" s="2" cm="1">
        <f t="array" ref="S14">GAMMAGREEK($B14,100,0.01,S$2,0.1)</f>
        <v>1.1915926788068035E-2</v>
      </c>
      <c r="T14" s="2" cm="1">
        <f t="array" ref="T14">GAMMAGREEK($B14,100,0.01,T$2,0.1)</f>
        <v>1.1942327297960445E-2</v>
      </c>
      <c r="U14" s="2" cm="1">
        <f t="array" ref="U14">GAMMAGREEK($B14,100,0.01,U$2,0.1)</f>
        <v>1.1947093147551819E-2</v>
      </c>
      <c r="V14" s="2" cm="1">
        <f t="array" ref="V14">GAMMAGREEK($B14,100,0.01,V$2,0.1)</f>
        <v>1.1934318929118738E-2</v>
      </c>
      <c r="W14" s="2" cm="1">
        <f t="array" ref="W14">GAMMAGREEK($B14,100,0.01,W$2,0.1)</f>
        <v>1.190730597641447E-2</v>
      </c>
      <c r="X14" s="2" cm="1">
        <f t="array" ref="X14">GAMMAGREEK($B14,100,0.01,X$2,0.1)</f>
        <v>1.1868729820784501E-2</v>
      </c>
      <c r="Y14" s="2" cm="1">
        <f t="array" ref="Y14">GAMMAGREEK($B14,100,0.01,Y$2,0.1)</f>
        <v>1.1820769286030574E-2</v>
      </c>
      <c r="Z14" s="2" cm="1">
        <f t="array" ref="Z14">GAMMAGREEK($B14,100,0.01,Z$2,0.1)</f>
        <v>1.1765206612618236E-2</v>
      </c>
      <c r="AA14" s="2" cm="1">
        <f t="array" ref="AA14">GAMMAGREEK($B14,100,0.01,AA$2,0.1)</f>
        <v>1.1703505592063302E-2</v>
      </c>
      <c r="AB14" s="2" cm="1">
        <f t="array" ref="AB14">GAMMAGREEK($B14,100,0.01,AB$2,0.1)</f>
        <v>1.1636872915305791E-2</v>
      </c>
      <c r="AC14" s="2" cm="1">
        <f t="array" ref="AC14">GAMMAGREEK($B14,100,0.01,AC$2,0.1)</f>
        <v>1.1566306630752733E-2</v>
      </c>
      <c r="AD14" s="2" cm="1">
        <f t="array" ref="AD14">GAMMAGREEK($B14,100,0.01,AD$2,0.1)</f>
        <v>1.1492634643367921E-2</v>
      </c>
      <c r="AE14" s="2" cm="1">
        <f t="array" ref="AE14">GAMMAGREEK($B14,100,0.01,AE$2,0.1)</f>
        <v>1.1416545472987236E-2</v>
      </c>
      <c r="AF14" s="2" cm="1">
        <f t="array" ref="AF14">GAMMAGREEK($B14,100,0.01,AF$2,0.1)</f>
        <v>1.1338612960202376E-2</v>
      </c>
      <c r="AG14" s="2" cm="1">
        <f t="array" ref="AG14">GAMMAGREEK($B14,100,0.01,AG$2,0.1)</f>
        <v>1.1259316212514617E-2</v>
      </c>
      <c r="AH14" s="2" cm="1">
        <f t="array" ref="AH14">GAMMAGREEK($B14,100,0.01,AH$2,0.1)</f>
        <v>1.1179055786390299E-2</v>
      </c>
      <c r="AI14" s="2" cm="1">
        <f t="array" ref="AI14">GAMMAGREEK($B14,100,0.01,AI$2,0.1)</f>
        <v>1.1098166876515261E-2</v>
      </c>
      <c r="AJ14" s="2" cm="1">
        <f t="array" ref="AJ14">GAMMAGREEK($B14,100,0.01,AJ$2,0.1)</f>
        <v>1.1016930113157526E-2</v>
      </c>
      <c r="AK14" s="2" cm="1">
        <f t="array" ref="AK14">GAMMAGREEK($B14,100,0.01,AK$2,0.1)</f>
        <v>1.0935580438387377E-2</v>
      </c>
      <c r="AL14" s="2" cm="1">
        <f t="array" ref="AL14">GAMMAGREEK($B14,100,0.01,AL$2,0.1)</f>
        <v>1.0854314431909349E-2</v>
      </c>
      <c r="AM14" s="2" cm="1">
        <f t="array" ref="AM14">GAMMAGREEK($B14,100,0.01,AM$2,0.1)</f>
        <v>1.0773296380013269E-2</v>
      </c>
      <c r="AN14" s="2" cm="1">
        <f t="array" ref="AN14">GAMMAGREEK($B14,100,0.01,AN$2,0.1)</f>
        <v>1.0692663321153491E-2</v>
      </c>
      <c r="AO14" s="2" cm="1">
        <f t="array" ref="AO14">GAMMAGREEK($B14,100,0.01,AO$2,0.1)</f>
        <v>1.0612529254820119E-2</v>
      </c>
      <c r="AP14" s="2" cm="1">
        <f t="array" ref="AP14">GAMMAGREEK($B14,100,0.01,AP$2,0.1)</f>
        <v>1.0532988663603709E-2</v>
      </c>
      <c r="AQ14" s="2" cm="1">
        <f t="array" ref="AQ14">GAMMAGREEK($B14,100,0.01,AQ$2,0.1)</f>
        <v>1.045411946936373E-2</v>
      </c>
      <c r="AR14" s="2" cm="1">
        <f t="array" ref="AR14">GAMMAGREEK($B14,100,0.01,AR$2,0.1)</f>
        <v>1.0375985521439403E-2</v>
      </c>
      <c r="AS14" s="2" cm="1">
        <f t="array" ref="AS14">GAMMAGREEK($B14,100,0.01,AS$2,0.1)</f>
        <v>1.0298638696556605E-2</v>
      </c>
      <c r="AT14" s="2" cm="1">
        <f t="array" ref="AT14">GAMMAGREEK($B14,100,0.01,AT$2,0.1)</f>
        <v>1.0222120675465525E-2</v>
      </c>
      <c r="AU14" s="2" cm="1">
        <f t="array" ref="AU14">GAMMAGREEK($B14,100,0.01,AU$2,0.1)</f>
        <v>1.01464644496065E-2</v>
      </c>
      <c r="AV14" s="2" cm="1">
        <f t="array" ref="AV14">GAMMAGREEK($B14,100,0.01,AV$2,0.1)</f>
        <v>1.0071695601638883E-2</v>
      </c>
      <c r="AW14" s="2" cm="1">
        <f t="array" ref="AW14">GAMMAGREEK($B14,100,0.01,AW$2,0.1)</f>
        <v>9.9978333960094642E-3</v>
      </c>
      <c r="AX14" s="2" cm="1">
        <f t="array" ref="AX14">GAMMAGREEK($B14,100,0.01,AX$2,0.1)</f>
        <v>9.9248917095149988E-3</v>
      </c>
      <c r="AY14" s="2" cm="1">
        <f t="array" ref="AY14">GAMMAGREEK($B14,100,0.01,AY$2,0.1)</f>
        <v>9.8528798267401019E-3</v>
      </c>
      <c r="AZ14" s="2" cm="1">
        <f t="array" ref="AZ14">GAMMAGREEK($B14,100,0.01,AZ$2,0.1)</f>
        <v>9.7818031211006871E-3</v>
      </c>
    </row>
    <row r="15" spans="1:52" x14ac:dyDescent="0.3">
      <c r="A15" s="2"/>
      <c r="B15" s="2">
        <v>120</v>
      </c>
      <c r="C15" s="2" cm="1">
        <f t="array" ref="C15">GAMMAGREEK($B15,100,0.01,C$2,0.1)</f>
        <v>4.8333065983836836E-9</v>
      </c>
      <c r="D15" s="2" cm="1">
        <f t="array" ref="D15">GAMMAGREEK($B15,100,0.01,D$2,0.1)</f>
        <v>1.3878827508435486E-5</v>
      </c>
      <c r="E15" s="2" cm="1">
        <f t="array" ref="E15">GAMMAGREEK($B15,100,0.01,E$2,0.1)</f>
        <v>1.8065746203269184E-4</v>
      </c>
      <c r="F15" s="2" cm="1">
        <f t="array" ref="F15">GAMMAGREEK($B15,100,0.01,F$2,0.1)</f>
        <v>6.2433347878451608E-4</v>
      </c>
      <c r="G15" s="2" cm="1">
        <f t="array" ref="G15">GAMMAGREEK($B15,100,0.01,G$2,0.1)</f>
        <v>1.280513723504407E-3</v>
      </c>
      <c r="H15" s="2" cm="1">
        <f t="array" ref="H15">GAMMAGREEK($B15,100,0.01,H$2,0.1)</f>
        <v>2.0319475824949755E-3</v>
      </c>
      <c r="I15" s="2" cm="1">
        <f t="array" ref="I15">GAMMAGREEK($B15,100,0.01,I$2,0.1)</f>
        <v>2.7913416838140025E-3</v>
      </c>
      <c r="J15" s="2" cm="1">
        <f t="array" ref="J15">GAMMAGREEK($B15,100,0.01,J$2,0.1)</f>
        <v>3.5093388466936426E-3</v>
      </c>
      <c r="K15" s="2" cm="1">
        <f t="array" ref="K15">GAMMAGREEK($B15,100,0.01,K$2,0.1)</f>
        <v>4.1630686520652089E-3</v>
      </c>
      <c r="L15" s="2" cm="1">
        <f t="array" ref="L15">GAMMAGREEK($B15,100,0.01,L$2,0.1)</f>
        <v>4.7451367772989462E-3</v>
      </c>
      <c r="M15" s="2" cm="1">
        <f t="array" ref="M15">GAMMAGREEK($B15,100,0.01,M$2,0.1)</f>
        <v>5.2563470273733169E-3</v>
      </c>
      <c r="N15" s="2" cm="1">
        <f t="array" ref="N15">GAMMAGREEK($B15,100,0.01,N$2,0.1)</f>
        <v>5.701441643331721E-3</v>
      </c>
      <c r="O15" s="2" cm="1">
        <f t="array" ref="O15">GAMMAGREEK($B15,100,0.01,O$2,0.1)</f>
        <v>6.0867535244754642E-3</v>
      </c>
      <c r="P15" s="2" cm="1">
        <f t="array" ref="P15">GAMMAGREEK($B15,100,0.01,P$2,0.1)</f>
        <v>6.4189702738313096E-3</v>
      </c>
      <c r="Q15" s="2" cm="1">
        <f t="array" ref="Q15">GAMMAGREEK($B15,100,0.01,Q$2,0.1)</f>
        <v>6.7045196326899403E-3</v>
      </c>
      <c r="R15" s="2" cm="1">
        <f t="array" ref="R15">GAMMAGREEK($B15,100,0.01,R$2,0.1)</f>
        <v>6.9492935465572045E-3</v>
      </c>
      <c r="S15" s="2" cm="1">
        <f t="array" ref="S15">GAMMAGREEK($B15,100,0.01,S$2,0.1)</f>
        <v>7.1585521783917392E-3</v>
      </c>
      <c r="T15" s="2" cm="1">
        <f t="array" ref="T15">GAMMAGREEK($B15,100,0.01,T$2,0.1)</f>
        <v>7.3369200920249929E-3</v>
      </c>
      <c r="U15" s="2" cm="1">
        <f t="array" ref="U15">GAMMAGREEK($B15,100,0.01,U$2,0.1)</f>
        <v>7.488426613884428E-3</v>
      </c>
      <c r="V15" s="2" cm="1">
        <f t="array" ref="V15">GAMMAGREEK($B15,100,0.01,V$2,0.1)</f>
        <v>7.6165645282489057E-3</v>
      </c>
      <c r="W15" s="2" cm="1">
        <f t="array" ref="W15">GAMMAGREEK($B15,100,0.01,W$2,0.1)</f>
        <v>7.7243535338541326E-3</v>
      </c>
      <c r="X15" s="2" cm="1">
        <f t="array" ref="X15">GAMMAGREEK($B15,100,0.01,X$2,0.1)</f>
        <v>7.814401654096555E-3</v>
      </c>
      <c r="Y15" s="2" cm="1">
        <f t="array" ref="Y15">GAMMAGREEK($B15,100,0.01,Y$2,0.1)</f>
        <v>7.8889614860402687E-3</v>
      </c>
      <c r="Z15" s="2" cm="1">
        <f t="array" ref="Z15">GAMMAGREEK($B15,100,0.01,Z$2,0.1)</f>
        <v>7.9499801538576303E-3</v>
      </c>
      <c r="AA15" s="2" cm="1">
        <f t="array" ref="AA15">GAMMAGREEK($B15,100,0.01,AA$2,0.1)</f>
        <v>7.9991428598909092E-3</v>
      </c>
      <c r="AB15" s="2" cm="1">
        <f t="array" ref="AB15">GAMMAGREEK($B15,100,0.01,AB$2,0.1)</f>
        <v>8.037910427134691E-3</v>
      </c>
      <c r="AC15" s="2" cm="1">
        <f t="array" ref="AC15">GAMMAGREEK($B15,100,0.01,AC$2,0.1)</f>
        <v>8.0675514399030646E-3</v>
      </c>
      <c r="AD15" s="2" cm="1">
        <f t="array" ref="AD15">GAMMAGREEK($B15,100,0.01,AD$2,0.1)</f>
        <v>8.0891696491791707E-3</v>
      </c>
      <c r="AE15" s="2" cm="1">
        <f t="array" ref="AE15">GAMMAGREEK($B15,100,0.01,AE$2,0.1)</f>
        <v>8.1037272908587223E-3</v>
      </c>
      <c r="AF15" s="2" cm="1">
        <f t="array" ref="AF15">GAMMAGREEK($B15,100,0.01,AF$2,0.1)</f>
        <v>8.1120649104783841E-3</v>
      </c>
      <c r="AG15" s="2" cm="1">
        <f t="array" ref="AG15">GAMMAGREEK($B15,100,0.01,AG$2,0.1)</f>
        <v>8.114918219744029E-3</v>
      </c>
      <c r="AH15" s="2" cm="1">
        <f t="array" ref="AH15">GAMMAGREEK($B15,100,0.01,AH$2,0.1)</f>
        <v>8.112932440177089E-3</v>
      </c>
      <c r="AI15" s="2" cm="1">
        <f t="array" ref="AI15">GAMMAGREEK($B15,100,0.01,AI$2,0.1)</f>
        <v>8.1066745233780279E-3</v>
      </c>
      <c r="AJ15" s="2" cm="1">
        <f t="array" ref="AJ15">GAMMAGREEK($B15,100,0.01,AJ$2,0.1)</f>
        <v>8.0966435783224305E-3</v>
      </c>
      <c r="AK15" s="2" cm="1">
        <f t="array" ref="AK15">GAMMAGREEK($B15,100,0.01,AK$2,0.1)</f>
        <v>8.0832797845118987E-3</v>
      </c>
      <c r="AL15" s="2" cm="1">
        <f t="array" ref="AL15">GAMMAGREEK($B15,100,0.01,AL$2,0.1)</f>
        <v>8.0669720255233217E-3</v>
      </c>
      <c r="AM15" s="2" cm="1">
        <f t="array" ref="AM15">GAMMAGREEK($B15,100,0.01,AM$2,0.1)</f>
        <v>8.0480644399215599E-3</v>
      </c>
      <c r="AN15" s="2" cm="1">
        <f t="array" ref="AN15">GAMMAGREEK($B15,100,0.01,AN$2,0.1)</f>
        <v>8.0268620548382894E-3</v>
      </c>
      <c r="AO15" s="2" cm="1">
        <f t="array" ref="AO15">GAMMAGREEK($B15,100,0.01,AO$2,0.1)</f>
        <v>8.003635640964922E-3</v>
      </c>
      <c r="AP15" s="2" cm="1">
        <f t="array" ref="AP15">GAMMAGREEK($B15,100,0.01,AP$2,0.1)</f>
        <v>7.9786259054980633E-3</v>
      </c>
      <c r="AQ15" s="2" cm="1">
        <f t="array" ref="AQ15">GAMMAGREEK($B15,100,0.01,AQ$2,0.1)</f>
        <v>7.9520471210283994E-3</v>
      </c>
      <c r="AR15" s="2" cm="1">
        <f t="array" ref="AR15">GAMMAGREEK($B15,100,0.01,AR$2,0.1)</f>
        <v>7.9240902728828517E-3</v>
      </c>
      <c r="AS15" s="2" cm="1">
        <f t="array" ref="AS15">GAMMAGREEK($B15,100,0.01,AS$2,0.1)</f>
        <v>7.8949257945064941E-3</v>
      </c>
      <c r="AT15" s="2" cm="1">
        <f t="array" ref="AT15">GAMMAGREEK($B15,100,0.01,AT$2,0.1)</f>
        <v>7.8647059496753744E-3</v>
      </c>
      <c r="AU15" s="2" cm="1">
        <f t="array" ref="AU15">GAMMAGREEK($B15,100,0.01,AU$2,0.1)</f>
        <v>7.8335669113043412E-3</v>
      </c>
      <c r="AV15" s="2" cm="1">
        <f t="array" ref="AV15">GAMMAGREEK($B15,100,0.01,AV$2,0.1)</f>
        <v>7.8016305790555547E-3</v>
      </c>
      <c r="AW15" s="2" cm="1">
        <f t="array" ref="AW15">GAMMAGREEK($B15,100,0.01,AW$2,0.1)</f>
        <v>7.7690061716150184E-3</v>
      </c>
      <c r="AX15" s="2" cm="1">
        <f t="array" ref="AX15">GAMMAGREEK($B15,100,0.01,AX$2,0.1)</f>
        <v>7.7357916241801526E-3</v>
      </c>
      <c r="AY15" s="2" cm="1">
        <f t="array" ref="AY15">GAMMAGREEK($B15,100,0.01,AY$2,0.1)</f>
        <v>7.7020748172209174E-3</v>
      </c>
      <c r="AZ15" s="2" cm="1">
        <f t="array" ref="AZ15">GAMMAGREEK($B15,100,0.01,AZ$2,0.1)</f>
        <v>7.6679346587994884E-3</v>
      </c>
    </row>
    <row r="16" spans="1:52" x14ac:dyDescent="0.3">
      <c r="A16" s="2"/>
      <c r="B16" s="2">
        <v>125</v>
      </c>
      <c r="C16" s="2" cm="1">
        <f t="array" ref="C16">GAMMAGREEK($B16,100,0.01,C$2,0.1)</f>
        <v>1.1110259985098397E-12</v>
      </c>
      <c r="D16" s="2" cm="1">
        <f t="array" ref="D16">GAMMAGREEK($B16,100,0.01,D$2,0.1)</f>
        <v>1.9995476488667826E-7</v>
      </c>
      <c r="E16" s="2" cm="1">
        <f t="array" ref="E16">GAMMAGREEK($B16,100,0.01,E$2,0.1)</f>
        <v>1.0338747257813622E-5</v>
      </c>
      <c r="F16" s="2" cm="1">
        <f t="array" ref="F16">GAMMAGREEK($B16,100,0.01,F$2,0.1)</f>
        <v>7.1210683603857566E-5</v>
      </c>
      <c r="G16" s="2" cm="1">
        <f t="array" ref="G16">GAMMAGREEK($B16,100,0.01,G$2,0.1)</f>
        <v>2.2091371478623334E-4</v>
      </c>
      <c r="H16" s="2" cm="1">
        <f t="array" ref="H16">GAMMAGREEK($B16,100,0.01,H$2,0.1)</f>
        <v>4.6191019586218839E-4</v>
      </c>
      <c r="I16" s="2" cm="1">
        <f t="array" ref="I16">GAMMAGREEK($B16,100,0.01,I$2,0.1)</f>
        <v>7.7274142964303325E-4</v>
      </c>
      <c r="J16" s="2" cm="1">
        <f t="array" ref="J16">GAMMAGREEK($B16,100,0.01,J$2,0.1)</f>
        <v>1.1262339391078598E-3</v>
      </c>
      <c r="K16" s="2" cm="1">
        <f t="array" ref="K16">GAMMAGREEK($B16,100,0.01,K$2,0.1)</f>
        <v>1.498774512780653E-3</v>
      </c>
      <c r="L16" s="2" cm="1">
        <f t="array" ref="L16">GAMMAGREEK($B16,100,0.01,L$2,0.1)</f>
        <v>1.8728672584138739E-3</v>
      </c>
      <c r="M16" s="2" cm="1">
        <f t="array" ref="M16">GAMMAGREEK($B16,100,0.01,M$2,0.1)</f>
        <v>2.2367467811346613E-3</v>
      </c>
      <c r="N16" s="2" cm="1">
        <f t="array" ref="N16">GAMMAGREEK($B16,100,0.01,N$2,0.1)</f>
        <v>2.5831299146682031E-3</v>
      </c>
      <c r="O16" s="2" cm="1">
        <f t="array" ref="O16">GAMMAGREEK($B16,100,0.01,O$2,0.1)</f>
        <v>2.9079505257553566E-3</v>
      </c>
      <c r="P16" s="2" cm="1">
        <f t="array" ref="P16">GAMMAGREEK($B16,100,0.01,P$2,0.1)</f>
        <v>3.2093346405696428E-3</v>
      </c>
      <c r="Q16" s="2" cm="1">
        <f t="array" ref="Q16">GAMMAGREEK($B16,100,0.01,Q$2,0.1)</f>
        <v>3.4868441449734341E-3</v>
      </c>
      <c r="R16" s="2" cm="1">
        <f t="array" ref="R16">GAMMAGREEK($B16,100,0.01,R$2,0.1)</f>
        <v>3.7409452474954103E-3</v>
      </c>
      <c r="S16" s="2" cm="1">
        <f t="array" ref="S16">GAMMAGREEK($B16,100,0.01,S$2,0.1)</f>
        <v>3.9726458765210314E-3</v>
      </c>
      <c r="T16" s="2" cm="1">
        <f t="array" ref="T16">GAMMAGREEK($B16,100,0.01,T$2,0.1)</f>
        <v>4.1832536011333762E-3</v>
      </c>
      <c r="U16" s="2" cm="1">
        <f t="array" ref="U16">GAMMAGREEK($B16,100,0.01,U$2,0.1)</f>
        <v>4.374217100227837E-3</v>
      </c>
      <c r="V16" s="2" cm="1">
        <f t="array" ref="V16">GAMMAGREEK($B16,100,0.01,V$2,0.1)</f>
        <v>4.5470245404394521E-3</v>
      </c>
      <c r="W16" s="2" cm="1">
        <f t="array" ref="W16">GAMMAGREEK($B16,100,0.01,W$2,0.1)</f>
        <v>4.7031402491383174E-3</v>
      </c>
      <c r="X16" s="2" cm="1">
        <f t="array" ref="X16">GAMMAGREEK($B16,100,0.01,X$2,0.1)</f>
        <v>4.843966898680805E-3</v>
      </c>
      <c r="Y16" s="2" cm="1">
        <f t="array" ref="Y16">GAMMAGREEK($B16,100,0.01,Y$2,0.1)</f>
        <v>4.9708245115714575E-3</v>
      </c>
      <c r="Z16" s="2" cm="1">
        <f t="array" ref="Z16">GAMMAGREEK($B16,100,0.01,Z$2,0.1)</f>
        <v>5.0849404179487915E-3</v>
      </c>
      <c r="AA16" s="2" cm="1">
        <f t="array" ref="AA16">GAMMAGREEK($B16,100,0.01,AA$2,0.1)</f>
        <v>5.1874462222010779E-3</v>
      </c>
      <c r="AB16" s="2" cm="1">
        <f t="array" ref="AB16">GAMMAGREEK($B16,100,0.01,AB$2,0.1)</f>
        <v>5.2793791418824223E-3</v>
      </c>
      <c r="AC16" s="2" cm="1">
        <f t="array" ref="AC16">GAMMAGREEK($B16,100,0.01,AC$2,0.1)</f>
        <v>5.3616859656488002E-3</v>
      </c>
      <c r="AD16" s="2" cm="1">
        <f t="array" ref="AD16">GAMMAGREEK($B16,100,0.01,AD$2,0.1)</f>
        <v>5.4352284733343408E-3</v>
      </c>
      <c r="AE16" s="2" cm="1">
        <f t="array" ref="AE16">GAMMAGREEK($B16,100,0.01,AE$2,0.1)</f>
        <v>5.5007895631911949E-3</v>
      </c>
      <c r="AF16" s="2" cm="1">
        <f t="array" ref="AF16">GAMMAGREEK($B16,100,0.01,AF$2,0.1)</f>
        <v>5.5590796015987402E-3</v>
      </c>
      <c r="AG16" s="2" cm="1">
        <f t="array" ref="AG16">GAMMAGREEK($B16,100,0.01,AG$2,0.1)</f>
        <v>5.6107426917623264E-3</v>
      </c>
      <c r="AH16" s="2" cm="1">
        <f t="array" ref="AH16">GAMMAGREEK($B16,100,0.01,AH$2,0.1)</f>
        <v>5.6563626788486802E-3</v>
      </c>
      <c r="AI16" s="2" cm="1">
        <f t="array" ref="AI16">GAMMAGREEK($B16,100,0.01,AI$2,0.1)</f>
        <v>5.6964687891221163E-3</v>
      </c>
      <c r="AJ16" s="2" cm="1">
        <f t="array" ref="AJ16">GAMMAGREEK($B16,100,0.01,AJ$2,0.1)</f>
        <v>5.7315408531505539E-3</v>
      </c>
      <c r="AK16" s="2" cm="1">
        <f t="array" ref="AK16">GAMMAGREEK($B16,100,0.01,AK$2,0.1)</f>
        <v>5.7620140969999673E-3</v>
      </c>
      <c r="AL16" s="2" cm="1">
        <f t="array" ref="AL16">GAMMAGREEK($B16,100,0.01,AL$2,0.1)</f>
        <v>5.7882835066166427E-3</v>
      </c>
      <c r="AM16" s="2" cm="1">
        <f t="array" ref="AM16">GAMMAGREEK($B16,100,0.01,AM$2,0.1)</f>
        <v>5.8107077834490062E-3</v>
      </c>
      <c r="AN16" s="2" cm="1">
        <f t="array" ref="AN16">GAMMAGREEK($B16,100,0.01,AN$2,0.1)</f>
        <v>5.8296129166033866E-3</v>
      </c>
      <c r="AO16" s="2" cm="1">
        <f t="array" ref="AO16">GAMMAGREEK($B16,100,0.01,AO$2,0.1)</f>
        <v>5.8452954003774781E-3</v>
      </c>
      <c r="AP16" s="2" cm="1">
        <f t="array" ref="AP16">GAMMAGREEK($B16,100,0.01,AP$2,0.1)</f>
        <v>5.8580251271742132E-3</v>
      </c>
      <c r="AQ16" s="2" cm="1">
        <f t="array" ref="AQ16">GAMMAGREEK($B16,100,0.01,AQ$2,0.1)</f>
        <v>5.8680479854491064E-3</v>
      </c>
      <c r="AR16" s="2" cm="1">
        <f t="array" ref="AR16">GAMMAGREEK($B16,100,0.01,AR$2,0.1)</f>
        <v>5.8755881910801736E-3</v>
      </c>
      <c r="AS16" s="2" cm="1">
        <f t="array" ref="AS16">GAMMAGREEK($B16,100,0.01,AS$2,0.1)</f>
        <v>5.8808503787684662E-3</v>
      </c>
      <c r="AT16" s="2" cm="1">
        <f t="array" ref="AT16">GAMMAGREEK($B16,100,0.01,AT$2,0.1)</f>
        <v>5.8840214780422027E-3</v>
      </c>
      <c r="AU16" s="2" cm="1">
        <f t="array" ref="AU16">GAMMAGREEK($B16,100,0.01,AU$2,0.1)</f>
        <v>5.8852723963183839E-3</v>
      </c>
      <c r="AV16" s="2" cm="1">
        <f t="array" ref="AV16">GAMMAGREEK($B16,100,0.01,AV$2,0.1)</f>
        <v>5.8847595293814959E-3</v>
      </c>
      <c r="AW16" s="2" cm="1">
        <f t="array" ref="AW16">GAMMAGREEK($B16,100,0.01,AW$2,0.1)</f>
        <v>5.8826261176343139E-3</v>
      </c>
      <c r="AX16" s="2" cm="1">
        <f t="array" ref="AX16">GAMMAGREEK($B16,100,0.01,AX$2,0.1)</f>
        <v>5.8790034645988844E-3</v>
      </c>
      <c r="AY16" s="2" cm="1">
        <f t="array" ref="AY16">GAMMAGREEK($B16,100,0.01,AY$2,0.1)</f>
        <v>5.8740120324142515E-3</v>
      </c>
      <c r="AZ16" s="2" cm="1">
        <f t="array" ref="AZ16">GAMMAGREEK($B16,100,0.01,AZ$2,0.1)</f>
        <v>5.8677624274978352E-3</v>
      </c>
    </row>
    <row r="17" spans="1:52" x14ac:dyDescent="0.3">
      <c r="A17" s="2"/>
      <c r="B17" s="2">
        <v>130</v>
      </c>
      <c r="C17" s="2" cm="1">
        <f t="array" ref="C17">GAMMAGREEK($B17,100,0.01,C$2,0.1)</f>
        <v>7.3829715398267174E-17</v>
      </c>
      <c r="D17" s="2" cm="1">
        <f t="array" ref="D17">GAMMAGREEK($B17,100,0.01,D$2,0.1)</f>
        <v>1.5520066218442014E-9</v>
      </c>
      <c r="E17" s="2" cm="1">
        <f t="array" ref="E17">GAMMAGREEK($B17,100,0.01,E$2,0.1)</f>
        <v>3.9226661156427158E-7</v>
      </c>
      <c r="F17" s="2" cm="1">
        <f t="array" ref="F17">GAMMAGREEK($B17,100,0.01,F$2,0.1)</f>
        <v>5.9735759091087832E-6</v>
      </c>
      <c r="G17" s="2" cm="1">
        <f t="array" ref="G17">GAMMAGREEK($B17,100,0.01,G$2,0.1)</f>
        <v>2.9830284442140818E-5</v>
      </c>
      <c r="H17" s="2" cm="1">
        <f t="array" ref="H17">GAMMAGREEK($B17,100,0.01,H$2,0.1)</f>
        <v>8.5668780985104936E-5</v>
      </c>
      <c r="I17" s="2" cm="1">
        <f t="array" ref="I17">GAMMAGREEK($B17,100,0.01,I$2,0.1)</f>
        <v>1.7978334895152993E-4</v>
      </c>
      <c r="J17" s="2" cm="1">
        <f t="array" ref="J17">GAMMAGREEK($B17,100,0.01,J$2,0.1)</f>
        <v>3.1058576900406615E-4</v>
      </c>
      <c r="K17" s="2" cm="1">
        <f t="array" ref="K17">GAMMAGREEK($B17,100,0.01,K$2,0.1)</f>
        <v>4.7175720539731358E-4</v>
      </c>
      <c r="L17" s="2" cm="1">
        <f t="array" ref="L17">GAMMAGREEK($B17,100,0.01,L$2,0.1)</f>
        <v>6.5528870342850605E-4</v>
      </c>
      <c r="M17" s="2" cm="1">
        <f t="array" ref="M17">GAMMAGREEK($B17,100,0.01,M$2,0.1)</f>
        <v>8.53360610646639E-4</v>
      </c>
      <c r="N17" s="2" cm="1">
        <f t="array" ref="N17">GAMMAGREEK($B17,100,0.01,N$2,0.1)</f>
        <v>1.0592222477959169E-3</v>
      </c>
      <c r="O17" s="2" cm="1">
        <f t="array" ref="O17">GAMMAGREEK($B17,100,0.01,O$2,0.1)</f>
        <v>1.2674583294664706E-3</v>
      </c>
      <c r="P17" s="2" cm="1">
        <f t="array" ref="P17">GAMMAGREEK($B17,100,0.01,P$2,0.1)</f>
        <v>1.4739439341843702E-3</v>
      </c>
      <c r="Q17" s="2" cm="1">
        <f t="array" ref="Q17">GAMMAGREEK($B17,100,0.01,Q$2,0.1)</f>
        <v>1.6756701842287538E-3</v>
      </c>
      <c r="R17" s="2" cm="1">
        <f t="array" ref="R17">GAMMAGREEK($B17,100,0.01,R$2,0.1)</f>
        <v>1.8705363348374214E-3</v>
      </c>
      <c r="S17" s="2" cm="1">
        <f t="array" ref="S17">GAMMAGREEK($B17,100,0.01,S$2,0.1)</f>
        <v>2.057152672240711E-3</v>
      </c>
      <c r="T17" s="2" cm="1">
        <f t="array" ref="T17">GAMMAGREEK($B17,100,0.01,T$2,0.1)</f>
        <v>2.2346712463663715E-3</v>
      </c>
      <c r="U17" s="2" cm="1">
        <f t="array" ref="U17">GAMMAGREEK($B17,100,0.01,U$2,0.1)</f>
        <v>2.4026480632873774E-3</v>
      </c>
      <c r="V17" s="2" cm="1">
        <f t="array" ref="V17">GAMMAGREEK($B17,100,0.01,V$2,0.1)</f>
        <v>2.5609344709387875E-3</v>
      </c>
      <c r="W17" s="2" cm="1">
        <f t="array" ref="W17">GAMMAGREEK($B17,100,0.01,W$2,0.1)</f>
        <v>2.7095933674900542E-3</v>
      </c>
      <c r="X17" s="2" cm="1">
        <f t="array" ref="X17">GAMMAGREEK($B17,100,0.01,X$2,0.1)</f>
        <v>2.8488355391494201E-3</v>
      </c>
      <c r="Y17" s="2" cm="1">
        <f t="array" ref="Y17">GAMMAGREEK($B17,100,0.01,Y$2,0.1)</f>
        <v>2.9789718631908647E-3</v>
      </c>
      <c r="Z17" s="2" cm="1">
        <f t="array" ref="Z17">GAMMAGREEK($B17,100,0.01,Z$2,0.1)</f>
        <v>3.1003777890098966E-3</v>
      </c>
      <c r="AA17" s="2" cm="1">
        <f t="array" ref="AA17">GAMMAGREEK($B17,100,0.01,AA$2,0.1)</f>
        <v>3.2134672046551047E-3</v>
      </c>
      <c r="AB17" s="2" cm="1">
        <f t="array" ref="AB17">GAMMAGREEK($B17,100,0.01,AB$2,0.1)</f>
        <v>3.3186734150639184E-3</v>
      </c>
      <c r="AC17" s="2" cm="1">
        <f t="array" ref="AC17">GAMMAGREEK($B17,100,0.01,AC$2,0.1)</f>
        <v>3.416435473266137E-3</v>
      </c>
      <c r="AD17" s="2" cm="1">
        <f t="array" ref="AD17">GAMMAGREEK($B17,100,0.01,AD$2,0.1)</f>
        <v>3.5071885185243598E-3</v>
      </c>
      <c r="AE17" s="2" cm="1">
        <f t="array" ref="AE17">GAMMAGREEK($B17,100,0.01,AE$2,0.1)</f>
        <v>3.5913570985693132E-3</v>
      </c>
      <c r="AF17" s="2" cm="1">
        <f t="array" ref="AF17">GAMMAGREEK($B17,100,0.01,AF$2,0.1)</f>
        <v>3.6693507025244649E-3</v>
      </c>
      <c r="AG17" s="2" cm="1">
        <f t="array" ref="AG17">GAMMAGREEK($B17,100,0.01,AG$2,0.1)</f>
        <v>3.7415609218285541E-3</v>
      </c>
      <c r="AH17" s="2" cm="1">
        <f t="array" ref="AH17">GAMMAGREEK($B17,100,0.01,AH$2,0.1)</f>
        <v>3.808359801390335E-3</v>
      </c>
      <c r="AI17" s="2" cm="1">
        <f t="array" ref="AI17">GAMMAGREEK($B17,100,0.01,AI$2,0.1)</f>
        <v>3.8700990529008631E-3</v>
      </c>
      <c r="AJ17" s="2" cm="1">
        <f t="array" ref="AJ17">GAMMAGREEK($B17,100,0.01,AJ$2,0.1)</f>
        <v>3.9271098850357173E-3</v>
      </c>
      <c r="AK17" s="2" cm="1">
        <f t="array" ref="AK17">GAMMAGREEK($B17,100,0.01,AK$2,0.1)</f>
        <v>3.9797032676850749E-3</v>
      </c>
      <c r="AL17" s="2" cm="1">
        <f t="array" ref="AL17">GAMMAGREEK($B17,100,0.01,AL$2,0.1)</f>
        <v>4.0281704943250637E-3</v>
      </c>
      <c r="AM17" s="2" cm="1">
        <f t="array" ref="AM17">GAMMAGREEK($B17,100,0.01,AM$2,0.1)</f>
        <v>4.0727839419730238E-3</v>
      </c>
      <c r="AN17" s="2" cm="1">
        <f t="array" ref="AN17">GAMMAGREEK($B17,100,0.01,AN$2,0.1)</f>
        <v>4.1137979547173189E-3</v>
      </c>
      <c r="AO17" s="2" cm="1">
        <f t="array" ref="AO17">GAMMAGREEK($B17,100,0.01,AO$2,0.1)</f>
        <v>4.1514497967427774E-3</v>
      </c>
      <c r="AP17" s="2" cm="1">
        <f t="array" ref="AP17">GAMMAGREEK($B17,100,0.01,AP$2,0.1)</f>
        <v>4.1859606357164689E-3</v>
      </c>
      <c r="AQ17" s="2" cm="1">
        <f t="array" ref="AQ17">GAMMAGREEK($B17,100,0.01,AQ$2,0.1)</f>
        <v>4.2175365285841062E-3</v>
      </c>
      <c r="AR17" s="2" cm="1">
        <f t="array" ref="AR17">GAMMAGREEK($B17,100,0.01,AR$2,0.1)</f>
        <v>4.2463693901801831E-3</v>
      </c>
      <c r="AS17" s="2" cm="1">
        <f t="array" ref="AS17">GAMMAGREEK($B17,100,0.01,AS$2,0.1)</f>
        <v>4.2726379312724759E-3</v>
      </c>
      <c r="AT17" s="2" cm="1">
        <f t="array" ref="AT17">GAMMAGREEK($B17,100,0.01,AT$2,0.1)</f>
        <v>4.2965085572694234E-3</v>
      </c>
      <c r="AU17" s="2" cm="1">
        <f t="array" ref="AU17">GAMMAGREEK($B17,100,0.01,AU$2,0.1)</f>
        <v>4.3181362222140061E-3</v>
      </c>
      <c r="AV17" s="2" cm="1">
        <f t="array" ref="AV17">GAMMAGREEK($B17,100,0.01,AV$2,0.1)</f>
        <v>4.3376652351696104E-3</v>
      </c>
      <c r="AW17" s="2" cm="1">
        <f t="array" ref="AW17">GAMMAGREEK($B17,100,0.01,AW$2,0.1)</f>
        <v>4.3552300178982834E-3</v>
      </c>
      <c r="AX17" s="2" cm="1">
        <f t="array" ref="AX17">GAMMAGREEK($B17,100,0.01,AX$2,0.1)</f>
        <v>4.3709558140113168E-3</v>
      </c>
      <c r="AY17" s="2" cm="1">
        <f t="array" ref="AY17">GAMMAGREEK($B17,100,0.01,AY$2,0.1)</f>
        <v>4.3849593506653786E-3</v>
      </c>
      <c r="AZ17" s="2" cm="1">
        <f t="array" ref="AZ17">GAMMAGREEK($B17,100,0.01,AZ$2,0.1)</f>
        <v>4.3973494544828021E-3</v>
      </c>
    </row>
    <row r="18" spans="1:52" x14ac:dyDescent="0.3">
      <c r="A18" s="2"/>
      <c r="B18" s="2">
        <v>135</v>
      </c>
      <c r="C18" s="2" cm="1">
        <f t="array" ref="C18">GAMMAGREEK($B18,100,0.01,C$2,0.1)</f>
        <v>1.6508431991277696E-21</v>
      </c>
      <c r="D18" s="2" cm="1">
        <f t="array" ref="D18">GAMMAGREEK($B18,100,0.01,D$2,0.1)</f>
        <v>7.0007225305255781E-12</v>
      </c>
      <c r="E18" s="2" cm="1">
        <f t="array" ref="E18">GAMMAGREEK($B18,100,0.01,E$2,0.1)</f>
        <v>1.0377407251949232E-8</v>
      </c>
      <c r="F18" s="2" cm="1">
        <f t="array" ref="F18">GAMMAGREEK($B18,100,0.01,F$2,0.1)</f>
        <v>3.8271106091862608E-7</v>
      </c>
      <c r="G18" s="2" cm="1">
        <f t="array" ref="G18">GAMMAGREEK($B18,100,0.01,G$2,0.1)</f>
        <v>3.2491629195180521E-6</v>
      </c>
      <c r="H18" s="2" cm="1">
        <f t="array" ref="H18">GAMMAGREEK($B18,100,0.01,H$2,0.1)</f>
        <v>1.329193856294594E-5</v>
      </c>
      <c r="I18" s="2" cm="1">
        <f t="array" ref="I18">GAMMAGREEK($B18,100,0.01,I$2,0.1)</f>
        <v>3.5914215033326955E-5</v>
      </c>
      <c r="J18" s="2" cm="1">
        <f t="array" ref="J18">GAMMAGREEK($B18,100,0.01,J$2,0.1)</f>
        <v>7.4991466396696845E-5</v>
      </c>
      <c r="K18" s="2" cm="1">
        <f t="array" ref="K18">GAMMAGREEK($B18,100,0.01,K$2,0.1)</f>
        <v>1.3199891273585568E-4</v>
      </c>
      <c r="L18" s="2" cm="1">
        <f t="array" ref="L18">GAMMAGREEK($B18,100,0.01,L$2,0.1)</f>
        <v>2.0630117799149068E-4</v>
      </c>
      <c r="M18" s="2" cm="1">
        <f t="array" ref="M18">GAMMAGREEK($B18,100,0.01,M$2,0.1)</f>
        <v>2.958738707560984E-4</v>
      </c>
      <c r="N18" s="2" cm="1">
        <f t="array" ref="N18">GAMMAGREEK($B18,100,0.01,N$2,0.1)</f>
        <v>3.979989651551697E-4</v>
      </c>
      <c r="O18" s="2" cm="1">
        <f t="array" ref="O18">GAMMAGREEK($B18,100,0.01,O$2,0.1)</f>
        <v>5.0977312009738444E-4</v>
      </c>
      <c r="P18" s="2" cm="1">
        <f t="array" ref="P18">GAMMAGREEK($B18,100,0.01,P$2,0.1)</f>
        <v>6.2842202842630255E-4</v>
      </c>
      <c r="Q18" s="2" cm="1">
        <f t="array" ref="Q18">GAMMAGREEK($B18,100,0.01,Q$2,0.1)</f>
        <v>7.5146578778924323E-4</v>
      </c>
      <c r="R18" s="2" cm="1">
        <f t="array" ref="R18">GAMMAGREEK($B18,100,0.01,R$2,0.1)</f>
        <v>8.7678533083552948E-4</v>
      </c>
      <c r="S18" s="2" cm="1">
        <f t="array" ref="S18">GAMMAGREEK($B18,100,0.01,S$2,0.1)</f>
        <v>1.0026296030781221E-3</v>
      </c>
      <c r="T18" s="2" cm="1">
        <f t="array" ref="T18">GAMMAGREEK($B18,100,0.01,T$2,0.1)</f>
        <v>1.1275908073526864E-3</v>
      </c>
      <c r="U18" s="2" cm="1">
        <f t="array" ref="U18">GAMMAGREEK($B18,100,0.01,U$2,0.1)</f>
        <v>1.2505649738893698E-3</v>
      </c>
      <c r="V18" s="2" cm="1">
        <f t="array" ref="V18">GAMMAGREEK($B18,100,0.01,V$2,0.1)</f>
        <v>1.3707080362701776E-3</v>
      </c>
      <c r="W18" s="2" cm="1">
        <f t="array" ref="W18">GAMMAGREEK($B18,100,0.01,W$2,0.1)</f>
        <v>1.4873929926081169E-3</v>
      </c>
      <c r="X18" s="2" cm="1">
        <f t="array" ref="X18">GAMMAGREEK($B18,100,0.01,X$2,0.1)</f>
        <v>1.6001709010656244E-3</v>
      </c>
      <c r="Y18" s="2" cm="1">
        <f t="array" ref="Y18">GAMMAGREEK($B18,100,0.01,Y$2,0.1)</f>
        <v>1.7087367996741945E-3</v>
      </c>
      <c r="Z18" s="2" cm="1">
        <f t="array" ref="Z18">GAMMAGREEK($B18,100,0.01,Z$2,0.1)</f>
        <v>1.8129007186155391E-3</v>
      </c>
      <c r="AA18" s="2" cm="1">
        <f t="array" ref="AA18">GAMMAGREEK($B18,100,0.01,AA$2,0.1)</f>
        <v>1.912563478470439E-3</v>
      </c>
      <c r="AB18" s="2" cm="1">
        <f t="array" ref="AB18">GAMMAGREEK($B18,100,0.01,AB$2,0.1)</f>
        <v>2.0076967550680131E-3</v>
      </c>
      <c r="AC18" s="2" cm="1">
        <f t="array" ref="AC18">GAMMAGREEK($B18,100,0.01,AC$2,0.1)</f>
        <v>2.0983268258570561E-3</v>
      </c>
      <c r="AD18" s="2" cm="1">
        <f t="array" ref="AD18">GAMMAGREEK($B18,100,0.01,AD$2,0.1)</f>
        <v>2.1845214251756803E-3</v>
      </c>
      <c r="AE18" s="2" cm="1">
        <f t="array" ref="AE18">GAMMAGREEK($B18,100,0.01,AE$2,0.1)</f>
        <v>2.2663791859700759E-3</v>
      </c>
      <c r="AF18" s="2" cm="1">
        <f t="array" ref="AF18">GAMMAGREEK($B18,100,0.01,AF$2,0.1)</f>
        <v>2.3440212104340022E-3</v>
      </c>
      <c r="AG18" s="2" cm="1">
        <f t="array" ref="AG18">GAMMAGREEK($B18,100,0.01,AG$2,0.1)</f>
        <v>2.4175843792158323E-3</v>
      </c>
      <c r="AH18" s="2" cm="1">
        <f t="array" ref="AH18">GAMMAGREEK($B18,100,0.01,AH$2,0.1)</f>
        <v>2.4872160719390268E-3</v>
      </c>
      <c r="AI18" s="2" cm="1">
        <f t="array" ref="AI18">GAMMAGREEK($B18,100,0.01,AI$2,0.1)</f>
        <v>2.5530700280062056E-3</v>
      </c>
      <c r="AJ18" s="2" cm="1">
        <f t="array" ref="AJ18">GAMMAGREEK($B18,100,0.01,AJ$2,0.1)</f>
        <v>2.6153031251643726E-3</v>
      </c>
      <c r="AK18" s="2" cm="1">
        <f t="array" ref="AK18">GAMMAGREEK($B18,100,0.01,AK$2,0.1)</f>
        <v>2.6740728942842027E-3</v>
      </c>
      <c r="AL18" s="2" cm="1">
        <f t="array" ref="AL18">GAMMAGREEK($B18,100,0.01,AL$2,0.1)</f>
        <v>2.7295356229244763E-3</v>
      </c>
      <c r="AM18" s="2" cm="1">
        <f t="array" ref="AM18">GAMMAGREEK($B18,100,0.01,AM$2,0.1)</f>
        <v>2.7818449283760946E-3</v>
      </c>
      <c r="AN18" s="2" cm="1">
        <f t="array" ref="AN18">GAMMAGREEK($B18,100,0.01,AN$2,0.1)</f>
        <v>2.8311507038962696E-3</v>
      </c>
      <c r="AO18" s="2" cm="1">
        <f t="array" ref="AO18">GAMMAGREEK($B18,100,0.01,AO$2,0.1)</f>
        <v>2.877598360582869E-3</v>
      </c>
      <c r="AP18" s="2" cm="1">
        <f t="array" ref="AP18">GAMMAGREEK($B18,100,0.01,AP$2,0.1)</f>
        <v>2.9213283025393976E-3</v>
      </c>
      <c r="AQ18" s="2" cm="1">
        <f t="array" ref="AQ18">GAMMAGREEK($B18,100,0.01,AQ$2,0.1)</f>
        <v>2.9624755852780478E-3</v>
      </c>
      <c r="AR18" s="2" cm="1">
        <f t="array" ref="AR18">GAMMAGREEK($B18,100,0.01,AR$2,0.1)</f>
        <v>3.0011697172369011E-3</v>
      </c>
      <c r="AS18" s="2" cm="1">
        <f t="array" ref="AS18">GAMMAGREEK($B18,100,0.01,AS$2,0.1)</f>
        <v>3.0375345722925763E-3</v>
      </c>
      <c r="AT18" s="2" cm="1">
        <f t="array" ref="AT18">GAMMAGREEK($B18,100,0.01,AT$2,0.1)</f>
        <v>3.0716883875977672E-3</v>
      </c>
      <c r="AU18" s="2" cm="1">
        <f t="array" ref="AU18">GAMMAGREEK($B18,100,0.01,AU$2,0.1)</f>
        <v>3.103743826262668E-3</v>
      </c>
      <c r="AV18" s="2" cm="1">
        <f t="array" ref="AV18">GAMMAGREEK($B18,100,0.01,AV$2,0.1)</f>
        <v>3.1338080885740497E-3</v>
      </c>
      <c r="AW18" s="2" cm="1">
        <f t="array" ref="AW18">GAMMAGREEK($B18,100,0.01,AW$2,0.1)</f>
        <v>3.1619830588019192E-3</v>
      </c>
      <c r="AX18" s="2" cm="1">
        <f t="array" ref="AX18">GAMMAGREEK($B18,100,0.01,AX$2,0.1)</f>
        <v>3.1883654773409297E-3</v>
      </c>
      <c r="AY18" s="2" cm="1">
        <f t="array" ref="AY18">GAMMAGREEK($B18,100,0.01,AY$2,0.1)</f>
        <v>3.2130471300998212E-3</v>
      </c>
      <c r="AZ18" s="2" cm="1">
        <f t="array" ref="AZ18">GAMMAGREEK($B18,100,0.01,AZ$2,0.1)</f>
        <v>3.236115048790992E-3</v>
      </c>
    </row>
    <row r="19" spans="1:52" x14ac:dyDescent="0.3">
      <c r="A19" s="2"/>
      <c r="B19" s="2">
        <v>140</v>
      </c>
      <c r="C19" s="2" cm="1">
        <f t="array" ref="C19">GAMMAGREEK($B19,100,0.01,C$2,0.1)</f>
        <v>1.4160803501951484E-26</v>
      </c>
      <c r="D19" s="2" cm="1">
        <f t="array" ref="D19">GAMMAGREEK($B19,100,0.01,D$2,0.1)</f>
        <v>1.9592554647687543E-14</v>
      </c>
      <c r="E19" s="2" cm="1">
        <f t="array" ref="E19">GAMMAGREEK($B19,100,0.01,E$2,0.1)</f>
        <v>1.9993666289338759E-10</v>
      </c>
      <c r="F19" s="2" cm="1">
        <f t="array" ref="F19">GAMMAGREEK($B19,100,0.01,F$2,0.1)</f>
        <v>1.9346494359707359E-8</v>
      </c>
      <c r="G19" s="2" cm="1">
        <f t="array" ref="G19">GAMMAGREEK($B19,100,0.01,G$2,0.1)</f>
        <v>2.9299443269233378E-7</v>
      </c>
      <c r="H19" s="2" cm="1">
        <f t="array" ref="H19">GAMMAGREEK($B19,100,0.01,H$2,0.1)</f>
        <v>1.7629795738939588E-6</v>
      </c>
      <c r="I19" s="2" cm="1">
        <f t="array" ref="I19">GAMMAGREEK($B19,100,0.01,I$2,0.1)</f>
        <v>6.2750755529855412E-6</v>
      </c>
      <c r="J19" s="2" cm="1">
        <f t="array" ref="J19">GAMMAGREEK($B19,100,0.01,J$2,0.1)</f>
        <v>1.6111450652008568E-5</v>
      </c>
      <c r="K19" s="2" cm="1">
        <f t="array" ref="K19">GAMMAGREEK($B19,100,0.01,K$2,0.1)</f>
        <v>3.3305383198972744E-5</v>
      </c>
      <c r="L19" s="2" cm="1">
        <f t="array" ref="L19">GAMMAGREEK($B19,100,0.01,L$2,0.1)</f>
        <v>5.9197424706742854E-5</v>
      </c>
      <c r="M19" s="2" cm="1">
        <f t="array" ref="M19">GAMMAGREEK($B19,100,0.01,M$2,0.1)</f>
        <v>9.4321114066856106E-5</v>
      </c>
      <c r="N19" s="2" cm="1">
        <f t="array" ref="N19">GAMMAGREEK($B19,100,0.01,N$2,0.1)</f>
        <v>1.3850599978625653E-4</v>
      </c>
      <c r="O19" s="2" cm="1">
        <f t="array" ref="O19">GAMMAGREEK($B19,100,0.01,O$2,0.1)</f>
        <v>1.9106836276662489E-4</v>
      </c>
      <c r="P19" s="2" cm="1">
        <f t="array" ref="P19">GAMMAGREEK($B19,100,0.01,P$2,0.1)</f>
        <v>2.5100643554933143E-4</v>
      </c>
      <c r="Q19" s="2" cm="1">
        <f t="array" ref="Q19">GAMMAGREEK($B19,100,0.01,Q$2,0.1)</f>
        <v>3.1716218012035733E-4</v>
      </c>
      <c r="R19" s="2" cm="1">
        <f t="array" ref="R19">GAMMAGREEK($B19,100,0.01,R$2,0.1)</f>
        <v>3.8833974485907359E-4</v>
      </c>
      <c r="S19" s="2" cm="1">
        <f t="array" ref="S19">GAMMAGREEK($B19,100,0.01,S$2,0.1)</f>
        <v>4.6338416935899564E-4</v>
      </c>
      <c r="T19" s="2" cm="1">
        <f t="array" ref="T19">GAMMAGREEK($B19,100,0.01,T$2,0.1)</f>
        <v>5.4122859409300064E-4</v>
      </c>
      <c r="U19" s="2" cm="1">
        <f t="array" ref="U19">GAMMAGREEK($B19,100,0.01,U$2,0.1)</f>
        <v>6.2091862100203032E-4</v>
      </c>
      <c r="V19" s="2" cm="1">
        <f t="array" ref="V19">GAMMAGREEK($B19,100,0.01,V$2,0.1)</f>
        <v>7.016211594893701E-4</v>
      </c>
      <c r="W19" s="2" cm="1">
        <f t="array" ref="W19">GAMMAGREEK($B19,100,0.01,W$2,0.1)</f>
        <v>7.8262337068783349E-4</v>
      </c>
      <c r="X19" s="2" cm="1">
        <f t="array" ref="X19">GAMMAGREEK($B19,100,0.01,X$2,0.1)</f>
        <v>8.633257383749009E-4</v>
      </c>
      <c r="Y19" s="2" cm="1">
        <f t="array" ref="Y19">GAMMAGREEK($B19,100,0.01,Y$2,0.1)</f>
        <v>9.4323202302677744E-4</v>
      </c>
      <c r="Z19" s="2" cm="1">
        <f t="array" ref="Z19">GAMMAGREEK($B19,100,0.01,Z$2,0.1)</f>
        <v>1.0219379072991357E-3</v>
      </c>
      <c r="AA19" s="2" cm="1">
        <f t="array" ref="AA19">GAMMAGREEK($B19,100,0.01,AA$2,0.1)</f>
        <v>1.0991194672809817E-3</v>
      </c>
      <c r="AB19" s="2" cm="1">
        <f t="array" ref="AB19">GAMMAGREEK($B19,100,0.01,AB$2,0.1)</f>
        <v>1.1745221415734961E-3</v>
      </c>
      <c r="AC19" s="2" cm="1">
        <f t="array" ref="AC19">GAMMAGREEK($B19,100,0.01,AC$2,0.1)</f>
        <v>1.2479505626409085E-3</v>
      </c>
      <c r="AD19" s="2" cm="1">
        <f t="array" ref="AD19">GAMMAGREEK($B19,100,0.01,AD$2,0.1)</f>
        <v>1.3192594163205071E-3</v>
      </c>
      <c r="AE19" s="2" cm="1">
        <f t="array" ref="AE19">GAMMAGREEK($B19,100,0.01,AE$2,0.1)</f>
        <v>1.3883453716372668E-3</v>
      </c>
      <c r="AF19" s="2" cm="1">
        <f t="array" ref="AF19">GAMMAGREEK($B19,100,0.01,AF$2,0.1)</f>
        <v>1.4551400495073856E-3</v>
      </c>
      <c r="AG19" s="2" cm="1">
        <f t="array" ref="AG19">GAMMAGREEK($B19,100,0.01,AG$2,0.1)</f>
        <v>1.5196039582846207E-3</v>
      </c>
      <c r="AH19" s="2" cm="1">
        <f t="array" ref="AH19">GAMMAGREEK($B19,100,0.01,AH$2,0.1)</f>
        <v>1.581721304577151E-3</v>
      </c>
      <c r="AI19" s="2" cm="1">
        <f t="array" ref="AI19">GAMMAGREEK($B19,100,0.01,AI$2,0.1)</f>
        <v>1.6414955813716275E-3</v>
      </c>
      <c r="AJ19" s="2" cm="1">
        <f t="array" ref="AJ19">GAMMAGREEK($B19,100,0.01,AJ$2,0.1)</f>
        <v>1.6989458369614026E-3</v>
      </c>
      <c r="AK19" s="2" cm="1">
        <f t="array" ref="AK19">GAMMAGREEK($B19,100,0.01,AK$2,0.1)</f>
        <v>1.754103534043355E-3</v>
      </c>
      <c r="AL19" s="2" cm="1">
        <f t="array" ref="AL19">GAMMAGREEK($B19,100,0.01,AL$2,0.1)</f>
        <v>1.8070099164202073E-3</v>
      </c>
      <c r="AM19" s="2" cm="1">
        <f t="array" ref="AM19">GAMMAGREEK($B19,100,0.01,AM$2,0.1)</f>
        <v>1.8577138096504827E-3</v>
      </c>
      <c r="AN19" s="2" cm="1">
        <f t="array" ref="AN19">GAMMAGREEK($B19,100,0.01,AN$2,0.1)</f>
        <v>1.9062697909007593E-3</v>
      </c>
      <c r="AO19" s="2" cm="1">
        <f t="array" ref="AO19">GAMMAGREEK($B19,100,0.01,AO$2,0.1)</f>
        <v>1.9527366717044586E-3</v>
      </c>
      <c r="AP19" s="2" cm="1">
        <f t="array" ref="AP19">GAMMAGREEK($B19,100,0.01,AP$2,0.1)</f>
        <v>1.9971762450752021E-3</v>
      </c>
      <c r="AQ19" s="2" cm="1">
        <f t="array" ref="AQ19">GAMMAGREEK($B19,100,0.01,AQ$2,0.1)</f>
        <v>2.0396522553602476E-3</v>
      </c>
      <c r="AR19" s="2" cm="1">
        <f t="array" ref="AR19">GAMMAGREEK($B19,100,0.01,AR$2,0.1)</f>
        <v>2.0802295553354528E-3</v>
      </c>
      <c r="AS19" s="2" cm="1">
        <f t="array" ref="AS19">GAMMAGREEK($B19,100,0.01,AS$2,0.1)</f>
        <v>2.1189734203729818E-3</v>
      </c>
      <c r="AT19" s="2" cm="1">
        <f t="array" ref="AT19">GAMMAGREEK($B19,100,0.01,AT$2,0.1)</f>
        <v>2.1559489941173674E-3</v>
      </c>
      <c r="AU19" s="2" cm="1">
        <f t="array" ref="AU19">GAMMAGREEK($B19,100,0.01,AU$2,0.1)</f>
        <v>2.1912208440574999E-3</v>
      </c>
      <c r="AV19" s="2" cm="1">
        <f t="array" ref="AV19">GAMMAGREEK($B19,100,0.01,AV$2,0.1)</f>
        <v>2.2248526087574262E-3</v>
      </c>
      <c r="AW19" s="2" cm="1">
        <f t="array" ref="AW19">GAMMAGREEK($B19,100,0.01,AW$2,0.1)</f>
        <v>2.2569067213804241E-3</v>
      </c>
      <c r="AX19" s="2" cm="1">
        <f t="array" ref="AX19">GAMMAGREEK($B19,100,0.01,AX$2,0.1)</f>
        <v>2.2874441965769696E-3</v>
      </c>
      <c r="AY19" s="2" cm="1">
        <f t="array" ref="AY19">GAMMAGREEK($B19,100,0.01,AY$2,0.1)</f>
        <v>2.316524469868944E-3</v>
      </c>
      <c r="AZ19" s="2" cm="1">
        <f t="array" ref="AZ19">GAMMAGREEK($B19,100,0.01,AZ$2,0.1)</f>
        <v>2.3442052804045392E-3</v>
      </c>
    </row>
    <row r="20" spans="1:52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</row>
    <row r="21" spans="1:52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</row>
    <row r="22" spans="1:52" x14ac:dyDescent="0.3">
      <c r="A22" s="2" t="s">
        <v>14</v>
      </c>
      <c r="B22" s="2"/>
      <c r="C22" s="2" t="s">
        <v>12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</row>
    <row r="23" spans="1:52" x14ac:dyDescent="0.3">
      <c r="A23" s="2"/>
      <c r="B23" s="2"/>
      <c r="C23" s="2">
        <v>0.1</v>
      </c>
      <c r="D23" s="2">
        <v>0.2</v>
      </c>
      <c r="E23" s="2">
        <v>0.3</v>
      </c>
      <c r="F23" s="2">
        <v>0.4</v>
      </c>
      <c r="G23" s="2">
        <v>0.5</v>
      </c>
      <c r="H23" s="2">
        <v>0.6</v>
      </c>
      <c r="I23" s="2">
        <v>0.7</v>
      </c>
      <c r="J23" s="2">
        <v>0.8</v>
      </c>
      <c r="K23" s="2">
        <v>0.9</v>
      </c>
      <c r="L23" s="2">
        <v>1</v>
      </c>
      <c r="M23" s="2">
        <v>1.1000000000000001</v>
      </c>
      <c r="N23" s="2">
        <v>1.2</v>
      </c>
      <c r="O23" s="2">
        <v>1.3</v>
      </c>
      <c r="P23" s="2">
        <v>1.4</v>
      </c>
      <c r="Q23" s="2">
        <v>1.5</v>
      </c>
      <c r="R23" s="2">
        <v>1.6</v>
      </c>
      <c r="S23" s="2">
        <v>1.7</v>
      </c>
      <c r="T23" s="2">
        <v>1.8</v>
      </c>
      <c r="U23" s="2">
        <v>1.9</v>
      </c>
      <c r="V23" s="2">
        <v>2</v>
      </c>
      <c r="W23" s="2">
        <v>2.1</v>
      </c>
      <c r="X23" s="2">
        <v>2.2000000000000002</v>
      </c>
      <c r="Y23" s="2">
        <v>2.2999999999999998</v>
      </c>
      <c r="Z23" s="2">
        <v>2.4</v>
      </c>
      <c r="AA23" s="2">
        <v>2.5</v>
      </c>
      <c r="AB23" s="2">
        <v>2.6</v>
      </c>
      <c r="AC23" s="2">
        <v>2.7</v>
      </c>
      <c r="AD23" s="2">
        <v>2.8</v>
      </c>
      <c r="AE23" s="2">
        <v>2.9</v>
      </c>
      <c r="AF23" s="2">
        <v>3</v>
      </c>
      <c r="AG23" s="2">
        <v>3.1</v>
      </c>
      <c r="AH23" s="2">
        <v>3.2</v>
      </c>
      <c r="AI23" s="2">
        <v>3.3</v>
      </c>
      <c r="AJ23" s="2">
        <v>3.4</v>
      </c>
      <c r="AK23" s="2">
        <v>3.5</v>
      </c>
      <c r="AL23" s="2">
        <v>3.6</v>
      </c>
      <c r="AM23" s="2">
        <v>3.7</v>
      </c>
      <c r="AN23" s="2">
        <v>3.8</v>
      </c>
      <c r="AO23" s="2">
        <v>3.9</v>
      </c>
      <c r="AP23" s="2">
        <v>4</v>
      </c>
      <c r="AQ23" s="2">
        <v>4.0999999999999996</v>
      </c>
      <c r="AR23" s="2">
        <v>4.2</v>
      </c>
      <c r="AS23" s="2">
        <v>4.3</v>
      </c>
      <c r="AT23" s="2">
        <v>4.4000000000000004</v>
      </c>
      <c r="AU23" s="2">
        <v>4.5</v>
      </c>
      <c r="AV23" s="2">
        <v>4.5999999999999996</v>
      </c>
      <c r="AW23" s="2">
        <v>4.7</v>
      </c>
      <c r="AX23" s="2">
        <v>4.8</v>
      </c>
      <c r="AY23" s="2">
        <v>4.9000000000000004</v>
      </c>
      <c r="AZ23" s="2">
        <v>5</v>
      </c>
    </row>
    <row r="24" spans="1:52" x14ac:dyDescent="0.3">
      <c r="A24" s="2" t="s">
        <v>11</v>
      </c>
      <c r="B24" s="2">
        <v>60</v>
      </c>
      <c r="C24" s="2" cm="1">
        <f t="array" ref="C24">GAMMAGREEK($B24,100,0.01,C$23,0.2)</f>
        <v>1.0516556577990331E-15</v>
      </c>
      <c r="D24" s="2" cm="1">
        <f t="array" ref="D24">GAMMAGREEK($B24,100,0.01,D$23,0.2)</f>
        <v>8.9897290546272933E-9</v>
      </c>
      <c r="E24" s="2" cm="1">
        <f t="array" ref="E24">GAMMAGREEK($B24,100,0.01,E$23,0.2)</f>
        <v>1.6833377571562696E-6</v>
      </c>
      <c r="F24" s="2" cm="1">
        <f t="array" ref="F24">GAMMAGREEK($B24,100,0.01,F$23,0.2)</f>
        <v>2.2064431982817055E-5</v>
      </c>
      <c r="G24" s="2" cm="1">
        <f t="array" ref="G24">GAMMAGREEK($B24,100,0.01,G$23,0.2)</f>
        <v>1.0070170546498086E-4</v>
      </c>
      <c r="H24" s="2" cm="1">
        <f t="array" ref="H24">GAMMAGREEK($B24,100,0.01,H$23,0.2)</f>
        <v>2.7236380704730428E-4</v>
      </c>
      <c r="I24" s="2" cm="1">
        <f t="array" ref="I24">GAMMAGREEK($B24,100,0.01,I$23,0.2)</f>
        <v>5.4760481596517903E-4</v>
      </c>
      <c r="J24" s="2" cm="1">
        <f t="array" ref="J24">GAMMAGREEK($B24,100,0.01,J$23,0.2)</f>
        <v>9.1609936771568209E-4</v>
      </c>
      <c r="K24" s="2" cm="1">
        <f t="array" ref="K24">GAMMAGREEK($B24,100,0.01,K$23,0.2)</f>
        <v>1.3571389458380499E-3</v>
      </c>
      <c r="L24" s="2" cm="1">
        <f t="array" ref="L24">GAMMAGREEK($B24,100,0.01,L$23,0.2)</f>
        <v>1.847796947179211E-3</v>
      </c>
      <c r="M24" s="2" cm="1">
        <f t="array" ref="M24">GAMMAGREEK($B24,100,0.01,M$23,0.2)</f>
        <v>2.3672760061798424E-3</v>
      </c>
      <c r="N24" s="2" cm="1">
        <f t="array" ref="N24">GAMMAGREEK($B24,100,0.01,N$23,0.2)</f>
        <v>2.8985603489544418E-3</v>
      </c>
      <c r="O24" s="2" cm="1">
        <f t="array" ref="O24">GAMMAGREEK($B24,100,0.01,O$23,0.2)</f>
        <v>3.4286158069024211E-3</v>
      </c>
      <c r="P24" s="2" cm="1">
        <f t="array" ref="P24">GAMMAGREEK($B24,100,0.01,P$23,0.2)</f>
        <v>3.9479505933621905E-3</v>
      </c>
      <c r="Q24" s="2" cm="1">
        <f t="array" ref="Q24">GAMMAGREEK($B24,100,0.01,Q$23,0.2)</f>
        <v>4.4499741060405598E-3</v>
      </c>
      <c r="R24" s="2" cm="1">
        <f t="array" ref="R24">GAMMAGREEK($B24,100,0.01,R$23,0.2)</f>
        <v>4.9303586524257715E-3</v>
      </c>
      <c r="S24" s="2" cm="1">
        <f t="array" ref="S24">GAMMAGREEK($B24,100,0.01,S$23,0.2)</f>
        <v>5.3864847805715045E-3</v>
      </c>
      <c r="T24" s="2" cm="1">
        <f t="array" ref="T24">GAMMAGREEK($B24,100,0.01,T$23,0.2)</f>
        <v>5.8169907764518093E-3</v>
      </c>
      <c r="U24" s="2" cm="1">
        <f t="array" ref="U24">GAMMAGREEK($B24,100,0.01,U$23,0.2)</f>
        <v>6.221420803232452E-3</v>
      </c>
      <c r="V24" s="2" cm="1">
        <f t="array" ref="V24">GAMMAGREEK($B24,100,0.01,V$23,0.2)</f>
        <v>6.5999568536451898E-3</v>
      </c>
      <c r="W24" s="2" cm="1">
        <f t="array" ref="W24">GAMMAGREEK($B24,100,0.01,W$23,0.2)</f>
        <v>6.9532180594291731E-3</v>
      </c>
      <c r="X24" s="2" cm="1">
        <f t="array" ref="X24">GAMMAGREEK($B24,100,0.01,X$23,0.2)</f>
        <v>7.2821124112280337E-3</v>
      </c>
      <c r="Y24" s="2" cm="1">
        <f t="array" ref="Y24">GAMMAGREEK($B24,100,0.01,Y$23,0.2)</f>
        <v>7.5877284433063614E-3</v>
      </c>
      <c r="Z24" s="2" cm="1">
        <f t="array" ref="Z24">GAMMAGREEK($B24,100,0.01,Z$23,0.2)</f>
        <v>7.8712569879018784E-3</v>
      </c>
      <c r="AA24" s="2" cm="1">
        <f t="array" ref="AA24">GAMMAGREEK($B24,100,0.01,AA$23,0.2)</f>
        <v>8.133935342377465E-3</v>
      </c>
      <c r="AB24" s="2" cm="1">
        <f t="array" ref="AB24">GAMMAGREEK($B24,100,0.01,AB$23,0.2)</f>
        <v>8.3770080233505975E-3</v>
      </c>
      <c r="AC24" s="2" cm="1">
        <f t="array" ref="AC24">GAMMAGREEK($B24,100,0.01,AC$23,0.2)</f>
        <v>8.601699722989074E-3</v>
      </c>
      <c r="AD24" s="2" cm="1">
        <f t="array" ref="AD24">GAMMAGREEK($B24,100,0.01,AD$23,0.2)</f>
        <v>8.8091971909456026E-3</v>
      </c>
      <c r="AE24" s="2" cm="1">
        <f t="array" ref="AE24">GAMMAGREEK($B24,100,0.01,AE$23,0.2)</f>
        <v>9.0006376056974771E-3</v>
      </c>
      <c r="AF24" s="2" cm="1">
        <f t="array" ref="AF24">GAMMAGREEK($B24,100,0.01,AF$23,0.2)</f>
        <v>9.1771016304238069E-3</v>
      </c>
      <c r="AG24" s="2" cm="1">
        <f t="array" ref="AG24">GAMMAGREEK($B24,100,0.01,AG$23,0.2)</f>
        <v>9.3396098202101485E-3</v>
      </c>
      <c r="AH24" s="2" cm="1">
        <f t="array" ref="AH24">GAMMAGREEK($B24,100,0.01,AH$23,0.2)</f>
        <v>9.4891213984269456E-3</v>
      </c>
      <c r="AI24" s="2" cm="1">
        <f t="array" ref="AI24">GAMMAGREEK($B24,100,0.01,AI$23,0.2)</f>
        <v>9.6265346808113439E-3</v>
      </c>
      <c r="AJ24" s="2" cm="1">
        <f t="array" ref="AJ24">GAMMAGREEK($B24,100,0.01,AJ$23,0.2)</f>
        <v>9.7526886190619153E-3</v>
      </c>
      <c r="AK24" s="2" cm="1">
        <f t="array" ref="AK24">GAMMAGREEK($B24,100,0.01,AK$23,0.2)</f>
        <v>9.8683650789057817E-3</v>
      </c>
      <c r="AL24" s="2" cm="1">
        <f t="array" ref="AL24">GAMMAGREEK($B24,100,0.01,AL$23,0.2)</f>
        <v>9.9742915735207029E-3</v>
      </c>
      <c r="AM24" s="2" cm="1">
        <f t="array" ref="AM24">GAMMAGREEK($B24,100,0.01,AM$23,0.2)</f>
        <v>1.0071144251492739E-2</v>
      </c>
      <c r="AN24" s="2" cm="1">
        <f t="array" ref="AN24">GAMMAGREEK($B24,100,0.01,AN$23,0.2)</f>
        <v>1.0159550996292024E-2</v>
      </c>
      <c r="AO24" s="2" cm="1">
        <f t="array" ref="AO24">GAMMAGREEK($B24,100,0.01,AO$23,0.2)</f>
        <v>1.0240094536843115E-2</v>
      </c>
      <c r="AP24" s="2" cm="1">
        <f t="array" ref="AP24">GAMMAGREEK($B24,100,0.01,AP$23,0.2)</f>
        <v>1.0313315500073909E-2</v>
      </c>
      <c r="AQ24" s="2" cm="1">
        <f t="array" ref="AQ24">GAMMAGREEK($B24,100,0.01,AQ$23,0.2)</f>
        <v>1.0379715359257932E-2</v>
      </c>
      <c r="AR24" s="2" cm="1">
        <f t="array" ref="AR24">GAMMAGREEK($B24,100,0.01,AR$23,0.2)</f>
        <v>1.0439759248678336E-2</v>
      </c>
      <c r="AS24" s="2" cm="1">
        <f t="array" ref="AS24">GAMMAGREEK($B24,100,0.01,AS$23,0.2)</f>
        <v>1.0493878627243595E-2</v>
      </c>
      <c r="AT24" s="2" cm="1">
        <f t="array" ref="AT24">GAMMAGREEK($B24,100,0.01,AT$23,0.2)</f>
        <v>1.05424737823673E-2</v>
      </c>
      <c r="AU24" s="2" cm="1">
        <f t="array" ref="AU24">GAMMAGREEK($B24,100,0.01,AU$23,0.2)</f>
        <v>1.0585916171576809E-2</v>
      </c>
      <c r="AV24" s="2" cm="1">
        <f t="array" ref="AV24">GAMMAGREEK($B24,100,0.01,AV$23,0.2)</f>
        <v>1.0624550603598402E-2</v>
      </c>
      <c r="AW24" s="2" cm="1">
        <f t="array" ref="AW24">GAMMAGREEK($B24,100,0.01,AW$23,0.2)</f>
        <v>1.0658697263573819E-2</v>
      </c>
      <c r="AX24" s="2" cm="1">
        <f t="array" ref="AX24">GAMMAGREEK($B24,100,0.01,AX$23,0.2)</f>
        <v>1.0688653588961566E-2</v>
      </c>
      <c r="AY24" s="2" cm="1">
        <f t="array" ref="AY24">GAMMAGREEK($B24,100,0.01,AY$23,0.2)</f>
        <v>1.0714696003840162E-2</v>
      </c>
      <c r="AZ24" s="2" cm="1">
        <f t="array" ref="AZ24">GAMMAGREEK($B24,100,0.01,AZ$23,0.2)</f>
        <v>1.073708151996329E-2</v>
      </c>
    </row>
    <row r="25" spans="1:52" x14ac:dyDescent="0.3">
      <c r="A25" s="2"/>
      <c r="B25" s="2">
        <v>65</v>
      </c>
      <c r="C25" s="2" cm="1">
        <f t="array" ref="C25">GAMMAGREEK($B25,100,0.01,C$23,0.2)</f>
        <v>1.12869575408172E-11</v>
      </c>
      <c r="D25" s="2" cm="1">
        <f t="array" ref="D25">GAMMAGREEK($B25,100,0.01,D$23,0.2)</f>
        <v>8.6832323834608022E-7</v>
      </c>
      <c r="E25" s="2" cm="1">
        <f t="array" ref="E25">GAMMAGREEK($B25,100,0.01,E$23,0.2)</f>
        <v>3.3820751258091582E-5</v>
      </c>
      <c r="F25" s="2" cm="1">
        <f t="array" ref="F25">GAMMAGREEK($B25,100,0.01,F$23,0.2)</f>
        <v>2.0218238688417113E-4</v>
      </c>
      <c r="G25" s="2" cm="1">
        <f t="array" ref="G25">GAMMAGREEK($B25,100,0.01,G$23,0.2)</f>
        <v>5.7611680391896698E-4</v>
      </c>
      <c r="H25" s="2" cm="1">
        <f t="array" ref="H25">GAMMAGREEK($B25,100,0.01,H$23,0.2)</f>
        <v>1.1382523244176247E-3</v>
      </c>
      <c r="I25" s="2" cm="1">
        <f t="array" ref="I25">GAMMAGREEK($B25,100,0.01,I$23,0.2)</f>
        <v>1.8286848240875093E-3</v>
      </c>
      <c r="J25" s="2" cm="1">
        <f t="array" ref="J25">GAMMAGREEK($B25,100,0.01,J$23,0.2)</f>
        <v>2.585538590771336E-3</v>
      </c>
      <c r="K25" s="2" cm="1">
        <f t="array" ref="K25">GAMMAGREEK($B25,100,0.01,K$23,0.2)</f>
        <v>3.3605151026574491E-3</v>
      </c>
      <c r="L25" s="2" cm="1">
        <f t="array" ref="L25">GAMMAGREEK($B25,100,0.01,L$23,0.2)</f>
        <v>4.1207309613216971E-3</v>
      </c>
      <c r="M25" s="2" cm="1">
        <f t="array" ref="M25">GAMMAGREEK($B25,100,0.01,M$23,0.2)</f>
        <v>4.8458851927195784E-3</v>
      </c>
      <c r="N25" s="2" cm="1">
        <f t="array" ref="N25">GAMMAGREEK($B25,100,0.01,N$23,0.2)</f>
        <v>5.5247175394655748E-3</v>
      </c>
      <c r="O25" s="2" cm="1">
        <f t="array" ref="O25">GAMMAGREEK($B25,100,0.01,O$23,0.2)</f>
        <v>6.1520343768504751E-3</v>
      </c>
      <c r="P25" s="2" cm="1">
        <f t="array" ref="P25">GAMMAGREEK($B25,100,0.01,P$23,0.2)</f>
        <v>6.7265235496123824E-3</v>
      </c>
      <c r="Q25" s="2" cm="1">
        <f t="array" ref="Q25">GAMMAGREEK($B25,100,0.01,Q$23,0.2)</f>
        <v>7.2492475795890602E-3</v>
      </c>
      <c r="R25" s="2" cm="1">
        <f t="array" ref="R25">GAMMAGREEK($B25,100,0.01,R$23,0.2)</f>
        <v>7.7226417765499213E-3</v>
      </c>
      <c r="S25" s="2" cm="1">
        <f t="array" ref="S25">GAMMAGREEK($B25,100,0.01,S$23,0.2)</f>
        <v>8.1498647037325043E-3</v>
      </c>
      <c r="T25" s="2" cm="1">
        <f t="array" ref="T25">GAMMAGREEK($B25,100,0.01,T$23,0.2)</f>
        <v>8.5343863843599186E-3</v>
      </c>
      <c r="U25" s="2" cm="1">
        <f t="array" ref="U25">GAMMAGREEK($B25,100,0.01,U$23,0.2)</f>
        <v>8.8797337586739317E-3</v>
      </c>
      <c r="V25" s="2" cm="1">
        <f t="array" ref="V25">GAMMAGREEK($B25,100,0.01,V$23,0.2)</f>
        <v>9.1893387459059377E-3</v>
      </c>
      <c r="W25" s="2" cm="1">
        <f t="array" ref="W25">GAMMAGREEK($B25,100,0.01,W$23,0.2)</f>
        <v>9.466452486798612E-3</v>
      </c>
      <c r="X25" s="2" cm="1">
        <f t="array" ref="X25">GAMMAGREEK($B25,100,0.01,X$23,0.2)</f>
        <v>9.7141017451944506E-3</v>
      </c>
      <c r="Y25" s="2" cm="1">
        <f t="array" ref="Y25">GAMMAGREEK($B25,100,0.01,Y$23,0.2)</f>
        <v>9.9350717363069219E-3</v>
      </c>
      <c r="Z25" s="2" cm="1">
        <f t="array" ref="Z25">GAMMAGREEK($B25,100,0.01,Z$23,0.2)</f>
        <v>1.0131905135378155E-2</v>
      </c>
      <c r="AA25" s="2" cm="1">
        <f t="array" ref="AA25">GAMMAGREEK($B25,100,0.01,AA$23,0.2)</f>
        <v>1.0306910632595102E-2</v>
      </c>
      <c r="AB25" s="2" cm="1">
        <f t="array" ref="AB25">GAMMAGREEK($B25,100,0.01,AB$23,0.2)</f>
        <v>1.0462176771614744E-2</v>
      </c>
      <c r="AC25" s="2" cm="1">
        <f t="array" ref="AC25">GAMMAGREEK($B25,100,0.01,AC$23,0.2)</f>
        <v>1.0599588362857073E-2</v>
      </c>
      <c r="AD25" s="2" cm="1">
        <f t="array" ref="AD25">GAMMAGREEK($B25,100,0.01,AD$23,0.2)</f>
        <v>1.0720843778607441E-2</v>
      </c>
      <c r="AE25" s="2" cm="1">
        <f t="array" ref="AE25">GAMMAGREEK($B25,100,0.01,AE$23,0.2)</f>
        <v>1.0827472099080592E-2</v>
      </c>
      <c r="AF25" s="2" cm="1">
        <f t="array" ref="AF25">GAMMAGREEK($B25,100,0.01,AF$23,0.2)</f>
        <v>1.0920849507992856E-2</v>
      </c>
      <c r="AG25" s="2" cm="1">
        <f t="array" ref="AG25">GAMMAGREEK($B25,100,0.01,AG$23,0.2)</f>
        <v>1.1002214612478467E-2</v>
      </c>
      <c r="AH25" s="2" cm="1">
        <f t="array" ref="AH25">GAMMAGREEK($B25,100,0.01,AH$23,0.2)</f>
        <v>1.1072682537795387E-2</v>
      </c>
      <c r="AI25" s="2" cm="1">
        <f t="array" ref="AI25">GAMMAGREEK($B25,100,0.01,AI$23,0.2)</f>
        <v>1.1133257756777964E-2</v>
      </c>
      <c r="AJ25" s="2" cm="1">
        <f t="array" ref="AJ25">GAMMAGREEK($B25,100,0.01,AJ$23,0.2)</f>
        <v>1.118484568025508E-2</v>
      </c>
      <c r="AK25" s="2" cm="1">
        <f t="array" ref="AK25">GAMMAGREEK($B25,100,0.01,AK$23,0.2)</f>
        <v>1.1228263072776291E-2</v>
      </c>
      <c r="AL25" s="2" cm="1">
        <f t="array" ref="AL25">GAMMAGREEK($B25,100,0.01,AL$23,0.2)</f>
        <v>1.1264247377974787E-2</v>
      </c>
      <c r="AM25" s="2" cm="1">
        <f t="array" ref="AM25">GAMMAGREEK($B25,100,0.01,AM$23,0.2)</f>
        <v>1.1293465046356983E-2</v>
      </c>
      <c r="AN25" s="2" cm="1">
        <f t="array" ref="AN25">GAMMAGREEK($B25,100,0.01,AN$23,0.2)</f>
        <v>1.1316518959607164E-2</v>
      </c>
      <c r="AO25" s="2" cm="1">
        <f t="array" ref="AO25">GAMMAGREEK($B25,100,0.01,AO$23,0.2)</f>
        <v>1.1333955042497066E-2</v>
      </c>
      <c r="AP25" s="2" cm="1">
        <f t="array" ref="AP25">GAMMAGREEK($B25,100,0.01,AP$23,0.2)</f>
        <v>1.1346268148064857E-2</v>
      </c>
      <c r="AQ25" s="2" cm="1">
        <f t="array" ref="AQ25">GAMMAGREEK($B25,100,0.01,AQ$23,0.2)</f>
        <v>1.1353907295080875E-2</v>
      </c>
      <c r="AR25" s="2" cm="1">
        <f t="array" ref="AR25">GAMMAGREEK($B25,100,0.01,AR$23,0.2)</f>
        <v>1.1357280329714725E-2</v>
      </c>
      <c r="AS25" s="2" cm="1">
        <f t="array" ref="AS25">GAMMAGREEK($B25,100,0.01,AS$23,0.2)</f>
        <v>1.1356758076232392E-2</v>
      </c>
      <c r="AT25" s="2" cm="1">
        <f t="array" ref="AT25">GAMMAGREEK($B25,100,0.01,AT$23,0.2)</f>
        <v>1.1352678034763666E-2</v>
      </c>
      <c r="AU25" s="2" cm="1">
        <f t="array" ref="AU25">GAMMAGREEK($B25,100,0.01,AU$23,0.2)</f>
        <v>1.1345347677844113E-2</v>
      </c>
      <c r="AV25" s="2" cm="1">
        <f t="array" ref="AV25">GAMMAGREEK($B25,100,0.01,AV$23,0.2)</f>
        <v>1.1335047391625589E-2</v>
      </c>
      <c r="AW25" s="2" cm="1">
        <f t="array" ref="AW25">GAMMAGREEK($B25,100,0.01,AW$23,0.2)</f>
        <v>1.1322033102387321E-2</v>
      </c>
      <c r="AX25" s="2" cm="1">
        <f t="array" ref="AX25">GAMMAGREEK($B25,100,0.01,AX$23,0.2)</f>
        <v>1.1306538624256455E-2</v>
      </c>
      <c r="AY25" s="2" cm="1">
        <f t="array" ref="AY25">GAMMAGREEK($B25,100,0.01,AY$23,0.2)</f>
        <v>1.1288777759835576E-2</v>
      </c>
      <c r="AZ25" s="2" cm="1">
        <f t="array" ref="AZ25">GAMMAGREEK($B25,100,0.01,AZ$23,0.2)</f>
        <v>1.1268946181697022E-2</v>
      </c>
    </row>
    <row r="26" spans="1:52" x14ac:dyDescent="0.3">
      <c r="A26" s="2"/>
      <c r="B26" s="2">
        <v>70</v>
      </c>
      <c r="C26" s="2" cm="1">
        <f t="array" ref="C26">GAMMAGREEK($B26,100,0.01,C$23,0.2)</f>
        <v>1.4597010892531747E-8</v>
      </c>
      <c r="D26" s="2" cm="1">
        <f t="array" ref="D26">GAMMAGREEK($B26,100,0.01,D$23,0.2)</f>
        <v>2.9265998523210969E-5</v>
      </c>
      <c r="E26" s="2" cm="1">
        <f t="array" ref="E26">GAMMAGREEK($B26,100,0.01,E$23,0.2)</f>
        <v>3.3795857220289077E-4</v>
      </c>
      <c r="F26" s="2" cm="1">
        <f t="array" ref="F26">GAMMAGREEK($B26,100,0.01,F$23,0.2)</f>
        <v>1.1000759814895978E-3</v>
      </c>
      <c r="G26" s="2" cm="1">
        <f t="array" ref="G26">GAMMAGREEK($B26,100,0.01,G$23,0.2)</f>
        <v>2.1766539744156985E-3</v>
      </c>
      <c r="H26" s="2" cm="1">
        <f t="array" ref="H26">GAMMAGREEK($B26,100,0.01,H$23,0.2)</f>
        <v>3.3722289783455592E-3</v>
      </c>
      <c r="I26" s="2" cm="1">
        <f t="array" ref="I26">GAMMAGREEK($B26,100,0.01,I$23,0.2)</f>
        <v>4.5539531232494995E-3</v>
      </c>
      <c r="J26" s="2" cm="1">
        <f t="array" ref="J26">GAMMAGREEK($B26,100,0.01,J$23,0.2)</f>
        <v>5.6523508060789462E-3</v>
      </c>
      <c r="K26" s="2" cm="1">
        <f t="array" ref="K26">GAMMAGREEK($B26,100,0.01,K$23,0.2)</f>
        <v>6.6387114573764512E-3</v>
      </c>
      <c r="L26" s="2" cm="1">
        <f t="array" ref="L26">GAMMAGREEK($B26,100,0.01,L$23,0.2)</f>
        <v>7.5067523489369872E-3</v>
      </c>
      <c r="M26" s="2" cm="1">
        <f t="array" ref="M26">GAMMAGREEK($B26,100,0.01,M$23,0.2)</f>
        <v>8.261346834670457E-3</v>
      </c>
      <c r="N26" s="2" cm="1">
        <f t="array" ref="N26">GAMMAGREEK($B26,100,0.01,N$23,0.2)</f>
        <v>8.9122577062371103E-3</v>
      </c>
      <c r="O26" s="2" cm="1">
        <f t="array" ref="O26">GAMMAGREEK($B26,100,0.01,O$23,0.2)</f>
        <v>9.4708433386352705E-3</v>
      </c>
      <c r="P26" s="2" cm="1">
        <f t="array" ref="P26">GAMMAGREEK($B26,100,0.01,P$23,0.2)</f>
        <v>9.9484155251910837E-3</v>
      </c>
      <c r="Q26" s="2" cm="1">
        <f t="array" ref="Q26">GAMMAGREEK($B26,100,0.01,Q$23,0.2)</f>
        <v>1.0355484400285875E-2</v>
      </c>
      <c r="R26" s="2" cm="1">
        <f t="array" ref="R26">GAMMAGREEK($B26,100,0.01,R$23,0.2)</f>
        <v>1.0701467427858078E-2</v>
      </c>
      <c r="S26" s="2" cm="1">
        <f t="array" ref="S26">GAMMAGREEK($B26,100,0.01,S$23,0.2)</f>
        <v>1.0994633234662406E-2</v>
      </c>
      <c r="T26" s="2" cm="1">
        <f t="array" ref="T26">GAMMAGREEK($B26,100,0.01,T$23,0.2)</f>
        <v>1.124215772219647E-2</v>
      </c>
      <c r="U26" s="2" cm="1">
        <f t="array" ref="U26">GAMMAGREEK($B26,100,0.01,U$23,0.2)</f>
        <v>1.1450227866520241E-2</v>
      </c>
      <c r="V26" s="2" cm="1">
        <f t="array" ref="V26">GAMMAGREEK($B26,100,0.01,V$23,0.2)</f>
        <v>1.1624159945686184E-2</v>
      </c>
      <c r="W26" s="2" cm="1">
        <f t="array" ref="W26">GAMMAGREEK($B26,100,0.01,W$23,0.2)</f>
        <v>1.1768515776566514E-2</v>
      </c>
      <c r="X26" s="2" cm="1">
        <f t="array" ref="X26">GAMMAGREEK($B26,100,0.01,X$23,0.2)</f>
        <v>1.1887209515825409E-2</v>
      </c>
      <c r="Y26" s="2" cm="1">
        <f t="array" ref="Y26">GAMMAGREEK($B26,100,0.01,Y$23,0.2)</f>
        <v>1.1983602278943283E-2</v>
      </c>
      <c r="Z26" s="2" cm="1">
        <f t="array" ref="Z26">GAMMAGREEK($B26,100,0.01,Z$23,0.2)</f>
        <v>1.206058421318979E-2</v>
      </c>
      <c r="AA26" s="2" cm="1">
        <f t="array" ref="AA26">GAMMAGREEK($B26,100,0.01,AA$23,0.2)</f>
        <v>1.2120644793509728E-2</v>
      </c>
      <c r="AB26" s="2" cm="1">
        <f t="array" ref="AB26">GAMMAGREEK($B26,100,0.01,AB$23,0.2)</f>
        <v>1.2165932579065574E-2</v>
      </c>
      <c r="AC26" s="2" cm="1">
        <f t="array" ref="AC26">GAMMAGREEK($B26,100,0.01,AC$23,0.2)</f>
        <v>1.219830579264088E-2</v>
      </c>
      <c r="AD26" s="2" cm="1">
        <f t="array" ref="AD26">GAMMAGREEK($B26,100,0.01,AD$23,0.2)</f>
        <v>1.2219375039657719E-2</v>
      </c>
      <c r="AE26" s="2" cm="1">
        <f t="array" ref="AE26">GAMMAGREEK($B26,100,0.01,AE$23,0.2)</f>
        <v>1.223053936227133E-2</v>
      </c>
      <c r="AF26" s="2" cm="1">
        <f t="array" ref="AF26">GAMMAGREEK($B26,100,0.01,AF$23,0.2)</f>
        <v>1.22330166765713E-2</v>
      </c>
      <c r="AG26" s="2" cm="1">
        <f t="array" ref="AG26">GAMMAGREEK($B26,100,0.01,AG$23,0.2)</f>
        <v>1.2227869492590969E-2</v>
      </c>
      <c r="AH26" s="2" cm="1">
        <f t="array" ref="AH26">GAMMAGREEK($B26,100,0.01,AH$23,0.2)</f>
        <v>1.2216026679503783E-2</v>
      </c>
      <c r="AI26" s="2" cm="1">
        <f t="array" ref="AI26">GAMMAGREEK($B26,100,0.01,AI$23,0.2)</f>
        <v>1.2198301916795967E-2</v>
      </c>
      <c r="AJ26" s="2" cm="1">
        <f t="array" ref="AJ26">GAMMAGREEK($B26,100,0.01,AJ$23,0.2)</f>
        <v>1.2175409367347585E-2</v>
      </c>
      <c r="AK26" s="2" cm="1">
        <f t="array" ref="AK26">GAMMAGREEK($B26,100,0.01,AK$23,0.2)</f>
        <v>1.2147977019395087E-2</v>
      </c>
      <c r="AL26" s="2" cm="1">
        <f t="array" ref="AL26">GAMMAGREEK($B26,100,0.01,AL$23,0.2)</f>
        <v>1.2116558069658561E-2</v>
      </c>
      <c r="AM26" s="2" cm="1">
        <f t="array" ref="AM26">GAMMAGREEK($B26,100,0.01,AM$23,0.2)</f>
        <v>1.2081640657617628E-2</v>
      </c>
      <c r="AN26" s="2" cm="1">
        <f t="array" ref="AN26">GAMMAGREEK($B26,100,0.01,AN$23,0.2)</f>
        <v>1.2043656209164633E-2</v>
      </c>
      <c r="AO26" s="2" cm="1">
        <f t="array" ref="AO26">GAMMAGREEK($B26,100,0.01,AO$23,0.2)</f>
        <v>1.2002986604964903E-2</v>
      </c>
      <c r="AP26" s="2" cm="1">
        <f t="array" ref="AP26">GAMMAGREEK($B26,100,0.01,AP$23,0.2)</f>
        <v>1.1959970353331821E-2</v>
      </c>
      <c r="AQ26" s="2" cm="1">
        <f t="array" ref="AQ26">GAMMAGREEK($B26,100,0.01,AQ$23,0.2)</f>
        <v>1.1914907918014386E-2</v>
      </c>
      <c r="AR26" s="2" cm="1">
        <f t="array" ref="AR26">GAMMAGREEK($B26,100,0.01,AR$23,0.2)</f>
        <v>1.1868066326931909E-2</v>
      </c>
      <c r="AS26" s="2" cm="1">
        <f t="array" ref="AS26">GAMMAGREEK($B26,100,0.01,AS$23,0.2)</f>
        <v>1.1819683167688175E-2</v>
      </c>
      <c r="AT26" s="2" cm="1">
        <f t="array" ref="AT26">GAMMAGREEK($B26,100,0.01,AT$23,0.2)</f>
        <v>1.1769970058922002E-2</v>
      </c>
      <c r="AU26" s="2" cm="1">
        <f t="array" ref="AU26">GAMMAGREEK($B26,100,0.01,AU$23,0.2)</f>
        <v>1.1719115672598939E-2</v>
      </c>
      <c r="AV26" s="2" cm="1">
        <f t="array" ref="AV26">GAMMAGREEK($B26,100,0.01,AV$23,0.2)</f>
        <v>1.166728837072328E-2</v>
      </c>
      <c r="AW26" s="2" cm="1">
        <f t="array" ref="AW26">GAMMAGREEK($B26,100,0.01,AW$23,0.2)</f>
        <v>1.1614638510244045E-2</v>
      </c>
      <c r="AX26" s="2" cm="1">
        <f t="array" ref="AX26">GAMMAGREEK($B26,100,0.01,AX$23,0.2)</f>
        <v>1.1561300461809131E-2</v>
      </c>
      <c r="AY26" s="2" cm="1">
        <f t="array" ref="AY26">GAMMAGREEK($B26,100,0.01,AY$23,0.2)</f>
        <v>1.1507394381214904E-2</v>
      </c>
      <c r="AZ26" s="2" cm="1">
        <f t="array" ref="AZ26">GAMMAGREEK($B26,100,0.01,AZ$23,0.2)</f>
        <v>1.1453027766679768E-2</v>
      </c>
    </row>
    <row r="27" spans="1:52" x14ac:dyDescent="0.3">
      <c r="A27" s="2"/>
      <c r="B27" s="2">
        <v>75</v>
      </c>
      <c r="C27" s="2" cm="1">
        <f t="array" ref="C27">GAMMAGREEK($B27,100,0.01,C$23,0.2)</f>
        <v>3.3512354645083041E-6</v>
      </c>
      <c r="D27" s="2" cm="1">
        <f t="array" ref="D27">GAMMAGREEK($B27,100,0.01,D$23,0.2)</f>
        <v>4.1746111765088789E-4</v>
      </c>
      <c r="E27" s="2" cm="1">
        <f t="array" ref="E27">GAMMAGREEK($B27,100,0.01,E$23,0.2)</f>
        <v>1.9093551185000311E-3</v>
      </c>
      <c r="F27" s="2" cm="1">
        <f t="array" ref="F27">GAMMAGREEK($B27,100,0.01,F$23,0.2)</f>
        <v>3.9113907532951553E-3</v>
      </c>
      <c r="G27" s="2" cm="1">
        <f t="array" ref="G27">GAMMAGREEK($B27,100,0.01,G$23,0.2)</f>
        <v>5.8617741810673678E-3</v>
      </c>
      <c r="H27" s="2" cm="1">
        <f t="array" ref="H27">GAMMAGREEK($B27,100,0.01,H$23,0.2)</f>
        <v>7.545896727233335E-3</v>
      </c>
      <c r="I27" s="2" cm="1">
        <f t="array" ref="I27">GAMMAGREEK($B27,100,0.01,I$23,0.2)</f>
        <v>8.9273180622224182E-3</v>
      </c>
      <c r="J27" s="2" cm="1">
        <f t="array" ref="J27">GAMMAGREEK($B27,100,0.01,J$23,0.2)</f>
        <v>1.0033802504733586E-2</v>
      </c>
      <c r="K27" s="2" cm="1">
        <f t="array" ref="K27">GAMMAGREEK($B27,100,0.01,K$23,0.2)</f>
        <v>1.0909406223302238E-2</v>
      </c>
      <c r="L27" s="2" cm="1">
        <f t="array" ref="L27">GAMMAGREEK($B27,100,0.01,L$23,0.2)</f>
        <v>1.1597225794774834E-2</v>
      </c>
      <c r="M27" s="2" cm="1">
        <f t="array" ref="M27">GAMMAGREEK($B27,100,0.01,M$23,0.2)</f>
        <v>1.2134254291859209E-2</v>
      </c>
      <c r="N27" s="2" cm="1">
        <f t="array" ref="N27">GAMMAGREEK($B27,100,0.01,N$23,0.2)</f>
        <v>1.2550667269029672E-2</v>
      </c>
      <c r="O27" s="2" cm="1">
        <f t="array" ref="O27">GAMMAGREEK($B27,100,0.01,O$23,0.2)</f>
        <v>1.2870557813699425E-2</v>
      </c>
      <c r="P27" s="2" cm="1">
        <f t="array" ref="P27">GAMMAGREEK($B27,100,0.01,P$23,0.2)</f>
        <v>1.3113007881748779E-2</v>
      </c>
      <c r="Q27" s="2" cm="1">
        <f t="array" ref="Q27">GAMMAGREEK($B27,100,0.01,Q$23,0.2)</f>
        <v>1.3293108657292461E-2</v>
      </c>
      <c r="R27" s="2" cm="1">
        <f t="array" ref="R27">GAMMAGREEK($B27,100,0.01,R$23,0.2)</f>
        <v>1.3422818994500521E-2</v>
      </c>
      <c r="S27" s="2" cm="1">
        <f t="array" ref="S27">GAMMAGREEK($B27,100,0.01,S$23,0.2)</f>
        <v>1.3511651590695667E-2</v>
      </c>
      <c r="T27" s="2" cm="1">
        <f t="array" ref="T27">GAMMAGREEK($B27,100,0.01,T$23,0.2)</f>
        <v>1.3567208951354055E-2</v>
      </c>
      <c r="U27" s="2" cm="1">
        <f t="array" ref="U27">GAMMAGREEK($B27,100,0.01,U$23,0.2)</f>
        <v>1.3595597926798595E-2</v>
      </c>
      <c r="V27" s="2" cm="1">
        <f t="array" ref="V27">GAMMAGREEK($B27,100,0.01,V$23,0.2)</f>
        <v>1.3601749391133747E-2</v>
      </c>
      <c r="W27" s="2" cm="1">
        <f t="array" ref="W27">GAMMAGREEK($B27,100,0.01,W$23,0.2)</f>
        <v>1.358966498923757E-2</v>
      </c>
      <c r="X27" s="2" cm="1">
        <f t="array" ref="X27">GAMMAGREEK($B27,100,0.01,X$23,0.2)</f>
        <v>1.3562608176422747E-2</v>
      </c>
      <c r="Y27" s="2" cm="1">
        <f t="array" ref="Y27">GAMMAGREEK($B27,100,0.01,Y$23,0.2)</f>
        <v>1.3523252767224742E-2</v>
      </c>
      <c r="Z27" s="2" cm="1">
        <f t="array" ref="Z27">GAMMAGREEK($B27,100,0.01,Z$23,0.2)</f>
        <v>1.3473799023258277E-2</v>
      </c>
      <c r="AA27" s="2" cm="1">
        <f t="array" ref="AA27">GAMMAGREEK($B27,100,0.01,AA$23,0.2)</f>
        <v>1.3416064859880507E-2</v>
      </c>
      <c r="AB27" s="2" cm="1">
        <f t="array" ref="AB27">GAMMAGREEK($B27,100,0.01,AB$23,0.2)</f>
        <v>1.3351557898151322E-2</v>
      </c>
      <c r="AC27" s="2" cm="1">
        <f t="array" ref="AC27">GAMMAGREEK($B27,100,0.01,AC$23,0.2)</f>
        <v>1.328153269741841E-2</v>
      </c>
      <c r="AD27" s="2" cm="1">
        <f t="array" ref="AD27">GAMMAGREEK($B27,100,0.01,AD$23,0.2)</f>
        <v>1.3207036462154157E-2</v>
      </c>
      <c r="AE27" s="2" cm="1">
        <f t="array" ref="AE27">GAMMAGREEK($B27,100,0.01,AE$23,0.2)</f>
        <v>1.3128945736208627E-2</v>
      </c>
      <c r="AF27" s="2" cm="1">
        <f t="array" ref="AF27">GAMMAGREEK($B27,100,0.01,AF$23,0.2)</f>
        <v>1.304799601147523E-2</v>
      </c>
      <c r="AG27" s="2" cm="1">
        <f t="array" ref="AG27">GAMMAGREEK($B27,100,0.01,AG$23,0.2)</f>
        <v>1.2964805736131377E-2</v>
      </c>
      <c r="AH27" s="2" cm="1">
        <f t="array" ref="AH27">GAMMAGREEK($B27,100,0.01,AH$23,0.2)</f>
        <v>1.2879895873128485E-2</v>
      </c>
      <c r="AI27" s="2" cm="1">
        <f t="array" ref="AI27">GAMMAGREEK($B27,100,0.01,AI$23,0.2)</f>
        <v>1.2793705905173902E-2</v>
      </c>
      <c r="AJ27" s="2" cm="1">
        <f t="array" ref="AJ27">GAMMAGREEK($B27,100,0.01,AJ$23,0.2)</f>
        <v>1.2706606987938339E-2</v>
      </c>
      <c r="AK27" s="2" cm="1">
        <f t="array" ref="AK27">GAMMAGREEK($B27,100,0.01,AK$23,0.2)</f>
        <v>1.2618912803760532E-2</v>
      </c>
      <c r="AL27" s="2" cm="1">
        <f t="array" ref="AL27">GAMMAGREEK($B27,100,0.01,AL$23,0.2)</f>
        <v>1.253088855268036E-2</v>
      </c>
      <c r="AM27" s="2" cm="1">
        <f t="array" ref="AM27">GAMMAGREEK($B27,100,0.01,AM$23,0.2)</f>
        <v>1.2442758428012325E-2</v>
      </c>
      <c r="AN27" s="2" cm="1">
        <f t="array" ref="AN27">GAMMAGREEK($B27,100,0.01,AN$23,0.2)</f>
        <v>1.2354711853745926E-2</v>
      </c>
      <c r="AO27" s="2" cm="1">
        <f t="array" ref="AO27">GAMMAGREEK($B27,100,0.01,AO$23,0.2)</f>
        <v>1.2266908706231396E-2</v>
      </c>
      <c r="AP27" s="2" cm="1">
        <f t="array" ref="AP27">GAMMAGREEK($B27,100,0.01,AP$23,0.2)</f>
        <v>1.2179483699411452E-2</v>
      </c>
      <c r="AQ27" s="2" cm="1">
        <f t="array" ref="AQ27">GAMMAGREEK($B27,100,0.01,AQ$23,0.2)</f>
        <v>1.2092550078665793E-2</v>
      </c>
      <c r="AR27" s="2" cm="1">
        <f t="array" ref="AR27">GAMMAGREEK($B27,100,0.01,AR$23,0.2)</f>
        <v>1.2006202741145614E-2</v>
      </c>
      <c r="AS27" s="2" cm="1">
        <f t="array" ref="AS27">GAMMAGREEK($B27,100,0.01,AS$23,0.2)</f>
        <v>1.1920520878760287E-2</v>
      </c>
      <c r="AT27" s="2" cm="1">
        <f t="array" ref="AT27">GAMMAGREEK($B27,100,0.01,AT$23,0.2)</f>
        <v>1.1835570222561598E-2</v>
      </c>
      <c r="AU27" s="2" cm="1">
        <f t="array" ref="AU27">GAMMAGREEK($B27,100,0.01,AU$23,0.2)</f>
        <v>1.1751404953244579E-2</v>
      </c>
      <c r="AV27" s="2" cm="1">
        <f t="array" ref="AV27">GAMMAGREEK($B27,100,0.01,AV$23,0.2)</f>
        <v>1.1668069331142681E-2</v>
      </c>
      <c r="AW27" s="2" cm="1">
        <f t="array" ref="AW27">GAMMAGREEK($B27,100,0.01,AW$23,0.2)</f>
        <v>1.1585599089890333E-2</v>
      </c>
      <c r="AX27" s="2" cm="1">
        <f t="array" ref="AX27">GAMMAGREEK($B27,100,0.01,AX$23,0.2)</f>
        <v>1.1504022630426925E-2</v>
      </c>
      <c r="AY27" s="2" cm="1">
        <f t="array" ref="AY27">GAMMAGREEK($B27,100,0.01,AY$23,0.2)</f>
        <v>1.1423362045885866E-2</v>
      </c>
      <c r="AZ27" s="2" cm="1">
        <f t="array" ref="AZ27">GAMMAGREEK($B27,100,0.01,AZ$23,0.2)</f>
        <v>1.1343634002882847E-2</v>
      </c>
    </row>
    <row r="28" spans="1:52" x14ac:dyDescent="0.3">
      <c r="A28" s="2"/>
      <c r="B28" s="2">
        <v>80</v>
      </c>
      <c r="C28" s="2" cm="1">
        <f t="array" ref="C28">GAMMAGREEK($B28,100,0.01,C$23,0.2)</f>
        <v>1.844499127219971E-4</v>
      </c>
      <c r="D28" s="2" cm="1">
        <f t="array" ref="D28">GAMMAGREEK($B28,100,0.01,D$23,0.2)</f>
        <v>2.9270332354272227E-3</v>
      </c>
      <c r="E28" s="2" cm="1">
        <f t="array" ref="E28">GAMMAGREEK($B28,100,0.01,E$23,0.2)</f>
        <v>6.7361389316554221E-3</v>
      </c>
      <c r="F28" s="2" cm="1">
        <f t="array" ref="F28">GAMMAGREEK($B28,100,0.01,F$23,0.2)</f>
        <v>9.7884039294375193E-3</v>
      </c>
      <c r="G28" s="2" cm="1">
        <f t="array" ref="G28">GAMMAGREEK($B28,100,0.01,G$23,0.2)</f>
        <v>1.1937780047109162E-2</v>
      </c>
      <c r="H28" s="2" cm="1">
        <f t="array" ref="H28">GAMMAGREEK($B28,100,0.01,H$23,0.2)</f>
        <v>1.3395159432299533E-2</v>
      </c>
      <c r="I28" s="2" cm="1">
        <f t="array" ref="I28">GAMMAGREEK($B28,100,0.01,I$23,0.2)</f>
        <v>1.4366321033900606E-2</v>
      </c>
      <c r="J28" s="2" cm="1">
        <f t="array" ref="J28">GAMMAGREEK($B28,100,0.01,J$23,0.2)</f>
        <v>1.5001364182628532E-2</v>
      </c>
      <c r="K28" s="2" cm="1">
        <f t="array" ref="K28">GAMMAGREEK($B28,100,0.01,K$23,0.2)</f>
        <v>1.5403132263133369E-2</v>
      </c>
      <c r="L28" s="2" cm="1">
        <f t="array" ref="L28">GAMMAGREEK($B28,100,0.01,L$23,0.2)</f>
        <v>1.5641421674019225E-2</v>
      </c>
      <c r="M28" s="2" cm="1">
        <f t="array" ref="M28">GAMMAGREEK($B28,100,0.01,M$23,0.2)</f>
        <v>1.576394776970249E-2</v>
      </c>
      <c r="N28" s="2" cm="1">
        <f t="array" ref="N28">GAMMAGREEK($B28,100,0.01,N$23,0.2)</f>
        <v>1.5803751709635341E-2</v>
      </c>
      <c r="O28" s="2" cm="1">
        <f t="array" ref="O28">GAMMAGREEK($B28,100,0.01,O$23,0.2)</f>
        <v>1.5784039650988829E-2</v>
      </c>
      <c r="P28" s="2" cm="1">
        <f t="array" ref="P28">GAMMAGREEK($B28,100,0.01,P$23,0.2)</f>
        <v>1.5721336686121572E-2</v>
      </c>
      <c r="Q28" s="2" cm="1">
        <f t="array" ref="Q28">GAMMAGREEK($B28,100,0.01,Q$23,0.2)</f>
        <v>1.562756114588237E-2</v>
      </c>
      <c r="R28" s="2" cm="1">
        <f t="array" ref="R28">GAMMAGREEK($B28,100,0.01,R$23,0.2)</f>
        <v>1.551140736539682E-2</v>
      </c>
      <c r="S28" s="2" cm="1">
        <f t="array" ref="S28">GAMMAGREEK($B28,100,0.01,S$23,0.2)</f>
        <v>1.5379281313382996E-2</v>
      </c>
      <c r="T28" s="2" cm="1">
        <f t="array" ref="T28">GAMMAGREEK($B28,100,0.01,T$23,0.2)</f>
        <v>1.5235943242253389E-2</v>
      </c>
      <c r="U28" s="2" cm="1">
        <f t="array" ref="U28">GAMMAGREEK($B28,100,0.01,U$23,0.2)</f>
        <v>1.5084955533897175E-2</v>
      </c>
      <c r="V28" s="2" cm="1">
        <f t="array" ref="V28">GAMMAGREEK($B28,100,0.01,V$23,0.2)</f>
        <v>1.4928999083209112E-2</v>
      </c>
      <c r="W28" s="2" cm="1">
        <f t="array" ref="W28">GAMMAGREEK($B28,100,0.01,W$23,0.2)</f>
        <v>1.4770099675880348E-2</v>
      </c>
      <c r="X28" s="2" cm="1">
        <f t="array" ref="X28">GAMMAGREEK($B28,100,0.01,X$23,0.2)</f>
        <v>1.4609791890060717E-2</v>
      </c>
      <c r="Y28" s="2" cm="1">
        <f t="array" ref="Y28">GAMMAGREEK($B28,100,0.01,Y$23,0.2)</f>
        <v>1.4449239065004556E-2</v>
      </c>
      <c r="Z28" s="2" cm="1">
        <f t="array" ref="Z28">GAMMAGREEK($B28,100,0.01,Z$23,0.2)</f>
        <v>1.4289321998497015E-2</v>
      </c>
      <c r="AA28" s="2" cm="1">
        <f t="array" ref="AA28">GAMMAGREEK($B28,100,0.01,AA$23,0.2)</f>
        <v>1.4130705131783083E-2</v>
      </c>
      <c r="AB28" s="2" cm="1">
        <f t="array" ref="AB28">GAMMAGREEK($B28,100,0.01,AB$23,0.2)</f>
        <v>1.3973886355415001E-2</v>
      </c>
      <c r="AC28" s="2" cm="1">
        <f t="array" ref="AC28">GAMMAGREEK($B28,100,0.01,AC$23,0.2)</f>
        <v>1.3819234780752355E-2</v>
      </c>
      <c r="AD28" s="2" cm="1">
        <f t="array" ref="AD28">GAMMAGREEK($B28,100,0.01,AD$23,0.2)</f>
        <v>1.3667019588223764E-2</v>
      </c>
      <c r="AE28" s="2" cm="1">
        <f t="array" ref="AE28">GAMMAGREEK($B28,100,0.01,AE$23,0.2)</f>
        <v>1.3517432202776026E-2</v>
      </c>
      <c r="AF28" s="2" cm="1">
        <f t="array" ref="AF28">GAMMAGREEK($B28,100,0.01,AF$23,0.2)</f>
        <v>1.337060343987685E-2</v>
      </c>
      <c r="AG28" s="2" cm="1">
        <f t="array" ref="AG28">GAMMAGREEK($B28,100,0.01,AG$23,0.2)</f>
        <v>1.3226616832847541E-2</v>
      </c>
      <c r="AH28" s="2" cm="1">
        <f t="array" ref="AH28">GAMMAGREEK($B28,100,0.01,AH$23,0.2)</f>
        <v>1.3085519041044468E-2</v>
      </c>
      <c r="AI28" s="2" cm="1">
        <f t="array" ref="AI28">GAMMAGREEK($B28,100,0.01,AI$23,0.2)</f>
        <v>1.2947328012402372E-2</v>
      </c>
      <c r="AJ28" s="2" cm="1">
        <f t="array" ref="AJ28">GAMMAGREEK($B28,100,0.01,AJ$23,0.2)</f>
        <v>1.2812039408334251E-2</v>
      </c>
      <c r="AK28" s="2" cm="1">
        <f t="array" ref="AK28">GAMMAGREEK($B28,100,0.01,AK$23,0.2)</f>
        <v>1.2679631676778571E-2</v>
      </c>
      <c r="AL28" s="2" cm="1">
        <f t="array" ref="AL28">GAMMAGREEK($B28,100,0.01,AL$23,0.2)</f>
        <v>1.2550070068268939E-2</v>
      </c>
      <c r="AM28" s="2" cm="1">
        <f t="array" ref="AM28">GAMMAGREEK($B28,100,0.01,AM$23,0.2)</f>
        <v>1.2423309821775022E-2</v>
      </c>
      <c r="AN28" s="2" cm="1">
        <f t="array" ref="AN28">GAMMAGREEK($B28,100,0.01,AN$23,0.2)</f>
        <v>1.2299298695665931E-2</v>
      </c>
      <c r="AO28" s="2" cm="1">
        <f t="array" ref="AO28">GAMMAGREEK($B28,100,0.01,AO$23,0.2)</f>
        <v>1.2177978980121127E-2</v>
      </c>
      <c r="AP28" s="2" cm="1">
        <f t="array" ref="AP28">GAMMAGREEK($B28,100,0.01,AP$23,0.2)</f>
        <v>1.2059289097501428E-2</v>
      </c>
      <c r="AQ28" s="2" cm="1">
        <f t="array" ref="AQ28">GAMMAGREEK($B28,100,0.01,AQ$23,0.2)</f>
        <v>1.1943164874287718E-2</v>
      </c>
      <c r="AR28" s="2" cm="1">
        <f t="array" ref="AR28">GAMMAGREEK($B28,100,0.01,AR$23,0.2)</f>
        <v>1.1829540550501607E-2</v>
      </c>
      <c r="AS28" s="2" cm="1">
        <f t="array" ref="AS28">GAMMAGREEK($B28,100,0.01,AS$23,0.2)</f>
        <v>1.1718349578784778E-2</v>
      </c>
      <c r="AT28" s="2" cm="1">
        <f t="array" ref="AT28">GAMMAGREEK($B28,100,0.01,AT$23,0.2)</f>
        <v>1.1609525254595536E-2</v>
      </c>
      <c r="AU28" s="2" cm="1">
        <f t="array" ref="AU28">GAMMAGREEK($B28,100,0.01,AU$23,0.2)</f>
        <v>1.1503001210580946E-2</v>
      </c>
      <c r="AV28" s="2" cm="1">
        <f t="array" ref="AV28">GAMMAGREEK($B28,100,0.01,AV$23,0.2)</f>
        <v>1.139871180157012E-2</v>
      </c>
      <c r="AW28" s="2" cm="1">
        <f t="array" ref="AW28">GAMMAGREEK($B28,100,0.01,AW$23,0.2)</f>
        <v>1.1296592401408175E-2</v>
      </c>
      <c r="AX28" s="2" cm="1">
        <f t="array" ref="AX28">GAMMAGREEK($B28,100,0.01,AX$23,0.2)</f>
        <v>1.1196579628703331E-2</v>
      </c>
      <c r="AY28" s="2" cm="1">
        <f t="array" ref="AY28">GAMMAGREEK($B28,100,0.01,AY$23,0.2)</f>
        <v>1.1098611515257768E-2</v>
      </c>
      <c r="AZ28" s="2" cm="1">
        <f t="array" ref="AZ28">GAMMAGREEK($B28,100,0.01,AZ$23,0.2)</f>
        <v>1.1002627628314172E-2</v>
      </c>
    </row>
    <row r="29" spans="1:52" x14ac:dyDescent="0.3">
      <c r="A29" s="2"/>
      <c r="B29" s="2">
        <v>85</v>
      </c>
      <c r="C29" s="2" cm="1">
        <f t="array" ref="C29">GAMMAGREEK($B29,100,0.01,C$23,0.2)</f>
        <v>3.0836372935947117E-3</v>
      </c>
      <c r="D29" s="2" cm="1">
        <f t="array" ref="D29">GAMMAGREEK($B29,100,0.01,D$23,0.2)</f>
        <v>1.1349644277453122E-2</v>
      </c>
      <c r="E29" s="2" cm="1">
        <f t="array" ref="E29">GAMMAGREEK($B29,100,0.01,E$23,0.2)</f>
        <v>1.6048048164004215E-2</v>
      </c>
      <c r="F29" s="2" cm="1">
        <f t="array" ref="F29">GAMMAGREEK($B29,100,0.01,F$23,0.2)</f>
        <v>1.8278954822369086E-2</v>
      </c>
      <c r="G29" s="2" cm="1">
        <f t="array" ref="G29">GAMMAGREEK($B29,100,0.01,G$23,0.2)</f>
        <v>1.926193999623425E-2</v>
      </c>
      <c r="H29" s="2" cm="1">
        <f t="array" ref="H29">GAMMAGREEK($B29,100,0.01,H$23,0.2)</f>
        <v>1.9607203543702153E-2</v>
      </c>
      <c r="I29" s="2" cm="1">
        <f t="array" ref="I29">GAMMAGREEK($B29,100,0.01,I$23,0.2)</f>
        <v>1.9615204928584505E-2</v>
      </c>
      <c r="J29" s="2" cm="1">
        <f t="array" ref="J29">GAMMAGREEK($B29,100,0.01,J$23,0.2)</f>
        <v>1.9440734598304157E-2</v>
      </c>
      <c r="K29" s="2" cm="1">
        <f t="array" ref="K29">GAMMAGREEK($B29,100,0.01,K$23,0.2)</f>
        <v>1.9167361944162006E-2</v>
      </c>
      <c r="L29" s="2" cm="1">
        <f t="array" ref="L29">GAMMAGREEK($B29,100,0.01,L$23,0.2)</f>
        <v>1.8841983940109528E-2</v>
      </c>
      <c r="M29" s="2" cm="1">
        <f t="array" ref="M29">GAMMAGREEK($B29,100,0.01,M$23,0.2)</f>
        <v>1.8491692405525763E-2</v>
      </c>
      <c r="N29" s="2" cm="1">
        <f t="array" ref="N29">GAMMAGREEK($B29,100,0.01,N$23,0.2)</f>
        <v>1.8132440526507244E-2</v>
      </c>
      <c r="O29" s="2" cm="1">
        <f t="array" ref="O29">GAMMAGREEK($B29,100,0.01,O$23,0.2)</f>
        <v>1.7773703943943717E-2</v>
      </c>
      <c r="P29" s="2" cm="1">
        <f t="array" ref="P29">GAMMAGREEK($B29,100,0.01,P$23,0.2)</f>
        <v>1.7421088562399011E-2</v>
      </c>
      <c r="Q29" s="2" cm="1">
        <f t="array" ref="Q29">GAMMAGREEK($B29,100,0.01,Q$23,0.2)</f>
        <v>1.7077839563120274E-2</v>
      </c>
      <c r="R29" s="2" cm="1">
        <f t="array" ref="R29">GAMMAGREEK($B29,100,0.01,R$23,0.2)</f>
        <v>1.6745739875301535E-2</v>
      </c>
      <c r="S29" s="2" cm="1">
        <f t="array" ref="S29">GAMMAGREEK($B29,100,0.01,S$23,0.2)</f>
        <v>1.6425658120799658E-2</v>
      </c>
      <c r="T29" s="2" cm="1">
        <f t="array" ref="T29">GAMMAGREEK($B29,100,0.01,T$23,0.2)</f>
        <v>1.6117889512566597E-2</v>
      </c>
      <c r="U29" s="2" cm="1">
        <f t="array" ref="U29">GAMMAGREEK($B29,100,0.01,U$23,0.2)</f>
        <v>1.5822371403647055E-2</v>
      </c>
      <c r="V29" s="2" cm="1">
        <f t="array" ref="V29">GAMMAGREEK($B29,100,0.01,V$23,0.2)</f>
        <v>1.5538821309956896E-2</v>
      </c>
      <c r="W29" s="2" cm="1">
        <f t="array" ref="W29">GAMMAGREEK($B29,100,0.01,W$23,0.2)</f>
        <v>1.5266826094352811E-2</v>
      </c>
      <c r="X29" s="2" cm="1">
        <f t="array" ref="X29">GAMMAGREEK($B29,100,0.01,X$23,0.2)</f>
        <v>1.500589989682085E-2</v>
      </c>
      <c r="Y29" s="2" cm="1">
        <f t="array" ref="Y29">GAMMAGREEK($B29,100,0.01,Y$23,0.2)</f>
        <v>1.4755521797958096E-2</v>
      </c>
      <c r="Z29" s="2" cm="1">
        <f t="array" ref="Z29">GAMMAGREEK($B29,100,0.01,Z$23,0.2)</f>
        <v>1.4515160197463855E-2</v>
      </c>
      <c r="AA29" s="2" cm="1">
        <f t="array" ref="AA29">GAMMAGREEK($B29,100,0.01,AA$23,0.2)</f>
        <v>1.4284288410438377E-2</v>
      </c>
      <c r="AB29" s="2" cm="1">
        <f t="array" ref="AB29">GAMMAGREEK($B29,100,0.01,AB$23,0.2)</f>
        <v>1.4062394423410469E-2</v>
      </c>
      <c r="AC29" s="2" cm="1">
        <f t="array" ref="AC29">GAMMAGREEK($B29,100,0.01,AC$23,0.2)</f>
        <v>1.3848986753843712E-2</v>
      </c>
      <c r="AD29" s="2" cm="1">
        <f t="array" ref="AD29">GAMMAGREEK($B29,100,0.01,AD$23,0.2)</f>
        <v>1.3643597709615953E-2</v>
      </c>
      <c r="AE29" s="2" cm="1">
        <f t="array" ref="AE29">GAMMAGREEK($B29,100,0.01,AE$23,0.2)</f>
        <v>1.3445784920017129E-2</v>
      </c>
      <c r="AF29" s="2" cm="1">
        <f t="array" ref="AF29">GAMMAGREEK($B29,100,0.01,AF$23,0.2)</f>
        <v>1.3255131727717093E-2</v>
      </c>
      <c r="AG29" s="2" cm="1">
        <f t="array" ref="AG29">GAMMAGREEK($B29,100,0.01,AG$23,0.2)</f>
        <v>1.3071246842062935E-2</v>
      </c>
      <c r="AH29" s="2" cm="1">
        <f t="array" ref="AH29">GAMMAGREEK($B29,100,0.01,AH$23,0.2)</f>
        <v>1.289376352623591E-2</v>
      </c>
      <c r="AI29" s="2" cm="1">
        <f t="array" ref="AI29">GAMMAGREEK($B29,100,0.01,AI$23,0.2)</f>
        <v>1.2722338503757424E-2</v>
      </c>
      <c r="AJ29" s="2" cm="1">
        <f t="array" ref="AJ29">GAMMAGREEK($B29,100,0.01,AJ$23,0.2)</f>
        <v>1.255665071021262E-2</v>
      </c>
      <c r="AK29" s="2" cm="1">
        <f t="array" ref="AK29">GAMMAGREEK($B29,100,0.01,AK$23,0.2)</f>
        <v>1.2396399975031155E-2</v>
      </c>
      <c r="AL29" s="2" cm="1">
        <f t="array" ref="AL29">GAMMAGREEK($B29,100,0.01,AL$23,0.2)</f>
        <v>1.2241305689839221E-2</v>
      </c>
      <c r="AM29" s="2" cm="1">
        <f t="array" ref="AM29">GAMMAGREEK($B29,100,0.01,AM$23,0.2)</f>
        <v>1.2091105500309283E-2</v>
      </c>
      <c r="AN29" s="2" cm="1">
        <f t="array" ref="AN29">GAMMAGREEK($B29,100,0.01,AN$23,0.2)</f>
        <v>1.1945554044891416E-2</v>
      </c>
      <c r="AO29" s="2" cm="1">
        <f t="array" ref="AO29">GAMMAGREEK($B29,100,0.01,AO$23,0.2)</f>
        <v>1.1804421754469302E-2</v>
      </c>
      <c r="AP29" s="2" cm="1">
        <f t="array" ref="AP29">GAMMAGREEK($B29,100,0.01,AP$23,0.2)</f>
        <v>1.1667493720574827E-2</v>
      </c>
      <c r="AQ29" s="2" cm="1">
        <f t="array" ref="AQ29">GAMMAGREEK($B29,100,0.01,AQ$23,0.2)</f>
        <v>1.1534568635436348E-2</v>
      </c>
      <c r="AR29" s="2" cm="1">
        <f t="array" ref="AR29">GAMMAGREEK($B29,100,0.01,AR$23,0.2)</f>
        <v>1.1405457804213119E-2</v>
      </c>
      <c r="AS29" s="2" cm="1">
        <f t="array" ref="AS29">GAMMAGREEK($B29,100,0.01,AS$23,0.2)</f>
        <v>1.1279984227851553E-2</v>
      </c>
      <c r="AT29" s="2" cm="1">
        <f t="array" ref="AT29">GAMMAGREEK($B29,100,0.01,AT$23,0.2)</f>
        <v>1.1157981753784877E-2</v>
      </c>
      <c r="AU29" s="2" cm="1">
        <f t="array" ref="AU29">GAMMAGREEK($B29,100,0.01,AU$23,0.2)</f>
        <v>1.103929429097336E-2</v>
      </c>
      <c r="AV29" s="2" cm="1">
        <f t="array" ref="AV29">GAMMAGREEK($B29,100,0.01,AV$23,0.2)</f>
        <v>1.0923775085395816E-2</v>
      </c>
      <c r="AW29" s="2" cm="1">
        <f t="array" ref="AW29">GAMMAGREEK($B29,100,0.01,AW$23,0.2)</f>
        <v>1.0811286051948492E-2</v>
      </c>
      <c r="AX29" s="2" cm="1">
        <f t="array" ref="AX29">GAMMAGREEK($B29,100,0.01,AX$23,0.2)</f>
        <v>1.0701697158708175E-2</v>
      </c>
      <c r="AY29" s="2" cm="1">
        <f t="array" ref="AY29">GAMMAGREEK($B29,100,0.01,AY$23,0.2)</f>
        <v>1.0594885859619775E-2</v>
      </c>
      <c r="AZ29" s="2" cm="1">
        <f t="array" ref="AZ29">GAMMAGREEK($B29,100,0.01,AZ$23,0.2)</f>
        <v>1.0490736571836448E-2</v>
      </c>
    </row>
    <row r="30" spans="1:52" x14ac:dyDescent="0.3">
      <c r="A30" s="2"/>
      <c r="B30" s="2">
        <v>90</v>
      </c>
      <c r="C30" s="2" cm="1">
        <f t="array" ref="C30">GAMMAGREEK($B30,100,0.01,C$23,0.2)</f>
        <v>1.8916378586336522E-2</v>
      </c>
      <c r="D30" s="2" cm="1">
        <f t="array" ref="D30">GAMMAGREEK($B30,100,0.01,D$23,0.2)</f>
        <v>2.6739234389615493E-2</v>
      </c>
      <c r="E30" s="2" cm="1">
        <f t="array" ref="E30">GAMMAGREEK($B30,100,0.01,E$23,0.2)</f>
        <v>2.7482291431425852E-2</v>
      </c>
      <c r="F30" s="2" cm="1">
        <f t="array" ref="F30">GAMMAGREEK($B30,100,0.01,F$23,0.2)</f>
        <v>2.668788040521014E-2</v>
      </c>
      <c r="G30" s="2" cm="1">
        <f t="array" ref="G30">GAMMAGREEK($B30,100,0.01,G$23,0.2)</f>
        <v>2.5556533759819561E-2</v>
      </c>
      <c r="H30" s="2" cm="1">
        <f t="array" ref="H30">GAMMAGREEK($B30,100,0.01,H$23,0.2)</f>
        <v>2.4406774147524603E-2</v>
      </c>
      <c r="I30" s="2" cm="1">
        <f t="array" ref="I30">GAMMAGREEK($B30,100,0.01,I$23,0.2)</f>
        <v>2.3329031963279279E-2</v>
      </c>
      <c r="J30" s="2" cm="1">
        <f t="array" ref="J30">GAMMAGREEK($B30,100,0.01,J$23,0.2)</f>
        <v>2.2344641814505347E-2</v>
      </c>
      <c r="K30" s="2" cm="1">
        <f t="array" ref="K30">GAMMAGREEK($B30,100,0.01,K$23,0.2)</f>
        <v>2.1452524339852529E-2</v>
      </c>
      <c r="L30" s="2" cm="1">
        <f t="array" ref="L30">GAMMAGREEK($B30,100,0.01,L$23,0.2)</f>
        <v>2.0644622964645625E-2</v>
      </c>
      <c r="M30" s="2" cm="1">
        <f t="array" ref="M30">GAMMAGREEK($B30,100,0.01,M$23,0.2)</f>
        <v>1.9911339536736294E-2</v>
      </c>
      <c r="N30" s="2" cm="1">
        <f t="array" ref="N30">GAMMAGREEK($B30,100,0.01,N$23,0.2)</f>
        <v>1.9243452333536713E-2</v>
      </c>
      <c r="O30" s="2" cm="1">
        <f t="array" ref="O30">GAMMAGREEK($B30,100,0.01,O$23,0.2)</f>
        <v>1.8632724433488172E-2</v>
      </c>
      <c r="P30" s="2" cm="1">
        <f t="array" ref="P30">GAMMAGREEK($B30,100,0.01,P$23,0.2)</f>
        <v>1.8072015358129988E-2</v>
      </c>
      <c r="Q30" s="2" cm="1">
        <f t="array" ref="Q30">GAMMAGREEK($B30,100,0.01,Q$23,0.2)</f>
        <v>1.7555211108093813E-2</v>
      </c>
      <c r="R30" s="2" cm="1">
        <f t="array" ref="R30">GAMMAGREEK($B30,100,0.01,R$23,0.2)</f>
        <v>1.7077097888939151E-2</v>
      </c>
      <c r="S30" s="2" cm="1">
        <f t="array" ref="S30">GAMMAGREEK($B30,100,0.01,S$23,0.2)</f>
        <v>1.6633228947372795E-2</v>
      </c>
      <c r="T30" s="2" cm="1">
        <f t="array" ref="T30">GAMMAGREEK($B30,100,0.01,T$23,0.2)</f>
        <v>1.6219802748241918E-2</v>
      </c>
      <c r="U30" s="2" cm="1">
        <f t="array" ref="U30">GAMMAGREEK($B30,100,0.01,U$23,0.2)</f>
        <v>1.5833557828002626E-2</v>
      </c>
      <c r="V30" s="2" cm="1">
        <f t="array" ref="V30">GAMMAGREEK($B30,100,0.01,V$23,0.2)</f>
        <v>1.5471684475151491E-2</v>
      </c>
      <c r="W30" s="2" cm="1">
        <f t="array" ref="W30">GAMMAGREEK($B30,100,0.01,W$23,0.2)</f>
        <v>1.5131751493393101E-2</v>
      </c>
      <c r="X30" s="2" cm="1">
        <f t="array" ref="X30">GAMMAGREEK($B30,100,0.01,X$23,0.2)</f>
        <v>1.4811645800937245E-2</v>
      </c>
      <c r="Y30" s="2" cm="1">
        <f t="array" ref="Y30">GAMMAGREEK($B30,100,0.01,Y$23,0.2)</f>
        <v>1.4509522680294167E-2</v>
      </c>
      <c r="Z30" s="2" cm="1">
        <f t="array" ref="Z30">GAMMAGREEK($B30,100,0.01,Z$23,0.2)</f>
        <v>1.4223764754627669E-2</v>
      </c>
      <c r="AA30" s="2" cm="1">
        <f t="array" ref="AA30">GAMMAGREEK($B30,100,0.01,AA$23,0.2)</f>
        <v>1.3952948073715601E-2</v>
      </c>
      <c r="AB30" s="2" cm="1">
        <f t="array" ref="AB30">GAMMAGREEK($B30,100,0.01,AB$23,0.2)</f>
        <v>1.3695813982212479E-2</v>
      </c>
      <c r="AC30" s="2" cm="1">
        <f t="array" ref="AC30">GAMMAGREEK($B30,100,0.01,AC$23,0.2)</f>
        <v>1.3451245693802362E-2</v>
      </c>
      <c r="AD30" s="2" cm="1">
        <f t="array" ref="AD30">GAMMAGREEK($B30,100,0.01,AD$23,0.2)</f>
        <v>1.3218248703325781E-2</v>
      </c>
      <c r="AE30" s="2" cm="1">
        <f t="array" ref="AE30">GAMMAGREEK($B30,100,0.01,AE$23,0.2)</f>
        <v>1.2995934338488059E-2</v>
      </c>
      <c r="AF30" s="2" cm="1">
        <f t="array" ref="AF30">GAMMAGREEK($B30,100,0.01,AF$23,0.2)</f>
        <v>1.2783505889003444E-2</v>
      </c>
      <c r="AG30" s="2" cm="1">
        <f t="array" ref="AG30">GAMMAGREEK($B30,100,0.01,AG$23,0.2)</f>
        <v>1.2580246859904571E-2</v>
      </c>
      <c r="AH30" s="2" cm="1">
        <f t="array" ref="AH30">GAMMAGREEK($B30,100,0.01,AH$23,0.2)</f>
        <v>1.2385510982555763E-2</v>
      </c>
      <c r="AI30" s="2" cm="1">
        <f t="array" ref="AI30">GAMMAGREEK($B30,100,0.01,AI$23,0.2)</f>
        <v>1.2198713686124499E-2</v>
      </c>
      <c r="AJ30" s="2" cm="1">
        <f t="array" ref="AJ30">GAMMAGREEK($B30,100,0.01,AJ$23,0.2)</f>
        <v>1.2019324787533051E-2</v>
      </c>
      <c r="AK30" s="2" cm="1">
        <f t="array" ref="AK30">GAMMAGREEK($B30,100,0.01,AK$23,0.2)</f>
        <v>1.1846862202147517E-2</v>
      </c>
      <c r="AL30" s="2" cm="1">
        <f t="array" ref="AL30">GAMMAGREEK($B30,100,0.01,AL$23,0.2)</f>
        <v>1.1680886512972426E-2</v>
      </c>
      <c r="AM30" s="2" cm="1">
        <f t="array" ref="AM30">GAMMAGREEK($B30,100,0.01,AM$23,0.2)</f>
        <v>1.1520996264722756E-2</v>
      </c>
      <c r="AN30" s="2" cm="1">
        <f t="array" ref="AN30">GAMMAGREEK($B30,100,0.01,AN$23,0.2)</f>
        <v>1.1366823872268715E-2</v>
      </c>
      <c r="AO30" s="2" cm="1">
        <f t="array" ref="AO30">GAMMAGREEK($B30,100,0.01,AO$23,0.2)</f>
        <v>1.1218032051712071E-2</v>
      </c>
      <c r="AP30" s="2" cm="1">
        <f t="array" ref="AP30">GAMMAGREEK($B30,100,0.01,AP$23,0.2)</f>
        <v>1.1074310697636872E-2</v>
      </c>
      <c r="AQ30" s="2" cm="1">
        <f t="array" ref="AQ30">GAMMAGREEK($B30,100,0.01,AQ$23,0.2)</f>
        <v>1.0935374142574844E-2</v>
      </c>
      <c r="AR30" s="2" cm="1">
        <f t="array" ref="AR30">GAMMAGREEK($B30,100,0.01,AR$23,0.2)</f>
        <v>1.0800958744983916E-2</v>
      </c>
      <c r="AS30" s="2" cm="1">
        <f t="array" ref="AS30">GAMMAGREEK($B30,100,0.01,AS$23,0.2)</f>
        <v>1.0670820760490137E-2</v>
      </c>
      <c r="AT30" s="2" cm="1">
        <f t="array" ref="AT30">GAMMAGREEK($B30,100,0.01,AT$23,0.2)</f>
        <v>1.0544734458132482E-2</v>
      </c>
      <c r="AU30" s="2" cm="1">
        <f t="array" ref="AU30">GAMMAGREEK($B30,100,0.01,AU$23,0.2)</f>
        <v>1.0422490449151231E-2</v>
      </c>
      <c r="AV30" s="2" cm="1">
        <f t="array" ref="AV30">GAMMAGREEK($B30,100,0.01,AV$23,0.2)</f>
        <v>1.0303894200692113E-2</v>
      </c>
      <c r="AW30" s="2" cm="1">
        <f t="array" ref="AW30">GAMMAGREEK($B30,100,0.01,AW$23,0.2)</f>
        <v>1.018876471083697E-2</v>
      </c>
      <c r="AX30" s="2" cm="1">
        <f t="array" ref="AX30">GAMMAGREEK($B30,100,0.01,AX$23,0.2)</f>
        <v>1.0076933324758069E-2</v>
      </c>
      <c r="AY30" s="2" cm="1">
        <f t="array" ref="AY30">GAMMAGREEK($B30,100,0.01,AY$23,0.2)</f>
        <v>9.9682426746427188E-3</v>
      </c>
      <c r="AZ30" s="2" cm="1">
        <f t="array" ref="AZ30">GAMMAGREEK($B30,100,0.01,AZ$23,0.2)</f>
        <v>9.8625457284395677E-3</v>
      </c>
    </row>
    <row r="31" spans="1:52" x14ac:dyDescent="0.3">
      <c r="A31" s="2"/>
      <c r="B31" s="2">
        <v>95</v>
      </c>
      <c r="C31" s="2" cm="1">
        <f t="array" ref="C31">GAMMAGREEK($B31,100,0.01,C$23,0.2)</f>
        <v>4.9607400575778234E-2</v>
      </c>
      <c r="D31" s="2" cm="1">
        <f t="array" ref="D31">GAMMAGREEK($B31,100,0.01,D$23,0.2)</f>
        <v>4.1300684164172582E-2</v>
      </c>
      <c r="E31" s="2" cm="1">
        <f t="array" ref="E31">GAMMAGREEK($B31,100,0.01,E$23,0.2)</f>
        <v>3.5581792279001198E-2</v>
      </c>
      <c r="F31" s="2" cm="1">
        <f t="array" ref="F31">GAMMAGREEK($B31,100,0.01,F$23,0.2)</f>
        <v>3.1635322258043573E-2</v>
      </c>
      <c r="G31" s="2" cm="1">
        <f t="array" ref="G31">GAMMAGREEK($B31,100,0.01,G$23,0.2)</f>
        <v>2.8732281352043244E-2</v>
      </c>
      <c r="H31" s="2" cm="1">
        <f t="array" ref="H31">GAMMAGREEK($B31,100,0.01,H$23,0.2)</f>
        <v>2.6488164394297603E-2</v>
      </c>
      <c r="I31" s="2" cm="1">
        <f t="array" ref="I31">GAMMAGREEK($B31,100,0.01,I$23,0.2)</f>
        <v>2.4688265009858643E-2</v>
      </c>
      <c r="J31" s="2" cm="1">
        <f t="array" ref="J31">GAMMAGREEK($B31,100,0.01,J$23,0.2)</f>
        <v>2.3203661883923712E-2</v>
      </c>
      <c r="K31" s="2" cm="1">
        <f t="array" ref="K31">GAMMAGREEK($B31,100,0.01,K$23,0.2)</f>
        <v>2.1952066922098779E-2</v>
      </c>
      <c r="L31" s="2" cm="1">
        <f t="array" ref="L31">GAMMAGREEK($B31,100,0.01,L$23,0.2)</f>
        <v>2.087829727981377E-2</v>
      </c>
      <c r="M31" s="2" cm="1">
        <f t="array" ref="M31">GAMMAGREEK($B31,100,0.01,M$23,0.2)</f>
        <v>1.9943831488271495E-2</v>
      </c>
      <c r="N31" s="2" cm="1">
        <f t="array" ref="N31">GAMMAGREEK($B31,100,0.01,N$23,0.2)</f>
        <v>1.9120875334331693E-2</v>
      </c>
      <c r="O31" s="2" cm="1">
        <f t="array" ref="O31">GAMMAGREEK($B31,100,0.01,O$23,0.2)</f>
        <v>1.8388813330217961E-2</v>
      </c>
      <c r="P31" s="2" cm="1">
        <f t="array" ref="P31">GAMMAGREEK($B31,100,0.01,P$23,0.2)</f>
        <v>1.7731993128566145E-2</v>
      </c>
      <c r="Q31" s="2" cm="1">
        <f t="array" ref="Q31">GAMMAGREEK($B31,100,0.01,Q$23,0.2)</f>
        <v>1.7138290423430548E-2</v>
      </c>
      <c r="R31" s="2" cm="1">
        <f t="array" ref="R31">GAMMAGREEK($B31,100,0.01,R$23,0.2)</f>
        <v>1.6598149600004254E-2</v>
      </c>
      <c r="S31" s="2" cm="1">
        <f t="array" ref="S31">GAMMAGREEK($B31,100,0.01,S$23,0.2)</f>
        <v>1.6103924637171533E-2</v>
      </c>
      <c r="T31" s="2" cm="1">
        <f t="array" ref="T31">GAMMAGREEK($B31,100,0.01,T$23,0.2)</f>
        <v>1.5649415333198375E-2</v>
      </c>
      <c r="U31" s="2" cm="1">
        <f t="array" ref="U31">GAMMAGREEK($B31,100,0.01,U$23,0.2)</f>
        <v>1.5229534020925931E-2</v>
      </c>
      <c r="V31" s="2" cm="1">
        <f t="array" ref="V31">GAMMAGREEK($B31,100,0.01,V$23,0.2)</f>
        <v>1.4840061535306964E-2</v>
      </c>
      <c r="W31" s="2" cm="1">
        <f t="array" ref="W31">GAMMAGREEK($B31,100,0.01,W$23,0.2)</f>
        <v>1.4477465520952387E-2</v>
      </c>
      <c r="X31" s="2" cm="1">
        <f t="array" ref="X31">GAMMAGREEK($B31,100,0.01,X$23,0.2)</f>
        <v>1.4138763107715472E-2</v>
      </c>
      <c r="Y31" s="2" cm="1">
        <f t="array" ref="Y31">GAMMAGREEK($B31,100,0.01,Y$23,0.2)</f>
        <v>1.3821415702295703E-2</v>
      </c>
      <c r="Z31" s="2" cm="1">
        <f t="array" ref="Z31">GAMMAGREEK($B31,100,0.01,Z$23,0.2)</f>
        <v>1.3523247386087815E-2</v>
      </c>
      <c r="AA31" s="2" cm="1">
        <f t="array" ref="AA31">GAMMAGREEK($B31,100,0.01,AA$23,0.2)</f>
        <v>1.3242380907851773E-2</v>
      </c>
      <c r="AB31" s="2" cm="1">
        <f t="array" ref="AB31">GAMMAGREEK($B31,100,0.01,AB$23,0.2)</f>
        <v>1.2977186958646764E-2</v>
      </c>
      <c r="AC31" s="2" cm="1">
        <f t="array" ref="AC31">GAMMAGREEK($B31,100,0.01,AC$23,0.2)</f>
        <v>1.2726243591253232E-2</v>
      </c>
      <c r="AD31" s="2" cm="1">
        <f t="array" ref="AD31">GAMMAGREEK($B31,100,0.01,AD$23,0.2)</f>
        <v>1.2488303471275925E-2</v>
      </c>
      <c r="AE31" s="2" cm="1">
        <f t="array" ref="AE31">GAMMAGREEK($B31,100,0.01,AE$23,0.2)</f>
        <v>1.226226723470045E-2</v>
      </c>
      <c r="AF31" s="2" cm="1">
        <f t="array" ref="AF31">GAMMAGREEK($B31,100,0.01,AF$23,0.2)</f>
        <v>1.2047161650680642E-2</v>
      </c>
      <c r="AG31" s="2" cm="1">
        <f t="array" ref="AG31">GAMMAGREEK($B31,100,0.01,AG$23,0.2)</f>
        <v>1.1842121598024715E-2</v>
      </c>
      <c r="AH31" s="2" cm="1">
        <f t="array" ref="AH31">GAMMAGREEK($B31,100,0.01,AH$23,0.2)</f>
        <v>1.1646375092599833E-2</v>
      </c>
      <c r="AI31" s="2" cm="1">
        <f t="array" ref="AI31">GAMMAGREEK($B31,100,0.01,AI$23,0.2)</f>
        <v>1.145923077361676E-2</v>
      </c>
      <c r="AJ31" s="2" cm="1">
        <f t="array" ref="AJ31">GAMMAGREEK($B31,100,0.01,AJ$23,0.2)</f>
        <v>1.1280067385449354E-2</v>
      </c>
      <c r="AK31" s="2" cm="1">
        <f t="array" ref="AK31">GAMMAGREEK($B31,100,0.01,AK$23,0.2)</f>
        <v>1.1108324889532438E-2</v>
      </c>
      <c r="AL31" s="2" cm="1">
        <f t="array" ref="AL31">GAMMAGREEK($B31,100,0.01,AL$23,0.2)</f>
        <v>1.0943496915979406E-2</v>
      </c>
      <c r="AM31" s="2" cm="1">
        <f t="array" ref="AM31">GAMMAGREEK($B31,100,0.01,AM$23,0.2)</f>
        <v>1.0785124322638798E-2</v>
      </c>
      <c r="AN31" s="2" cm="1">
        <f t="array" ref="AN31">GAMMAGREEK($B31,100,0.01,AN$23,0.2)</f>
        <v>1.0632789674565456E-2</v>
      </c>
      <c r="AO31" s="2" cm="1">
        <f t="array" ref="AO31">GAMMAGREEK($B31,100,0.01,AO$23,0.2)</f>
        <v>1.0486112492399505E-2</v>
      </c>
      <c r="AP31" s="2" cm="1">
        <f t="array" ref="AP31">GAMMAGREEK($B31,100,0.01,AP$23,0.2)</f>
        <v>1.034474514620942E-2</v>
      </c>
      <c r="AQ31" s="2" cm="1">
        <f t="array" ref="AQ31">GAMMAGREEK($B31,100,0.01,AQ$23,0.2)</f>
        <v>1.0208369293669986E-2</v>
      </c>
      <c r="AR31" s="2" cm="1">
        <f t="array" ref="AR31">GAMMAGREEK($B31,100,0.01,AR$23,0.2)</f>
        <v>1.0076692779297075E-2</v>
      </c>
      <c r="AS31" s="2" cm="1">
        <f t="array" ref="AS31">GAMMAGREEK($B31,100,0.01,AS$23,0.2)</f>
        <v>9.9494469258235088E-3</v>
      </c>
      <c r="AT31" s="2" cm="1">
        <f t="array" ref="AT31">GAMMAGREEK($B31,100,0.01,AT$23,0.2)</f>
        <v>9.8263841604186598E-3</v>
      </c>
      <c r="AU31" s="2" cm="1">
        <f t="array" ref="AU31">GAMMAGREEK($B31,100,0.01,AU$23,0.2)</f>
        <v>9.707275927902069E-3</v>
      </c>
      <c r="AV31" s="2" cm="1">
        <f t="array" ref="AV31">GAMMAGREEK($B31,100,0.01,AV$23,0.2)</f>
        <v>9.5919108508212766E-3</v>
      </c>
      <c r="AW31" s="2" cm="1">
        <f t="array" ref="AW31">GAMMAGREEK($B31,100,0.01,AW$23,0.2)</f>
        <v>9.4800931026025378E-3</v>
      </c>
      <c r="AX31" s="2" cm="1">
        <f t="array" ref="AX31">GAMMAGREEK($B31,100,0.01,AX$23,0.2)</f>
        <v>9.3716409652100773E-3</v>
      </c>
      <c r="AY31" s="2" cm="1">
        <f t="array" ref="AY31">GAMMAGREEK($B31,100,0.01,AY$23,0.2)</f>
        <v>9.2663855470788738E-3</v>
      </c>
      <c r="AZ31" s="2" cm="1">
        <f t="array" ref="AZ31">GAMMAGREEK($B31,100,0.01,AZ$23,0.2)</f>
        <v>9.1641696406864273E-3</v>
      </c>
    </row>
    <row r="32" spans="1:52" x14ac:dyDescent="0.3">
      <c r="A32" s="2"/>
      <c r="B32" s="2">
        <v>100</v>
      </c>
      <c r="C32" s="2" cm="1">
        <f t="array" ref="C32">GAMMAGREEK($B32,100,0.01,C$23,0.2)</f>
        <v>6.3007389850102596E-2</v>
      </c>
      <c r="D32" s="2" cm="1">
        <f t="array" ref="D32">GAMMAGREEK($B32,100,0.01,D$23,0.2)</f>
        <v>4.4502858739261318E-2</v>
      </c>
      <c r="E32" s="2" cm="1">
        <f t="array" ref="E32">GAMMAGREEK($B32,100,0.01,E$23,0.2)</f>
        <v>3.6295576501642057E-2</v>
      </c>
      <c r="F32" s="2" cm="1">
        <f t="array" ref="F32">GAMMAGREEK($B32,100,0.01,F$23,0.2)</f>
        <v>3.1397549176385639E-2</v>
      </c>
      <c r="G32" s="2" cm="1">
        <f t="array" ref="G32">GAMMAGREEK($B32,100,0.01,G$23,0.2)</f>
        <v>2.8051246304186251E-2</v>
      </c>
      <c r="H32" s="2" cm="1">
        <f t="array" ref="H32">GAMMAGREEK($B32,100,0.01,H$23,0.2)</f>
        <v>2.55783754134996E-2</v>
      </c>
      <c r="I32" s="2" cm="1">
        <f t="array" ref="I32">GAMMAGREEK($B32,100,0.01,I$23,0.2)</f>
        <v>2.3654347961507345E-2</v>
      </c>
      <c r="J32" s="2" cm="1">
        <f t="array" ref="J32">GAMMAGREEK($B32,100,0.01,J$23,0.2)</f>
        <v>2.2101737998123483E-2</v>
      </c>
      <c r="K32" s="2" cm="1">
        <f t="array" ref="K32">GAMMAGREEK($B32,100,0.01,K$23,0.2)</f>
        <v>2.0814289167512139E-2</v>
      </c>
      <c r="L32" s="2" cm="1">
        <f t="array" ref="L32">GAMMAGREEK($B32,100,0.01,L$23,0.2)</f>
        <v>1.9723966545394447E-2</v>
      </c>
      <c r="M32" s="2" cm="1">
        <f t="array" ref="M32">GAMMAGREEK($B32,100,0.01,M$23,0.2)</f>
        <v>1.8784919286577089E-2</v>
      </c>
      <c r="N32" s="2" cm="1">
        <f t="array" ref="N32">GAMMAGREEK($B32,100,0.01,N$23,0.2)</f>
        <v>1.7964968979160899E-2</v>
      </c>
      <c r="O32" s="2" cm="1">
        <f t="array" ref="O32">GAMMAGREEK($B32,100,0.01,O$23,0.2)</f>
        <v>1.7240777106275883E-2</v>
      </c>
      <c r="P32" s="2" cm="1">
        <f t="array" ref="P32">GAMMAGREEK($B32,100,0.01,P$23,0.2)</f>
        <v>1.6594948700635007E-2</v>
      </c>
      <c r="Q32" s="2" cm="1">
        <f t="array" ref="Q32">GAMMAGREEK($B32,100,0.01,Q$23,0.2)</f>
        <v>1.6014217447878759E-2</v>
      </c>
      <c r="R32" s="2" cm="1">
        <f t="array" ref="R32">GAMMAGREEK($B32,100,0.01,R$23,0.2)</f>
        <v>1.5488265266275772E-2</v>
      </c>
      <c r="S32" s="2" cm="1">
        <f t="array" ref="S32">GAMMAGREEK($B32,100,0.01,S$23,0.2)</f>
        <v>1.5008929840866801E-2</v>
      </c>
      <c r="T32" s="2" cm="1">
        <f t="array" ref="T32">GAMMAGREEK($B32,100,0.01,T$23,0.2)</f>
        <v>1.456965789408284E-2</v>
      </c>
      <c r="U32" s="2" cm="1">
        <f t="array" ref="U32">GAMMAGREEK($B32,100,0.01,U$23,0.2)</f>
        <v>1.4165118927782437E-2</v>
      </c>
      <c r="V32" s="2" cm="1">
        <f t="array" ref="V32">GAMMAGREEK($B32,100,0.01,V$23,0.2)</f>
        <v>1.3790926583135297E-2</v>
      </c>
      <c r="W32" s="2" cm="1">
        <f t="array" ref="W32">GAMMAGREEK($B32,100,0.01,W$23,0.2)</f>
        <v>1.3443433885024857E-2</v>
      </c>
      <c r="X32" s="2" cm="1">
        <f t="array" ref="X32">GAMMAGREEK($B32,100,0.01,X$23,0.2)</f>
        <v>1.3119580278566976E-2</v>
      </c>
      <c r="Y32" s="2" cm="1">
        <f t="array" ref="Y32">GAMMAGREEK($B32,100,0.01,Y$23,0.2)</f>
        <v>1.2816775653301029E-2</v>
      </c>
      <c r="Z32" s="2" cm="1">
        <f t="array" ref="Z32">GAMMAGREEK($B32,100,0.01,Z$23,0.2)</f>
        <v>1.2532811228337144E-2</v>
      </c>
      <c r="AA32" s="2" cm="1">
        <f t="array" ref="AA32">GAMMAGREEK($B32,100,0.01,AA$23,0.2)</f>
        <v>1.2265790241940751E-2</v>
      </c>
      <c r="AB32" s="2" cm="1">
        <f t="array" ref="AB32">GAMMAGREEK($B32,100,0.01,AB$23,0.2)</f>
        <v>1.2014073445191866E-2</v>
      </c>
      <c r="AC32" s="2" cm="1">
        <f t="array" ref="AC32">GAMMAGREEK($B32,100,0.01,AC$23,0.2)</f>
        <v>1.1776235801826617E-2</v>
      </c>
      <c r="AD32" s="2" cm="1">
        <f t="array" ref="AD32">GAMMAGREEK($B32,100,0.01,AD$23,0.2)</f>
        <v>1.1551031769063367E-2</v>
      </c>
      <c r="AE32" s="2" cm="1">
        <f t="array" ref="AE32">GAMMAGREEK($B32,100,0.01,AE$23,0.2)</f>
        <v>1.133736721922012E-2</v>
      </c>
      <c r="AF32" s="2" cm="1">
        <f t="array" ref="AF32">GAMMAGREEK($B32,100,0.01,AF$23,0.2)</f>
        <v>1.1134276551152787E-2</v>
      </c>
      <c r="AG32" s="2" cm="1">
        <f t="array" ref="AG32">GAMMAGREEK($B32,100,0.01,AG$23,0.2)</f>
        <v>1.0940903894495056E-2</v>
      </c>
      <c r="AH32" s="2" cm="1">
        <f t="array" ref="AH32">GAMMAGREEK($B32,100,0.01,AH$23,0.2)</f>
        <v>1.0756487568849541E-2</v>
      </c>
      <c r="AI32" s="2" cm="1">
        <f t="array" ref="AI32">GAMMAGREEK($B32,100,0.01,AI$23,0.2)</f>
        <v>1.0580347151969415E-2</v>
      </c>
      <c r="AJ32" s="2" cm="1">
        <f t="array" ref="AJ32">GAMMAGREEK($B32,100,0.01,AJ$23,0.2)</f>
        <v>1.0411872654523129E-2</v>
      </c>
      <c r="AK32" s="2" cm="1">
        <f t="array" ref="AK32">GAMMAGREEK($B32,100,0.01,AK$23,0.2)</f>
        <v>1.0250515407469418E-2</v>
      </c>
      <c r="AL32" s="2" cm="1">
        <f t="array" ref="AL32">GAMMAGREEK($B32,100,0.01,AL$23,0.2)</f>
        <v>1.0095780350719811E-2</v>
      </c>
      <c r="AM32" s="2" cm="1">
        <f t="array" ref="AM32">GAMMAGREEK($B32,100,0.01,AM$23,0.2)</f>
        <v>9.9472194752982489E-3</v>
      </c>
      <c r="AN32" s="2" cm="1">
        <f t="array" ref="AN32">GAMMAGREEK($B32,100,0.01,AN$23,0.2)</f>
        <v>9.8044262204333658E-3</v>
      </c>
      <c r="AO32" s="2" cm="1">
        <f t="array" ref="AO32">GAMMAGREEK($B32,100,0.01,AO$23,0.2)</f>
        <v>9.6670306654470083E-3</v>
      </c>
      <c r="AP32" s="2" cm="1">
        <f t="array" ref="AP32">GAMMAGREEK($B32,100,0.01,AP$23,0.2)</f>
        <v>9.5346953865131021E-3</v>
      </c>
      <c r="AQ32" s="2" cm="1">
        <f t="array" ref="AQ32">GAMMAGREEK($B32,100,0.01,AQ$23,0.2)</f>
        <v>9.4071118722700263E-3</v>
      </c>
      <c r="AR32" s="2" cm="1">
        <f t="array" ref="AR32">GAMMAGREEK($B32,100,0.01,AR$23,0.2)</f>
        <v>9.2839974113112737E-3</v>
      </c>
      <c r="AS32" s="2" cm="1">
        <f t="array" ref="AS32">GAMMAGREEK($B32,100,0.01,AS$23,0.2)</f>
        <v>9.1650923798350329E-3</v>
      </c>
      <c r="AT32" s="2" cm="1">
        <f t="array" ref="AT32">GAMMAGREEK($B32,100,0.01,AT$23,0.2)</f>
        <v>9.0501578700251956E-3</v>
      </c>
      <c r="AU32" s="2" cm="1">
        <f t="array" ref="AU32">GAMMAGREEK($B32,100,0.01,AU$23,0.2)</f>
        <v>8.9389736096940359E-3</v>
      </c>
      <c r="AV32" s="2" cm="1">
        <f t="array" ref="AV32">GAMMAGREEK($B32,100,0.01,AV$23,0.2)</f>
        <v>8.8313361318242446E-3</v>
      </c>
      <c r="AW32" s="2" cm="1">
        <f t="array" ref="AW32">GAMMAGREEK($B32,100,0.01,AW$23,0.2)</f>
        <v>8.7270571592820093E-3</v>
      </c>
      <c r="AX32" s="2" cm="1">
        <f t="array" ref="AX32">GAMMAGREEK($B32,100,0.01,AX$23,0.2)</f>
        <v>8.6259621754257287E-3</v>
      </c>
      <c r="AY32" s="2" cm="1">
        <f t="array" ref="AY32">GAMMAGREEK($B32,100,0.01,AY$23,0.2)</f>
        <v>8.5278891558375324E-3</v>
      </c>
      <c r="AZ32" s="2" cm="1">
        <f t="array" ref="AZ32">GAMMAGREEK($B32,100,0.01,AZ$23,0.2)</f>
        <v>8.4326874401380626E-3</v>
      </c>
    </row>
    <row r="33" spans="1:52" x14ac:dyDescent="0.3">
      <c r="A33" s="2"/>
      <c r="B33" s="2">
        <v>105</v>
      </c>
      <c r="C33" s="2" cm="1">
        <f t="array" ref="C33">GAMMAGREEK($B33,100,0.01,C$23,0.2)</f>
        <v>4.2961708392642121E-2</v>
      </c>
      <c r="D33" s="2" cm="1">
        <f t="array" ref="D33">GAMMAGREEK($B33,100,0.01,D$23,0.2)</f>
        <v>3.5212130286942131E-2</v>
      </c>
      <c r="E33" s="2" cm="1">
        <f t="array" ref="E33">GAMMAGREEK($B33,100,0.01,E$23,0.2)</f>
        <v>3.0178399358531966E-2</v>
      </c>
      <c r="F33" s="2" cm="1">
        <f t="array" ref="F33">GAMMAGREEK($B33,100,0.01,F$23,0.2)</f>
        <v>2.6761306237360671E-2</v>
      </c>
      <c r="G33" s="2" cm="1">
        <f t="array" ref="G33">GAMMAGREEK($B33,100,0.01,G$23,0.2)</f>
        <v>2.4267506445708336E-2</v>
      </c>
      <c r="H33" s="2" cm="1">
        <f t="array" ref="H33">GAMMAGREEK($B33,100,0.01,H$23,0.2)</f>
        <v>2.2348767206295847E-2</v>
      </c>
      <c r="I33" s="2" cm="1">
        <f t="array" ref="I33">GAMMAGREEK($B33,100,0.01,I$23,0.2)</f>
        <v>2.0814619144845083E-2</v>
      </c>
      <c r="J33" s="2" cm="1">
        <f t="array" ref="J33">GAMMAGREEK($B33,100,0.01,J$23,0.2)</f>
        <v>1.9552017122180455E-2</v>
      </c>
      <c r="K33" s="2" cm="1">
        <f t="array" ref="K33">GAMMAGREEK($B33,100,0.01,K$23,0.2)</f>
        <v>1.8489346824041977E-2</v>
      </c>
      <c r="L33" s="2" cm="1">
        <f t="array" ref="L33">GAMMAGREEK($B33,100,0.01,L$23,0.2)</f>
        <v>1.7578836087368842E-2</v>
      </c>
      <c r="M33" s="2" cm="1">
        <f t="array" ref="M33">GAMMAGREEK($B33,100,0.01,M$23,0.2)</f>
        <v>1.6787267036854639E-2</v>
      </c>
      <c r="N33" s="2" cm="1">
        <f t="array" ref="N33">GAMMAGREEK($B33,100,0.01,N$23,0.2)</f>
        <v>1.6090744624012509E-2</v>
      </c>
      <c r="O33" s="2" cm="1">
        <f t="array" ref="O33">GAMMAGREEK($B33,100,0.01,O$23,0.2)</f>
        <v>1.5471588172748648E-2</v>
      </c>
      <c r="P33" s="2" cm="1">
        <f t="array" ref="P33">GAMMAGREEK($B33,100,0.01,P$23,0.2)</f>
        <v>1.4916400015446188E-2</v>
      </c>
      <c r="Q33" s="2" cm="1">
        <f t="array" ref="Q33">GAMMAGREEK($B33,100,0.01,Q$23,0.2)</f>
        <v>1.4414819315620848E-2</v>
      </c>
      <c r="R33" s="2" cm="1">
        <f t="array" ref="R33">GAMMAGREEK($B33,100,0.01,R$23,0.2)</f>
        <v>1.395869161892372E-2</v>
      </c>
      <c r="S33" s="2" cm="1">
        <f t="array" ref="S33">GAMMAGREEK($B33,100,0.01,S$23,0.2)</f>
        <v>1.3541499795392981E-2</v>
      </c>
      <c r="T33" s="2" cm="1">
        <f t="array" ref="T33">GAMMAGREEK($B33,100,0.01,T$23,0.2)</f>
        <v>1.3157964498051756E-2</v>
      </c>
      <c r="U33" s="2" cm="1">
        <f t="array" ref="U33">GAMMAGREEK($B33,100,0.01,U$23,0.2)</f>
        <v>1.2803757575382086E-2</v>
      </c>
      <c r="V33" s="2" cm="1">
        <f t="array" ref="V33">GAMMAGREEK($B33,100,0.01,V$23,0.2)</f>
        <v>1.2475292570391813E-2</v>
      </c>
      <c r="W33" s="2" cm="1">
        <f t="array" ref="W33">GAMMAGREEK($B33,100,0.01,W$23,0.2)</f>
        <v>1.2169568958901766E-2</v>
      </c>
      <c r="X33" s="2" cm="1">
        <f t="array" ref="X33">GAMMAGREEK($B33,100,0.01,X$23,0.2)</f>
        <v>1.1884054570490875E-2</v>
      </c>
      <c r="Y33" s="2" cm="1">
        <f t="array" ref="Y33">GAMMAGREEK($B33,100,0.01,Y$23,0.2)</f>
        <v>1.1616595607341462E-2</v>
      </c>
      <c r="Z33" s="2" cm="1">
        <f t="array" ref="Z33">GAMMAGREEK($B33,100,0.01,Z$23,0.2)</f>
        <v>1.1365346921793071E-2</v>
      </c>
      <c r="AA33" s="2" cm="1">
        <f t="array" ref="AA33">GAMMAGREEK($B33,100,0.01,AA$23,0.2)</f>
        <v>1.1128717375958556E-2</v>
      </c>
      <c r="AB33" s="2" cm="1">
        <f t="array" ref="AB33">GAMMAGREEK($B33,100,0.01,AB$23,0.2)</f>
        <v>1.090532657474016E-2</v>
      </c>
      <c r="AC33" s="2" cm="1">
        <f t="array" ref="AC33">GAMMAGREEK($B33,100,0.01,AC$23,0.2)</f>
        <v>1.0693970277142735E-2</v>
      </c>
      <c r="AD33" s="2" cm="1">
        <f t="array" ref="AD33">GAMMAGREEK($B33,100,0.01,AD$23,0.2)</f>
        <v>1.0493592501550632E-2</v>
      </c>
      <c r="AE33" s="2" cm="1">
        <f t="array" ref="AE33">GAMMAGREEK($B33,100,0.01,AE$23,0.2)</f>
        <v>1.0303262846243558E-2</v>
      </c>
      <c r="AF33" s="2" cm="1">
        <f t="array" ref="AF33">GAMMAGREEK($B33,100,0.01,AF$23,0.2)</f>
        <v>1.0122157910866229E-2</v>
      </c>
      <c r="AG33" s="2" cm="1">
        <f t="array" ref="AG33">GAMMAGREEK($B33,100,0.01,AG$23,0.2)</f>
        <v>9.9495459704758565E-3</v>
      </c>
      <c r="AH33" s="2" cm="1">
        <f t="array" ref="AH33">GAMMAGREEK($B33,100,0.01,AH$23,0.2)</f>
        <v>9.784774250017704E-3</v>
      </c>
      <c r="AI33" s="2" cm="1">
        <f t="array" ref="AI33">GAMMAGREEK($B33,100,0.01,AI$23,0.2)</f>
        <v>9.6272582934163863E-3</v>
      </c>
      <c r="AJ33" s="2" cm="1">
        <f t="array" ref="AJ33">GAMMAGREEK($B33,100,0.01,AJ$23,0.2)</f>
        <v>9.4764730316801906E-3</v>
      </c>
      <c r="AK33" s="2" cm="1">
        <f t="array" ref="AK33">GAMMAGREEK($B33,100,0.01,AK$23,0.2)</f>
        <v>9.3319452381831949E-3</v>
      </c>
      <c r="AL33" s="2" cm="1">
        <f t="array" ref="AL33">GAMMAGREEK($B33,100,0.01,AL$23,0.2)</f>
        <v>9.1932471235095844E-3</v>
      </c>
      <c r="AM33" s="2" cm="1">
        <f t="array" ref="AM33">GAMMAGREEK($B33,100,0.01,AM$23,0.2)</f>
        <v>9.0599908718779557E-3</v>
      </c>
      <c r="AN33" s="2" cm="1">
        <f t="array" ref="AN33">GAMMAGREEK($B33,100,0.01,AN$23,0.2)</f>
        <v>8.9318239598161191E-3</v>
      </c>
      <c r="AO33" s="2" cm="1">
        <f t="array" ref="AO33">GAMMAGREEK($B33,100,0.01,AO$23,0.2)</f>
        <v>8.8084251280750366E-3</v>
      </c>
      <c r="AP33" s="2" cm="1">
        <f t="array" ref="AP33">GAMMAGREEK($B33,100,0.01,AP$23,0.2)</f>
        <v>8.6895009017126778E-3</v>
      </c>
      <c r="AQ33" s="2" cm="1">
        <f t="array" ref="AQ33">GAMMAGREEK($B33,100,0.01,AQ$23,0.2)</f>
        <v>8.5747825723069757E-3</v>
      </c>
      <c r="AR33" s="2" cm="1">
        <f t="array" ref="AR33">GAMMAGREEK($B33,100,0.01,AR$23,0.2)</f>
        <v>8.4640235714722092E-3</v>
      </c>
      <c r="AS33" s="2" cm="1">
        <f t="array" ref="AS33">GAMMAGREEK($B33,100,0.01,AS$23,0.2)</f>
        <v>8.3569971770894678E-3</v>
      </c>
      <c r="AT33" s="2" cm="1">
        <f t="array" ref="AT33">GAMMAGREEK($B33,100,0.01,AT$23,0.2)</f>
        <v>8.2534945035560477E-3</v>
      </c>
      <c r="AU33" s="2" cm="1">
        <f t="array" ref="AU33">GAMMAGREEK($B33,100,0.01,AU$23,0.2)</f>
        <v>8.1533227354013069E-3</v>
      </c>
      <c r="AV33" s="2" cm="1">
        <f t="array" ref="AV33">GAMMAGREEK($B33,100,0.01,AV$23,0.2)</f>
        <v>8.0563035701858195E-3</v>
      </c>
      <c r="AW33" s="2" cm="1">
        <f t="array" ref="AW33">GAMMAGREEK($B33,100,0.01,AW$23,0.2)</f>
        <v>7.9622718419925416E-3</v>
      </c>
      <c r="AX33" s="2" cm="1">
        <f t="array" ref="AX33">GAMMAGREEK($B33,100,0.01,AX$23,0.2)</f>
        <v>7.8710743012636291E-3</v>
      </c>
      <c r="AY33" s="2" cm="1">
        <f t="array" ref="AY33">GAMMAGREEK($B33,100,0.01,AY$23,0.2)</f>
        <v>7.7825685304169822E-3</v>
      </c>
      <c r="AZ33" s="2" cm="1">
        <f t="array" ref="AZ33">GAMMAGREEK($B33,100,0.01,AZ$23,0.2)</f>
        <v>7.6966219777363501E-3</v>
      </c>
    </row>
    <row r="34" spans="1:52" x14ac:dyDescent="0.3">
      <c r="A34" s="2"/>
      <c r="B34" s="2">
        <v>110</v>
      </c>
      <c r="C34" s="2" cm="1">
        <f t="array" ref="C34">GAMMAGREEK($B34,100,0.01,C$23,0.2)</f>
        <v>1.7132125878144413E-2</v>
      </c>
      <c r="D34" s="2" cm="1">
        <f t="array" ref="D34">GAMMAGREEK($B34,100,0.01,D$23,0.2)</f>
        <v>2.1349081451222496E-2</v>
      </c>
      <c r="E34" s="2" cm="1">
        <f t="array" ref="E34">GAMMAGREEK($B34,100,0.01,E$23,0.2)</f>
        <v>2.1039503593612036E-2</v>
      </c>
      <c r="F34" s="2" cm="1">
        <f t="array" ref="F34">GAMMAGREEK($B34,100,0.01,F$23,0.2)</f>
        <v>2.0006577096239694E-2</v>
      </c>
      <c r="G34" s="2" cm="1">
        <f t="array" ref="G34">GAMMAGREEK($B34,100,0.01,G$23,0.2)</f>
        <v>1.8918485039079759E-2</v>
      </c>
      <c r="H34" s="2" cm="1">
        <f t="array" ref="H34">GAMMAGREEK($B34,100,0.01,H$23,0.2)</f>
        <v>1.7916173218194179E-2</v>
      </c>
      <c r="I34" s="2" cm="1">
        <f t="array" ref="I34">GAMMAGREEK($B34,100,0.01,I$23,0.2)</f>
        <v>1.7022556226213847E-2</v>
      </c>
      <c r="J34" s="2" cm="1">
        <f t="array" ref="J34">GAMMAGREEK($B34,100,0.01,J$23,0.2)</f>
        <v>1.6231040004613291E-2</v>
      </c>
      <c r="K34" s="2" cm="1">
        <f t="array" ref="K34">GAMMAGREEK($B34,100,0.01,K$23,0.2)</f>
        <v>1.5528543194402064E-2</v>
      </c>
      <c r="L34" s="2" cm="1">
        <f t="array" ref="L34">GAMMAGREEK($B34,100,0.01,L$23,0.2)</f>
        <v>1.4901938093572722E-2</v>
      </c>
      <c r="M34" s="2" cm="1">
        <f t="array" ref="M34">GAMMAGREEK($B34,100,0.01,M$23,0.2)</f>
        <v>1.4339729185951668E-2</v>
      </c>
      <c r="N34" s="2" cm="1">
        <f t="array" ref="N34">GAMMAGREEK($B34,100,0.01,N$23,0.2)</f>
        <v>1.383228790761995E-2</v>
      </c>
      <c r="O34" s="2" cm="1">
        <f t="array" ref="O34">GAMMAGREEK($B34,100,0.01,O$23,0.2)</f>
        <v>1.3371667186658755E-2</v>
      </c>
      <c r="P34" s="2" cm="1">
        <f t="array" ref="P34">GAMMAGREEK($B34,100,0.01,P$23,0.2)</f>
        <v>1.2951325332653221E-2</v>
      </c>
      <c r="Q34" s="2" cm="1">
        <f t="array" ref="Q34">GAMMAGREEK($B34,100,0.01,Q$23,0.2)</f>
        <v>1.2565862986255488E-2</v>
      </c>
      <c r="R34" s="2" cm="1">
        <f t="array" ref="R34">GAMMAGREEK($B34,100,0.01,R$23,0.2)</f>
        <v>1.2210800605677367E-2</v>
      </c>
      <c r="S34" s="2" cm="1">
        <f t="array" ref="S34">GAMMAGREEK($B34,100,0.01,S$23,0.2)</f>
        <v>1.1882398542194691E-2</v>
      </c>
      <c r="T34" s="2" cm="1">
        <f t="array" ref="T34">GAMMAGREEK($B34,100,0.01,T$23,0.2)</f>
        <v>1.1577514141645588E-2</v>
      </c>
      <c r="U34" s="2" cm="1">
        <f t="array" ref="U34">GAMMAGREEK($B34,100,0.01,U$23,0.2)</f>
        <v>1.1293488907277728E-2</v>
      </c>
      <c r="V34" s="2" cm="1">
        <f t="array" ref="V34">GAMMAGREEK($B34,100,0.01,V$23,0.2)</f>
        <v>1.1028059378052651E-2</v>
      </c>
      <c r="W34" s="2" cm="1">
        <f t="array" ref="W34">GAMMAGREEK($B34,100,0.01,W$23,0.2)</f>
        <v>1.0779286499179296E-2</v>
      </c>
      <c r="X34" s="2" cm="1">
        <f t="array" ref="X34">GAMMAGREEK($B34,100,0.01,X$23,0.2)</f>
        <v>1.0545499365109932E-2</v>
      </c>
      <c r="Y34" s="2" cm="1">
        <f t="array" ref="Y34">GAMMAGREEK($B34,100,0.01,Y$23,0.2)</f>
        <v>1.0325250146350518E-2</v>
      </c>
      <c r="Z34" s="2" cm="1">
        <f t="array" ref="Z34">GAMMAGREEK($B34,100,0.01,Z$23,0.2)</f>
        <v>1.0117277750523576E-2</v>
      </c>
      <c r="AA34" s="2" cm="1">
        <f t="array" ref="AA34">GAMMAGREEK($B34,100,0.01,AA$23,0.2)</f>
        <v>9.9204783386592742E-3</v>
      </c>
      <c r="AB34" s="2" cm="1">
        <f t="array" ref="AB34">GAMMAGREEK($B34,100,0.01,AB$23,0.2)</f>
        <v>9.7338812526154821E-3</v>
      </c>
      <c r="AC34" s="2" cm="1">
        <f t="array" ref="AC34">GAMMAGREEK($B34,100,0.01,AC$23,0.2)</f>
        <v>9.5566292395470164E-3</v>
      </c>
      <c r="AD34" s="2" cm="1">
        <f t="array" ref="AD34">GAMMAGREEK($B34,100,0.01,AD$23,0.2)</f>
        <v>9.3879621097167718E-3</v>
      </c>
      <c r="AE34" s="2" cm="1">
        <f t="array" ref="AE34">GAMMAGREEK($B34,100,0.01,AE$23,0.2)</f>
        <v>9.2272031543468962E-3</v>
      </c>
      <c r="AF34" s="2" cm="1">
        <f t="array" ref="AF34">GAMMAGREEK($B34,100,0.01,AF$23,0.2)</f>
        <v>9.0737477955800411E-3</v>
      </c>
      <c r="AG34" s="2" cm="1">
        <f t="array" ref="AG34">GAMMAGREEK($B34,100,0.01,AG$23,0.2)</f>
        <v>8.9270540521480726E-3</v>
      </c>
      <c r="AH34" s="2" cm="1">
        <f t="array" ref="AH34">GAMMAGREEK($B34,100,0.01,AH$23,0.2)</f>
        <v>8.7866344903663653E-3</v>
      </c>
      <c r="AI34" s="2" cm="1">
        <f t="array" ref="AI34">GAMMAGREEK($B34,100,0.01,AI$23,0.2)</f>
        <v>8.6520493967925799E-3</v>
      </c>
      <c r="AJ34" s="2" cm="1">
        <f t="array" ref="AJ34">GAMMAGREEK($B34,100,0.01,AJ$23,0.2)</f>
        <v>8.5229009609359471E-3</v>
      </c>
      <c r="AK34" s="2" cm="1">
        <f t="array" ref="AK34">GAMMAGREEK($B34,100,0.01,AK$23,0.2)</f>
        <v>8.398828297236309E-3</v>
      </c>
      <c r="AL34" s="2" cm="1">
        <f t="array" ref="AL34">GAMMAGREEK($B34,100,0.01,AL$23,0.2)</f>
        <v>8.2795031677486558E-3</v>
      </c>
      <c r="AM34" s="2" cm="1">
        <f t="array" ref="AM34">GAMMAGREEK($B34,100,0.01,AM$23,0.2)</f>
        <v>8.1646262925278018E-3</v>
      </c>
      <c r="AN34" s="2" cm="1">
        <f t="array" ref="AN34">GAMMAGREEK($B34,100,0.01,AN$23,0.2)</f>
        <v>8.0539241550944135E-3</v>
      </c>
      <c r="AO34" s="2" cm="1">
        <f t="array" ref="AO34">GAMMAGREEK($B34,100,0.01,AO$23,0.2)</f>
        <v>7.9471462267098961E-3</v>
      </c>
      <c r="AP34" s="2" cm="1">
        <f t="array" ref="AP34">GAMMAGREEK($B34,100,0.01,AP$23,0.2)</f>
        <v>7.8440625463605997E-3</v>
      </c>
      <c r="AQ34" s="2" cm="1">
        <f t="array" ref="AQ34">GAMMAGREEK($B34,100,0.01,AQ$23,0.2)</f>
        <v>7.7444616040196982E-3</v>
      </c>
      <c r="AR34" s="2" cm="1">
        <f t="array" ref="AR34">GAMMAGREEK($B34,100,0.01,AR$23,0.2)</f>
        <v>7.6481484834351006E-3</v>
      </c>
      <c r="AS34" s="2" cm="1">
        <f t="array" ref="AS34">GAMMAGREEK($B34,100,0.01,AS$23,0.2)</f>
        <v>7.5549432277863867E-3</v>
      </c>
      <c r="AT34" s="2" cm="1">
        <f t="array" ref="AT34">GAMMAGREEK($B34,100,0.01,AT$23,0.2)</f>
        <v>7.4646793973781262E-3</v>
      </c>
      <c r="AU34" s="2" cm="1">
        <f t="array" ref="AU34">GAMMAGREEK($B34,100,0.01,AU$23,0.2)</f>
        <v>7.3772027933387569E-3</v>
      </c>
      <c r="AV34" s="2" cm="1">
        <f t="array" ref="AV34">GAMMAGREEK($B34,100,0.01,AV$23,0.2)</f>
        <v>7.2923703252688954E-3</v>
      </c>
      <c r="AW34" s="2" cm="1">
        <f t="array" ref="AW34">GAMMAGREEK($B34,100,0.01,AW$23,0.2)</f>
        <v>7.2100490040862544E-3</v>
      </c>
      <c r="AX34" s="2" cm="1">
        <f t="array" ref="AX34">GAMMAGREEK($B34,100,0.01,AX$23,0.2)</f>
        <v>7.1301150440695737E-3</v>
      </c>
      <c r="AY34" s="2" cm="1">
        <f t="array" ref="AY34">GAMMAGREEK($B34,100,0.01,AY$23,0.2)</f>
        <v>7.0524530604109403E-3</v>
      </c>
      <c r="AZ34" s="2" cm="1">
        <f t="array" ref="AZ34">GAMMAGREEK($B34,100,0.01,AZ$23,0.2)</f>
        <v>6.9769553505238443E-3</v>
      </c>
    </row>
    <row r="35" spans="1:52" x14ac:dyDescent="0.3">
      <c r="A35" s="2"/>
      <c r="B35" s="2">
        <v>115</v>
      </c>
      <c r="C35" s="2" cm="1">
        <f t="array" ref="C35">GAMMAGREEK($B35,100,0.01,C$23,0.2)</f>
        <v>4.293033327812704E-3</v>
      </c>
      <c r="D35" s="2" cm="1">
        <f t="array" ref="D35">GAMMAGREEK($B35,100,0.01,D$23,0.2)</f>
        <v>1.0279303406877474E-2</v>
      </c>
      <c r="E35" s="2" cm="1">
        <f t="array" ref="E35">GAMMAGREEK($B35,100,0.01,E$23,0.2)</f>
        <v>1.259400347775148E-2</v>
      </c>
      <c r="F35" s="2" cm="1">
        <f t="array" ref="F35">GAMMAGREEK($B35,100,0.01,F$23,0.2)</f>
        <v>1.3352820984703353E-2</v>
      </c>
      <c r="G35" s="2" cm="1">
        <f t="array" ref="G35">GAMMAGREEK($B35,100,0.01,G$23,0.2)</f>
        <v>1.3478753756809103E-2</v>
      </c>
      <c r="H35" s="2" cm="1">
        <f t="array" ref="H35">GAMMAGREEK($B35,100,0.01,H$23,0.2)</f>
        <v>1.3332678349343825E-2</v>
      </c>
      <c r="I35" s="2" cm="1">
        <f t="array" ref="I35">GAMMAGREEK($B35,100,0.01,I$23,0.2)</f>
        <v>1.3067821328100538E-2</v>
      </c>
      <c r="J35" s="2" cm="1">
        <f t="array" ref="J35">GAMMAGREEK($B35,100,0.01,J$23,0.2)</f>
        <v>1.2754236173725023E-2</v>
      </c>
      <c r="K35" s="2" cm="1">
        <f t="array" ref="K35">GAMMAGREEK($B35,100,0.01,K$23,0.2)</f>
        <v>1.2425602990436633E-2</v>
      </c>
      <c r="L35" s="2" cm="1">
        <f t="array" ref="L35">GAMMAGREEK($B35,100,0.01,L$23,0.2)</f>
        <v>1.2098525266351955E-2</v>
      </c>
      <c r="M35" s="2" cm="1">
        <f t="array" ref="M35">GAMMAGREEK($B35,100,0.01,M$23,0.2)</f>
        <v>1.1781146771663715E-2</v>
      </c>
      <c r="N35" s="2" cm="1">
        <f t="array" ref="N35">GAMMAGREEK($B35,100,0.01,N$23,0.2)</f>
        <v>1.1477256395789781E-2</v>
      </c>
      <c r="O35" s="2" cm="1">
        <f t="array" ref="O35">GAMMAGREEK($B35,100,0.01,O$23,0.2)</f>
        <v>1.1188346905975938E-2</v>
      </c>
      <c r="P35" s="2" cm="1">
        <f t="array" ref="P35">GAMMAGREEK($B35,100,0.01,P$23,0.2)</f>
        <v>1.0914690049198652E-2</v>
      </c>
      <c r="Q35" s="2" cm="1">
        <f t="array" ref="Q35">GAMMAGREEK($B35,100,0.01,Q$23,0.2)</f>
        <v>1.0655915470665326E-2</v>
      </c>
      <c r="R35" s="2" cm="1">
        <f t="array" ref="R35">GAMMAGREEK($B35,100,0.01,R$23,0.2)</f>
        <v>1.041132927661333E-2</v>
      </c>
      <c r="S35" s="2" cm="1">
        <f t="array" ref="S35">GAMMAGREEK($B35,100,0.01,S$23,0.2)</f>
        <v>1.0180091531767394E-2</v>
      </c>
      <c r="T35" s="2" cm="1">
        <f t="array" ref="T35">GAMMAGREEK($B35,100,0.01,T$23,0.2)</f>
        <v>9.9613153465066082E-3</v>
      </c>
      <c r="U35" s="2" cm="1">
        <f t="array" ref="U35">GAMMAGREEK($B35,100,0.01,U$23,0.2)</f>
        <v>9.7541215223034359E-3</v>
      </c>
      <c r="V35" s="2" cm="1">
        <f t="array" ref="V35">GAMMAGREEK($B35,100,0.01,V$23,0.2)</f>
        <v>9.5576676672171137E-3</v>
      </c>
      <c r="W35" s="2" cm="1">
        <f t="array" ref="W35">GAMMAGREEK($B35,100,0.01,W$23,0.2)</f>
        <v>9.371162543953742E-3</v>
      </c>
      <c r="X35" s="2" cm="1">
        <f t="array" ref="X35">GAMMAGREEK($B35,100,0.01,X$23,0.2)</f>
        <v>9.1938718841564661E-3</v>
      </c>
      <c r="Y35" s="2" cm="1">
        <f t="array" ref="Y35">GAMMAGREEK($B35,100,0.01,Y$23,0.2)</f>
        <v>9.0251193280403205E-3</v>
      </c>
      <c r="Z35" s="2" cm="1">
        <f t="array" ref="Z35">GAMMAGREEK($B35,100,0.01,Z$23,0.2)</f>
        <v>8.8642846564858102E-3</v>
      </c>
      <c r="AA35" s="2" cm="1">
        <f t="array" ref="AA35">GAMMAGREEK($B35,100,0.01,AA$23,0.2)</f>
        <v>8.71080060410118E-3</v>
      </c>
      <c r="AB35" s="2" cm="1">
        <f t="array" ref="AB35">GAMMAGREEK($B35,100,0.01,AB$23,0.2)</f>
        <v>8.5641490176669027E-3</v>
      </c>
      <c r="AC35" s="2" cm="1">
        <f t="array" ref="AC35">GAMMAGREEK($B35,100,0.01,AC$23,0.2)</f>
        <v>8.4238568087089995E-3</v>
      </c>
      <c r="AD35" s="2" cm="1">
        <f t="array" ref="AD35">GAMMAGREEK($B35,100,0.01,AD$23,0.2)</f>
        <v>8.2894919576351825E-3</v>
      </c>
      <c r="AE35" s="2" cm="1">
        <f t="array" ref="AE35">GAMMAGREEK($B35,100,0.01,AE$23,0.2)</f>
        <v>8.1606597106638201E-3</v>
      </c>
      <c r="AF35" s="2" cm="1">
        <f t="array" ref="AF35">GAMMAGREEK($B35,100,0.01,AF$23,0.2)</f>
        <v>8.0369990403848408E-3</v>
      </c>
      <c r="AG35" s="2" cm="1">
        <f t="array" ref="AG35">GAMMAGREEK($B35,100,0.01,AG$23,0.2)</f>
        <v>7.9181793985495328E-3</v>
      </c>
      <c r="AH35" s="2" cm="1">
        <f t="array" ref="AH35">GAMMAGREEK($B35,100,0.01,AH$23,0.2)</f>
        <v>7.8038977648173819E-3</v>
      </c>
      <c r="AI35" s="2" cm="1">
        <f t="array" ref="AI35">GAMMAGREEK($B35,100,0.01,AI$23,0.2)</f>
        <v>7.6938759810547116E-3</v>
      </c>
      <c r="AJ35" s="2" cm="1">
        <f t="array" ref="AJ35">GAMMAGREEK($B35,100,0.01,AJ$23,0.2)</f>
        <v>7.5878583532619417E-3</v>
      </c>
      <c r="AK35" s="2" cm="1">
        <f t="array" ref="AK35">GAMMAGREEK($B35,100,0.01,AK$23,0.2)</f>
        <v>7.4856094997306907E-3</v>
      </c>
      <c r="AL35" s="2" cm="1">
        <f t="array" ref="AL35">GAMMAGREEK($B35,100,0.01,AL$23,0.2)</f>
        <v>7.3869124229876395E-3</v>
      </c>
      <c r="AM35" s="2" cm="1">
        <f t="array" ref="AM35">GAMMAGREEK($B35,100,0.01,AM$23,0.2)</f>
        <v>7.2915667834586428E-3</v>
      </c>
      <c r="AN35" s="2" cm="1">
        <f t="array" ref="AN35">GAMMAGREEK($B35,100,0.01,AN$23,0.2)</f>
        <v>7.1993873539527627E-3</v>
      </c>
      <c r="AO35" s="2" cm="1">
        <f t="array" ref="AO35">GAMMAGREEK($B35,100,0.01,AO$23,0.2)</f>
        <v>7.1102026356298486E-3</v>
      </c>
      <c r="AP35" s="2" cm="1">
        <f t="array" ref="AP35">GAMMAGREEK($B35,100,0.01,AP$23,0.2)</f>
        <v>7.0238536178371452E-3</v>
      </c>
      <c r="AQ35" s="2" cm="1">
        <f t="array" ref="AQ35">GAMMAGREEK($B35,100,0.01,AQ$23,0.2)</f>
        <v>6.9401926659367818E-3</v>
      </c>
      <c r="AR35" s="2" cm="1">
        <f t="array" ref="AR35">GAMMAGREEK($B35,100,0.01,AR$23,0.2)</f>
        <v>6.8590825229144087E-3</v>
      </c>
      <c r="AS35" s="2" cm="1">
        <f t="array" ref="AS35">GAMMAGREEK($B35,100,0.01,AS$23,0.2)</f>
        <v>6.7803954121156479E-3</v>
      </c>
      <c r="AT35" s="2" cm="1">
        <f t="array" ref="AT35">GAMMAGREEK($B35,100,0.01,AT$23,0.2)</f>
        <v>6.7040122298810973E-3</v>
      </c>
      <c r="AU35" s="2" cm="1">
        <f t="array" ref="AU35">GAMMAGREEK($B35,100,0.01,AU$23,0.2)</f>
        <v>6.6298218181368614E-3</v>
      </c>
      <c r="AV35" s="2" cm="1">
        <f t="array" ref="AV35">GAMMAGREEK($B35,100,0.01,AV$23,0.2)</f>
        <v>6.5577203081484594E-3</v>
      </c>
      <c r="AW35" s="2" cm="1">
        <f t="array" ref="AW35">GAMMAGREEK($B35,100,0.01,AW$23,0.2)</f>
        <v>6.4876105276696237E-3</v>
      </c>
      <c r="AX35" s="2" cm="1">
        <f t="array" ref="AX35">GAMMAGREEK($B35,100,0.01,AX$23,0.2)</f>
        <v>6.4194014646235201E-3</v>
      </c>
      <c r="AY35" s="2" cm="1">
        <f t="array" ref="AY35">GAMMAGREEK($B35,100,0.01,AY$23,0.2)</f>
        <v>6.3530077812536884E-3</v>
      </c>
      <c r="AZ35" s="2" cm="1">
        <f t="array" ref="AZ35">GAMMAGREEK($B35,100,0.01,AZ$23,0.2)</f>
        <v>6.2883493733863101E-3</v>
      </c>
    </row>
    <row r="36" spans="1:52" x14ac:dyDescent="0.3">
      <c r="A36" s="2"/>
      <c r="B36" s="2">
        <v>120</v>
      </c>
      <c r="C36" s="2" cm="1">
        <f t="array" ref="C36">GAMMAGREEK($B36,100,0.01,C$23,0.2)</f>
        <v>7.1823787351586244E-4</v>
      </c>
      <c r="D36" s="2" cm="1">
        <f t="array" ref="D36">GAMMAGREEK($B36,100,0.01,D$23,0.2)</f>
        <v>4.0508179535475647E-3</v>
      </c>
      <c r="E36" s="2" cm="1">
        <f t="array" ref="E36">GAMMAGREEK($B36,100,0.01,E$23,0.2)</f>
        <v>6.6034037139998071E-3</v>
      </c>
      <c r="F36" s="2" cm="1">
        <f t="array" ref="F36">GAMMAGREEK($B36,100,0.01,F$23,0.2)</f>
        <v>8.0758746095868535E-3</v>
      </c>
      <c r="G36" s="2" cm="1">
        <f t="array" ref="G36">GAMMAGREEK($B36,100,0.01,G$23,0.2)</f>
        <v>8.881243547387634E-3</v>
      </c>
      <c r="H36" s="2" cm="1">
        <f t="array" ref="H36">GAMMAGREEK($B36,100,0.01,H$23,0.2)</f>
        <v>9.3013597568778437E-3</v>
      </c>
      <c r="I36" s="2" cm="1">
        <f t="array" ref="I36">GAMMAGREEK($B36,100,0.01,I$23,0.2)</f>
        <v>9.4962050866496343E-3</v>
      </c>
      <c r="J36" s="2" cm="1">
        <f t="array" ref="J36">GAMMAGREEK($B36,100,0.01,J$23,0.2)</f>
        <v>9.5562993383245896E-3</v>
      </c>
      <c r="K36" s="2" cm="1">
        <f t="array" ref="K36">GAMMAGREEK($B36,100,0.01,K$23,0.2)</f>
        <v>9.5342861100476302E-3</v>
      </c>
      <c r="L36" s="2" cm="1">
        <f t="array" ref="L36">GAMMAGREEK($B36,100,0.01,L$23,0.2)</f>
        <v>9.46175015661453E-3</v>
      </c>
      <c r="M36" s="2" cm="1">
        <f t="array" ref="M36">GAMMAGREEK($B36,100,0.01,M$23,0.2)</f>
        <v>9.3581845767962274E-3</v>
      </c>
      <c r="N36" s="2" cm="1">
        <f t="array" ref="N36">GAMMAGREEK($B36,100,0.01,N$23,0.2)</f>
        <v>9.2359085458628854E-3</v>
      </c>
      <c r="O36" s="2" cm="1">
        <f t="array" ref="O36">GAMMAGREEK($B36,100,0.01,O$23,0.2)</f>
        <v>9.102855655595805E-3</v>
      </c>
      <c r="P36" s="2" cm="1">
        <f t="array" ref="P36">GAMMAGREEK($B36,100,0.01,P$23,0.2)</f>
        <v>8.9642069883307616E-3</v>
      </c>
      <c r="Q36" s="2" cm="1">
        <f t="array" ref="Q36">GAMMAGREEK($B36,100,0.01,Q$23,0.2)</f>
        <v>8.8233764114015682E-3</v>
      </c>
      <c r="R36" s="2" cm="1">
        <f t="array" ref="R36">GAMMAGREEK($B36,100,0.01,R$23,0.2)</f>
        <v>8.68262105781035E-3</v>
      </c>
      <c r="S36" s="2" cm="1">
        <f t="array" ref="S36">GAMMAGREEK($B36,100,0.01,S$23,0.2)</f>
        <v>8.5434285875810746E-3</v>
      </c>
      <c r="T36" s="2" cm="1">
        <f t="array" ref="T36">GAMMAGREEK($B36,100,0.01,T$23,0.2)</f>
        <v>8.4067679976348904E-3</v>
      </c>
      <c r="U36" s="2" cm="1">
        <f t="array" ref="U36">GAMMAGREEK($B36,100,0.01,U$23,0.2)</f>
        <v>8.2732550419221465E-3</v>
      </c>
      <c r="V36" s="2" cm="1">
        <f t="array" ref="V36">GAMMAGREEK($B36,100,0.01,V$23,0.2)</f>
        <v>8.1432630811320347E-3</v>
      </c>
      <c r="W36" s="2" cm="1">
        <f t="array" ref="W36">GAMMAGREEK($B36,100,0.01,W$23,0.2)</f>
        <v>8.0169983956870378E-3</v>
      </c>
      <c r="X36" s="2" cm="1">
        <f t="array" ref="X36">GAMMAGREEK($B36,100,0.01,X$23,0.2)</f>
        <v>7.8945519642155404E-3</v>
      </c>
      <c r="Y36" s="2" cm="1">
        <f t="array" ref="Y36">GAMMAGREEK($B36,100,0.01,Y$23,0.2)</f>
        <v>7.7759354198514629E-3</v>
      </c>
      <c r="Z36" s="2" cm="1">
        <f t="array" ref="Z36">GAMMAGREEK($B36,100,0.01,Z$23,0.2)</f>
        <v>7.6611062255981322E-3</v>
      </c>
      <c r="AA36" s="2" cm="1">
        <f t="array" ref="AA36">GAMMAGREEK($B36,100,0.01,AA$23,0.2)</f>
        <v>7.5499854155068402E-3</v>
      </c>
      <c r="AB36" s="2" cm="1">
        <f t="array" ref="AB36">GAMMAGREEK($B36,100,0.01,AB$23,0.2)</f>
        <v>7.4424701549921073E-3</v>
      </c>
      <c r="AC36" s="2" cm="1">
        <f t="array" ref="AC36">GAMMAGREEK($B36,100,0.01,AC$23,0.2)</f>
        <v>7.3384426569249473E-3</v>
      </c>
      <c r="AD36" s="2" cm="1">
        <f t="array" ref="AD36">GAMMAGREEK($B36,100,0.01,AD$23,0.2)</f>
        <v>7.2377765136259565E-3</v>
      </c>
      <c r="AE36" s="2" cm="1">
        <f t="array" ref="AE36">GAMMAGREEK($B36,100,0.01,AE$23,0.2)</f>
        <v>7.1403411838513436E-3</v>
      </c>
      <c r="AF36" s="2" cm="1">
        <f t="array" ref="AF36">GAMMAGREEK($B36,100,0.01,AF$23,0.2)</f>
        <v>7.0460051549628578E-3</v>
      </c>
      <c r="AG36" s="2" cm="1">
        <f t="array" ref="AG36">GAMMAGREEK($B36,100,0.01,AG$23,0.2)</f>
        <v>6.9546381495434262E-3</v>
      </c>
      <c r="AH36" s="2" cm="1">
        <f t="array" ref="AH36">GAMMAGREEK($B36,100,0.01,AH$23,0.2)</f>
        <v>6.8661126405916142E-3</v>
      </c>
      <c r="AI36" s="2" cm="1">
        <f t="array" ref="AI36">GAMMAGREEK($B36,100,0.01,AI$23,0.2)</f>
        <v>6.7803048655129382E-3</v>
      </c>
      <c r="AJ36" s="2" cm="1">
        <f t="array" ref="AJ36">GAMMAGREEK($B36,100,0.01,AJ$23,0.2)</f>
        <v>6.6970954767095366E-3</v>
      </c>
      <c r="AK36" s="2" cm="1">
        <f t="array" ref="AK36">GAMMAGREEK($B36,100,0.01,AK$23,0.2)</f>
        <v>6.6163699291057702E-3</v>
      </c>
      <c r="AL36" s="2" cm="1">
        <f t="array" ref="AL36">GAMMAGREEK($B36,100,0.01,AL$23,0.2)</f>
        <v>6.5380186779784343E-3</v>
      </c>
      <c r="AM36" s="2" cm="1">
        <f t="array" ref="AM36">GAMMAGREEK($B36,100,0.01,AM$23,0.2)</f>
        <v>6.4619372409197556E-3</v>
      </c>
      <c r="AN36" s="2" cm="1">
        <f t="array" ref="AN36">GAMMAGREEK($B36,100,0.01,AN$23,0.2)</f>
        <v>6.3880261635201746E-3</v>
      </c>
      <c r="AO36" s="2" cm="1">
        <f t="array" ref="AO36">GAMMAGREEK($B36,100,0.01,AO$23,0.2)</f>
        <v>6.3161909179243712E-3</v>
      </c>
      <c r="AP36" s="2" cm="1">
        <f t="array" ref="AP36">GAMMAGREEK($B36,100,0.01,AP$23,0.2)</f>
        <v>6.2463417557349936E-3</v>
      </c>
      <c r="AQ36" s="2" cm="1">
        <f t="array" ref="AQ36">GAMMAGREEK($B36,100,0.01,AQ$23,0.2)</f>
        <v>6.1783935310640954E-3</v>
      </c>
      <c r="AR36" s="2" cm="1">
        <f t="array" ref="AR36">GAMMAGREEK($B36,100,0.01,AR$23,0.2)</f>
        <v>6.1122655053254607E-3</v>
      </c>
      <c r="AS36" s="2" cm="1">
        <f t="array" ref="AS36">GAMMAGREEK($B36,100,0.01,AS$23,0.2)</f>
        <v>6.0478811422336127E-3</v>
      </c>
      <c r="AT36" s="2" cm="1">
        <f t="array" ref="AT36">GAMMAGREEK($B36,100,0.01,AT$23,0.2)</f>
        <v>5.9851678991461E-3</v>
      </c>
      <c r="AU36" s="2" cm="1">
        <f t="array" ref="AU36">GAMMAGREEK($B36,100,0.01,AU$23,0.2)</f>
        <v>5.924057019148928E-3</v>
      </c>
      <c r="AV36" s="2" cm="1">
        <f t="array" ref="AV36">GAMMAGREEK($B36,100,0.01,AV$23,0.2)</f>
        <v>5.8644833269895424E-3</v>
      </c>
      <c r="AW36" s="2" cm="1">
        <f t="array" ref="AW36">GAMMAGREEK($B36,100,0.01,AW$23,0.2)</f>
        <v>5.8063850309964735E-3</v>
      </c>
      <c r="AX36" s="2" cm="1">
        <f t="array" ref="AX36">GAMMAGREEK($B36,100,0.01,AX$23,0.2)</f>
        <v>5.749703532406612E-3</v>
      </c>
      <c r="AY36" s="2" cm="1">
        <f t="array" ref="AY36">GAMMAGREEK($B36,100,0.01,AY$23,0.2)</f>
        <v>5.6943832429888685E-3</v>
      </c>
      <c r="AZ36" s="2" cm="1">
        <f t="array" ref="AZ36">GAMMAGREEK($B36,100,0.01,AZ$23,0.2)</f>
        <v>5.6403714114604637E-3</v>
      </c>
    </row>
    <row r="37" spans="1:52" x14ac:dyDescent="0.3">
      <c r="A37" s="2"/>
      <c r="B37" s="2">
        <v>125</v>
      </c>
      <c r="C37" s="2" cm="1">
        <f t="array" ref="C37">GAMMAGREEK($B37,100,0.01,C$23,0.2)</f>
        <v>8.446823286585097E-5</v>
      </c>
      <c r="D37" s="2" cm="1">
        <f t="array" ref="D37">GAMMAGREEK($B37,100,0.01,D$23,0.2)</f>
        <v>1.3404252747399995E-3</v>
      </c>
      <c r="E37" s="2" cm="1">
        <f t="array" ref="E37">GAMMAGREEK($B37,100,0.01,E$23,0.2)</f>
        <v>3.084792741286774E-3</v>
      </c>
      <c r="F37" s="2" cm="1">
        <f t="array" ref="F37">GAMMAGREEK($B37,100,0.01,F$23,0.2)</f>
        <v>4.4825674910614188E-3</v>
      </c>
      <c r="G37" s="2" cm="1">
        <f t="array" ref="G37">GAMMAGREEK($B37,100,0.01,G$23,0.2)</f>
        <v>5.4668672380470719E-3</v>
      </c>
      <c r="H37" s="2" cm="1">
        <f t="array" ref="H37">GAMMAGREEK($B37,100,0.01,H$23,0.2)</f>
        <v>6.1342693499021788E-3</v>
      </c>
      <c r="I37" s="2" cm="1">
        <f t="array" ref="I37">GAMMAGREEK($B37,100,0.01,I$23,0.2)</f>
        <v>6.5790096216856164E-3</v>
      </c>
      <c r="J37" s="2" cm="1">
        <f t="array" ref="J37">GAMMAGREEK($B37,100,0.01,J$23,0.2)</f>
        <v>6.8698255498420152E-3</v>
      </c>
      <c r="K37" s="2" cm="1">
        <f t="array" ref="K37">GAMMAGREEK($B37,100,0.01,K$23,0.2)</f>
        <v>7.0538139252298493E-3</v>
      </c>
      <c r="L37" s="2" cm="1">
        <f t="array" ref="L37">GAMMAGREEK($B37,100,0.01,L$23,0.2)</f>
        <v>7.1629377797827656E-3</v>
      </c>
      <c r="M37" s="2" cm="1">
        <f t="array" ref="M37">GAMMAGREEK($B37,100,0.01,M$23,0.2)</f>
        <v>7.2190482036348855E-3</v>
      </c>
      <c r="N37" s="2" cm="1">
        <f t="array" ref="N37">GAMMAGREEK($B37,100,0.01,N$23,0.2)</f>
        <v>7.2372762874415375E-3</v>
      </c>
      <c r="O37" s="2" cm="1">
        <f t="array" ref="O37">GAMMAGREEK($B37,100,0.01,O$23,0.2)</f>
        <v>7.2282492148045959E-3</v>
      </c>
      <c r="P37" s="2" cm="1">
        <f t="array" ref="P37">GAMMAGREEK($B37,100,0.01,P$23,0.2)</f>
        <v>7.1995345975970002E-3</v>
      </c>
      <c r="Q37" s="2" cm="1">
        <f t="array" ref="Q37">GAMMAGREEK($B37,100,0.01,Q$23,0.2)</f>
        <v>7.1565903963601877E-3</v>
      </c>
      <c r="R37" s="2" cm="1">
        <f t="array" ref="R37">GAMMAGREEK($B37,100,0.01,R$23,0.2)</f>
        <v>7.1033981533630882E-3</v>
      </c>
      <c r="S37" s="2" cm="1">
        <f t="array" ref="S37">GAMMAGREEK($B37,100,0.01,S$23,0.2)</f>
        <v>7.0428914609800431E-3</v>
      </c>
      <c r="T37" s="2" cm="1">
        <f t="array" ref="T37">GAMMAGREEK($B37,100,0.01,T$23,0.2)</f>
        <v>6.9772502611982583E-3</v>
      </c>
      <c r="U37" s="2" cm="1">
        <f t="array" ref="U37">GAMMAGREEK($B37,100,0.01,U$23,0.2)</f>
        <v>6.9081059351256482E-3</v>
      </c>
      <c r="V37" s="2" cm="1">
        <f t="array" ref="V37">GAMMAGREEK($B37,100,0.01,V$23,0.2)</f>
        <v>6.8366861897907437E-3</v>
      </c>
      <c r="W37" s="2" cm="1">
        <f t="array" ref="W37">GAMMAGREEK($B37,100,0.01,W$23,0.2)</f>
        <v>6.7639187271098496E-3</v>
      </c>
      <c r="X37" s="2" cm="1">
        <f t="array" ref="X37">GAMMAGREEK($B37,100,0.01,X$23,0.2)</f>
        <v>6.6905063021160237E-3</v>
      </c>
      <c r="Y37" s="2" cm="1">
        <f t="array" ref="Y37">GAMMAGREEK($B37,100,0.01,Y$23,0.2)</f>
        <v>6.6169816622071156E-3</v>
      </c>
      <c r="Z37" s="2" cm="1">
        <f t="array" ref="Z37">GAMMAGREEK($B37,100,0.01,Z$23,0.2)</f>
        <v>6.5437481658414025E-3</v>
      </c>
      <c r="AA37" s="2" cm="1">
        <f t="array" ref="AA37">GAMMAGREEK($B37,100,0.01,AA$23,0.2)</f>
        <v>6.4711100917088449E-3</v>
      </c>
      <c r="AB37" s="2" cm="1">
        <f t="array" ref="AB37">GAMMAGREEK($B37,100,0.01,AB$23,0.2)</f>
        <v>6.3992954471556555E-3</v>
      </c>
      <c r="AC37" s="2" cm="1">
        <f t="array" ref="AC37">GAMMAGREEK($B37,100,0.01,AC$23,0.2)</f>
        <v>6.3284732655189326E-3</v>
      </c>
      <c r="AD37" s="2" cm="1">
        <f t="array" ref="AD37">GAMMAGREEK($B37,100,0.01,AD$23,0.2)</f>
        <v>6.2587668170935333E-3</v>
      </c>
      <c r="AE37" s="2" cm="1">
        <f t="array" ref="AE37">GAMMAGREEK($B37,100,0.01,AE$23,0.2)</f>
        <v>6.1902637643063124E-3</v>
      </c>
      <c r="AF37" s="2" cm="1">
        <f t="array" ref="AF37">GAMMAGREEK($B37,100,0.01,AF$23,0.2)</f>
        <v>6.1230240136718661E-3</v>
      </c>
      <c r="AG37" s="2" cm="1">
        <f t="array" ref="AG37">GAMMAGREEK($B37,100,0.01,AG$23,0.2)</f>
        <v>6.0570858190008457E-3</v>
      </c>
      <c r="AH37" s="2" cm="1">
        <f t="array" ref="AH37">GAMMAGREEK($B37,100,0.01,AH$23,0.2)</f>
        <v>5.9924705477925463E-3</v>
      </c>
      <c r="AI37" s="2" cm="1">
        <f t="array" ref="AI37">GAMMAGREEK($B37,100,0.01,AI$23,0.2)</f>
        <v>5.9291864192448389E-3</v>
      </c>
      <c r="AJ37" s="2" cm="1">
        <f t="array" ref="AJ37">GAMMAGREEK($B37,100,0.01,AJ$23,0.2)</f>
        <v>5.867231446516033E-3</v>
      </c>
      <c r="AK37" s="2" cm="1">
        <f t="array" ref="AK37">GAMMAGREEK($B37,100,0.01,AK$23,0.2)</f>
        <v>5.8065957599102002E-3</v>
      </c>
      <c r="AL37" s="2" cm="1">
        <f t="array" ref="AL37">GAMMAGREEK($B37,100,0.01,AL$23,0.2)</f>
        <v>5.7472634460231219E-3</v>
      </c>
      <c r="AM37" s="2" cm="1">
        <f t="array" ref="AM37">GAMMAGREEK($B37,100,0.01,AM$23,0.2)</f>
        <v>5.6892140066876918E-3</v>
      </c>
      <c r="AN37" s="2" cm="1">
        <f t="array" ref="AN37">GAMMAGREEK($B37,100,0.01,AN$23,0.2)</f>
        <v>5.6324235180203047E-3</v>
      </c>
      <c r="AO37" s="2" cm="1">
        <f t="array" ref="AO37">GAMMAGREEK($B37,100,0.01,AO$23,0.2)</f>
        <v>5.5768655519978279E-3</v>
      </c>
      <c r="AP37" s="2" cm="1">
        <f t="array" ref="AP37">GAMMAGREEK($B37,100,0.01,AP$23,0.2)</f>
        <v>5.5225119093422655E-3</v>
      </c>
      <c r="AQ37" s="2" cm="1">
        <f t="array" ref="AQ37">GAMMAGREEK($B37,100,0.01,AQ$23,0.2)</f>
        <v>5.4693332020009089E-3</v>
      </c>
      <c r="AR37" s="2" cm="1">
        <f t="array" ref="AR37">GAMMAGREEK($B37,100,0.01,AR$23,0.2)</f>
        <v>5.4172993154072329E-3</v>
      </c>
      <c r="AS37" s="2" cm="1">
        <f t="array" ref="AS37">GAMMAGREEK($B37,100,0.01,AS$23,0.2)</f>
        <v>5.3663797744166472E-3</v>
      </c>
      <c r="AT37" s="2" cm="1">
        <f t="array" ref="AT37">GAMMAGREEK($B37,100,0.01,AT$23,0.2)</f>
        <v>5.3165440319029597E-3</v>
      </c>
      <c r="AU37" s="2" cm="1">
        <f t="array" ref="AU37">GAMMAGREEK($B37,100,0.01,AU$23,0.2)</f>
        <v>5.2677616951544558E-3</v>
      </c>
      <c r="AV37" s="2" cm="1">
        <f t="array" ref="AV37">GAMMAGREEK($B37,100,0.01,AV$23,0.2)</f>
        <v>5.2200027021803283E-3</v>
      </c>
      <c r="AW37" s="2" cm="1">
        <f t="array" ref="AW37">GAMMAGREEK($B37,100,0.01,AW$23,0.2)</f>
        <v>5.1732374576448047E-3</v>
      </c>
      <c r="AX37" s="2" cm="1">
        <f t="array" ref="AX37">GAMMAGREEK($B37,100,0.01,AX$23,0.2)</f>
        <v>5.1274369362472967E-3</v>
      </c>
      <c r="AY37" s="2" cm="1">
        <f t="array" ref="AY37">GAMMAGREEK($B37,100,0.01,AY$23,0.2)</f>
        <v>5.0825727598547586E-3</v>
      </c>
      <c r="AZ37" s="2" cm="1">
        <f t="array" ref="AZ37">GAMMAGREEK($B37,100,0.01,AZ$23,0.2)</f>
        <v>5.0386172534840883E-3</v>
      </c>
    </row>
    <row r="38" spans="1:52" x14ac:dyDescent="0.3">
      <c r="A38" s="2"/>
      <c r="B38" s="2">
        <v>130</v>
      </c>
      <c r="C38" s="2" cm="1">
        <f t="array" ref="C38">GAMMAGREEK($B38,100,0.01,C$23,0.2)</f>
        <v>7.2972234478141031E-6</v>
      </c>
      <c r="D38" s="2" cm="1">
        <f t="array" ref="D38">GAMMAGREEK($B38,100,0.01,D$23,0.2)</f>
        <v>3.8068919850193204E-4</v>
      </c>
      <c r="E38" s="2" cm="1">
        <f t="array" ref="E38">GAMMAGREEK($B38,100,0.01,E$23,0.2)</f>
        <v>1.3026922814580184E-3</v>
      </c>
      <c r="F38" s="2" cm="1">
        <f t="array" ref="F38">GAMMAGREEK($B38,100,0.01,F$23,0.2)</f>
        <v>2.3082701661092638E-3</v>
      </c>
      <c r="G38" s="2" cm="1">
        <f t="array" ref="G38">GAMMAGREEK($B38,100,0.01,G$23,0.2)</f>
        <v>3.170915723518429E-3</v>
      </c>
      <c r="H38" s="2" cm="1">
        <f t="array" ref="H38">GAMMAGREEK($B38,100,0.01,H$23,0.2)</f>
        <v>3.8518254155354265E-3</v>
      </c>
      <c r="I38" s="2" cm="1">
        <f t="array" ref="I38">GAMMAGREEK($B38,100,0.01,I$23,0.2)</f>
        <v>4.3719665660242645E-3</v>
      </c>
      <c r="J38" s="2" cm="1">
        <f t="array" ref="J38">GAMMAGREEK($B38,100,0.01,J$23,0.2)</f>
        <v>4.7634480986671448E-3</v>
      </c>
      <c r="K38" s="2" cm="1">
        <f t="array" ref="K38">GAMMAGREEK($B38,100,0.01,K$23,0.2)</f>
        <v>5.0554177985015743E-3</v>
      </c>
      <c r="L38" s="2" cm="1">
        <f t="array" ref="L38">GAMMAGREEK($B38,100,0.01,L$23,0.2)</f>
        <v>5.271207263287927E-3</v>
      </c>
      <c r="M38" s="2" cm="1">
        <f t="array" ref="M38">GAMMAGREEK($B38,100,0.01,M$23,0.2)</f>
        <v>5.4287066946902022E-3</v>
      </c>
      <c r="N38" s="2" cm="1">
        <f t="array" ref="N38">GAMMAGREEK($B38,100,0.01,N$23,0.2)</f>
        <v>5.5414428289173433E-3</v>
      </c>
      <c r="O38" s="2" cm="1">
        <f t="array" ref="O38">GAMMAGREEK($B38,100,0.01,O$23,0.2)</f>
        <v>5.6196242782786615E-3</v>
      </c>
      <c r="P38" s="2" cm="1">
        <f t="array" ref="P38">GAMMAGREEK($B38,100,0.01,P$23,0.2)</f>
        <v>5.6709837972406113E-3</v>
      </c>
      <c r="Q38" s="2" cm="1">
        <f t="array" ref="Q38">GAMMAGREEK($B38,100,0.01,Q$23,0.2)</f>
        <v>5.7014150292189333E-3</v>
      </c>
      <c r="R38" s="2" cm="1">
        <f t="array" ref="R38">GAMMAGREEK($B38,100,0.01,R$23,0.2)</f>
        <v>5.7154423766497906E-3</v>
      </c>
      <c r="S38" s="2" cm="1">
        <f t="array" ref="S38">GAMMAGREEK($B38,100,0.01,S$23,0.2)</f>
        <v>5.7165651372552157E-3</v>
      </c>
      <c r="T38" s="2" cm="1">
        <f t="array" ref="T38">GAMMAGREEK($B38,100,0.01,T$23,0.2)</f>
        <v>5.7075096668925398E-3</v>
      </c>
      <c r="U38" s="2" cm="1">
        <f t="array" ref="U38">GAMMAGREEK($B38,100,0.01,U$23,0.2)</f>
        <v>5.6904149768715884E-3</v>
      </c>
      <c r="V38" s="2" cm="1">
        <f t="array" ref="V38">GAMMAGREEK($B38,100,0.01,V$23,0.2)</f>
        <v>5.6669702285113352E-3</v>
      </c>
      <c r="W38" s="2" cm="1">
        <f t="array" ref="W38">GAMMAGREEK($B38,100,0.01,W$23,0.2)</f>
        <v>5.6385173565819766E-3</v>
      </c>
      <c r="X38" s="2" cm="1">
        <f t="array" ref="X38">GAMMAGREEK($B38,100,0.01,X$23,0.2)</f>
        <v>5.6061282702838042E-3</v>
      </c>
      <c r="Y38" s="2" cm="1">
        <f t="array" ref="Y38">GAMMAGREEK($B38,100,0.01,Y$23,0.2)</f>
        <v>5.5706633909684096E-3</v>
      </c>
      <c r="Z38" s="2" cm="1">
        <f t="array" ref="Z38">GAMMAGREEK($B38,100,0.01,Z$23,0.2)</f>
        <v>5.5328163846327105E-3</v>
      </c>
      <c r="AA38" s="2" cm="1">
        <f t="array" ref="AA38">GAMMAGREEK($B38,100,0.01,AA$23,0.2)</f>
        <v>5.4931486028205381E-3</v>
      </c>
      <c r="AB38" s="2" cm="1">
        <f t="array" ref="AB38">GAMMAGREEK($B38,100,0.01,AB$23,0.2)</f>
        <v>5.4521157913917651E-3</v>
      </c>
      <c r="AC38" s="2" cm="1">
        <f t="array" ref="AC38">GAMMAGREEK($B38,100,0.01,AC$23,0.2)</f>
        <v>5.4100889456261802E-3</v>
      </c>
      <c r="AD38" s="2" cm="1">
        <f t="array" ref="AD38">GAMMAGREEK($B38,100,0.01,AD$23,0.2)</f>
        <v>5.367370700885425E-3</v>
      </c>
      <c r="AE38" s="2" cm="1">
        <f t="array" ref="AE38">GAMMAGREEK($B38,100,0.01,AE$23,0.2)</f>
        <v>5.3242082940482809E-3</v>
      </c>
      <c r="AF38" s="2" cm="1">
        <f t="array" ref="AF38">GAMMAGREEK($B38,100,0.01,AF$23,0.2)</f>
        <v>5.2808038728821578E-3</v>
      </c>
      <c r="AG38" s="2" cm="1">
        <f t="array" ref="AG38">GAMMAGREEK($B38,100,0.01,AG$23,0.2)</f>
        <v>5.2373227410053552E-3</v>
      </c>
      <c r="AH38" s="2" cm="1">
        <f t="array" ref="AH38">GAMMAGREEK($B38,100,0.01,AH$23,0.2)</f>
        <v>5.1938999858973777E-3</v>
      </c>
      <c r="AI38" s="2" cm="1">
        <f t="array" ref="AI38">GAMMAGREEK($B38,100,0.01,AI$23,0.2)</f>
        <v>5.1506458329489465E-3</v>
      </c>
      <c r="AJ38" s="2" cm="1">
        <f t="array" ref="AJ38">GAMMAGREEK($B38,100,0.01,AJ$23,0.2)</f>
        <v>5.1076499901563446E-3</v>
      </c>
      <c r="AK38" s="2" cm="1">
        <f t="array" ref="AK38">GAMMAGREEK($B38,100,0.01,AK$23,0.2)</f>
        <v>5.0649851888473867E-3</v>
      </c>
      <c r="AL38" s="2" cm="1">
        <f t="array" ref="AL38">GAMMAGREEK($B38,100,0.01,AL$23,0.2)</f>
        <v>5.0227100807981248E-3</v>
      </c>
      <c r="AM38" s="2" cm="1">
        <f t="array" ref="AM38">GAMMAGREEK($B38,100,0.01,AM$23,0.2)</f>
        <v>4.9808716176452036E-3</v>
      </c>
      <c r="AN38" s="2" cm="1">
        <f t="array" ref="AN38">GAMMAGREEK($B38,100,0.01,AN$23,0.2)</f>
        <v>4.9395070119765223E-3</v>
      </c>
      <c r="AO38" s="2" cm="1">
        <f t="array" ref="AO38">GAMMAGREEK($B38,100,0.01,AO$23,0.2)</f>
        <v>4.8986453589480849E-3</v>
      </c>
      <c r="AP38" s="2" cm="1">
        <f t="array" ref="AP38">GAMMAGREEK($B38,100,0.01,AP$23,0.2)</f>
        <v>4.858308981287961E-3</v>
      </c>
      <c r="AQ38" s="2" cm="1">
        <f t="array" ref="AQ38">GAMMAGREEK($B38,100,0.01,AQ$23,0.2)</f>
        <v>4.8185145480355391E-3</v>
      </c>
      <c r="AR38" s="2" cm="1">
        <f t="array" ref="AR38">GAMMAGREEK($B38,100,0.01,AR$23,0.2)</f>
        <v>4.7792740075211651E-3</v>
      </c>
      <c r="AS38" s="2" cm="1">
        <f t="array" ref="AS38">GAMMAGREEK($B38,100,0.01,AS$23,0.2)</f>
        <v>4.7405953673101218E-3</v>
      </c>
      <c r="AT38" s="2" cm="1">
        <f t="array" ref="AT38">GAMMAGREEK($B38,100,0.01,AT$23,0.2)</f>
        <v>4.7024833476554577E-3</v>
      </c>
      <c r="AU38" s="2" cm="1">
        <f t="array" ref="AU38">GAMMAGREEK($B38,100,0.01,AU$23,0.2)</f>
        <v>4.6649399300743716E-3</v>
      </c>
      <c r="AV38" s="2" cm="1">
        <f t="array" ref="AV38">GAMMAGREEK($B38,100,0.01,AV$23,0.2)</f>
        <v>4.6279648187134556E-3</v>
      </c>
      <c r="AW38" s="2" cm="1">
        <f t="array" ref="AW38">GAMMAGREEK($B38,100,0.01,AW$23,0.2)</f>
        <v>4.5915558289908853E-3</v>
      </c>
      <c r="AX38" s="2" cm="1">
        <f t="array" ref="AX38">GAMMAGREEK($B38,100,0.01,AX$23,0.2)</f>
        <v>4.55570921543773E-3</v>
      </c>
      <c r="AY38" s="2" cm="1">
        <f t="array" ref="AY38">GAMMAGREEK($B38,100,0.01,AY$23,0.2)</f>
        <v>4.5204199485804324E-3</v>
      </c>
      <c r="AZ38" s="2" cm="1">
        <f t="array" ref="AZ38">GAMMAGREEK($B38,100,0.01,AZ$23,0.2)</f>
        <v>4.4856819490140861E-3</v>
      </c>
    </row>
    <row r="39" spans="1:52" x14ac:dyDescent="0.3">
      <c r="A39" s="2"/>
      <c r="B39" s="2">
        <v>135</v>
      </c>
      <c r="C39" s="2" cm="1">
        <f t="array" ref="C39">GAMMAGREEK($B39,100,0.01,C$23,0.2)</f>
        <v>4.8093577566927397E-7</v>
      </c>
      <c r="D39" s="2" cm="1">
        <f t="array" ref="D39">GAMMAGREEK($B39,100,0.01,D$23,0.2)</f>
        <v>9.4556994587265296E-5</v>
      </c>
      <c r="E39" s="2" cm="1">
        <f t="array" ref="E39">GAMMAGREEK($B39,100,0.01,E$23,0.2)</f>
        <v>5.0353481185787989E-4</v>
      </c>
      <c r="F39" s="2" cm="1">
        <f t="array" ref="F39">GAMMAGREEK($B39,100,0.01,F$23,0.2)</f>
        <v>1.1130292486590083E-3</v>
      </c>
      <c r="G39" s="2" cm="1">
        <f t="array" ref="G39">GAMMAGREEK($B39,100,0.01,G$23,0.2)</f>
        <v>1.7459186523562451E-3</v>
      </c>
      <c r="H39" s="2" cm="1">
        <f t="array" ref="H39">GAMMAGREEK($B39,100,0.01,H$23,0.2)</f>
        <v>2.3169614647433356E-3</v>
      </c>
      <c r="I39" s="2" cm="1">
        <f t="array" ref="I39">GAMMAGREEK($B39,100,0.01,I$23,0.2)</f>
        <v>2.8013465758306814E-3</v>
      </c>
      <c r="J39" s="2" cm="1">
        <f t="array" ref="J39">GAMMAGREEK($B39,100,0.01,J$23,0.2)</f>
        <v>3.2002933770762325E-3</v>
      </c>
      <c r="K39" s="2" cm="1">
        <f t="array" ref="K39">GAMMAGREEK($B39,100,0.01,K$23,0.2)</f>
        <v>3.5239585209983202E-3</v>
      </c>
      <c r="L39" s="2" cm="1">
        <f t="array" ref="L39">GAMMAGREEK($B39,100,0.01,L$23,0.2)</f>
        <v>3.7843224261389784E-3</v>
      </c>
      <c r="M39" s="2" cm="1">
        <f t="array" ref="M39">GAMMAGREEK($B39,100,0.01,M$23,0.2)</f>
        <v>3.9925527693900481E-3</v>
      </c>
      <c r="N39" s="2" cm="1">
        <f t="array" ref="N39">GAMMAGREEK($B39,100,0.01,N$23,0.2)</f>
        <v>4.1582189279311087E-3</v>
      </c>
      <c r="O39" s="2" cm="1">
        <f t="array" ref="O39">GAMMAGREEK($B39,100,0.01,O$23,0.2)</f>
        <v>4.2892254319524875E-3</v>
      </c>
      <c r="P39" s="2" cm="1">
        <f t="array" ref="P39">GAMMAGREEK($B39,100,0.01,P$23,0.2)</f>
        <v>4.3919945977249561E-3</v>
      </c>
      <c r="Q39" s="2" cm="1">
        <f t="array" ref="Q39">GAMMAGREEK($B39,100,0.01,Q$23,0.2)</f>
        <v>4.4717097413523301E-3</v>
      </c>
      <c r="R39" s="2" cm="1">
        <f t="array" ref="R39">GAMMAGREEK($B39,100,0.01,R$23,0.2)</f>
        <v>4.5325480202299748E-3</v>
      </c>
      <c r="S39" s="2" cm="1">
        <f t="array" ref="S39">GAMMAGREEK($B39,100,0.01,S$23,0.2)</f>
        <v>4.5778803544923212E-3</v>
      </c>
      <c r="T39" s="2" cm="1">
        <f t="array" ref="T39">GAMMAGREEK($B39,100,0.01,T$23,0.2)</f>
        <v>4.6104350576069743E-3</v>
      </c>
      <c r="U39" s="2" cm="1">
        <f t="array" ref="U39">GAMMAGREEK($B39,100,0.01,U$23,0.2)</f>
        <v>4.6324287207686055E-3</v>
      </c>
      <c r="V39" s="2" cm="1">
        <f t="array" ref="V39">GAMMAGREEK($B39,100,0.01,V$23,0.2)</f>
        <v>4.6456697775222461E-3</v>
      </c>
      <c r="W39" s="2" cm="1">
        <f t="array" ref="W39">GAMMAGREEK($B39,100,0.01,W$23,0.2)</f>
        <v>4.6516401031869038E-3</v>
      </c>
      <c r="X39" s="2" cm="1">
        <f t="array" ref="X39">GAMMAGREEK($B39,100,0.01,X$23,0.2)</f>
        <v>4.6515592759995934E-3</v>
      </c>
      <c r="Y39" s="2" cm="1">
        <f t="array" ref="Y39">GAMMAGREEK($B39,100,0.01,Y$23,0.2)</f>
        <v>4.6464352718141597E-3</v>
      </c>
      <c r="Z39" s="2" cm="1">
        <f t="array" ref="Z39">GAMMAGREEK($B39,100,0.01,Z$23,0.2)</f>
        <v>4.6371045792771466E-3</v>
      </c>
      <c r="AA39" s="2" cm="1">
        <f t="array" ref="AA39">GAMMAGREEK($B39,100,0.01,AA$23,0.2)</f>
        <v>4.6242640660505456E-3</v>
      </c>
      <c r="AB39" s="2" cm="1">
        <f t="array" ref="AB39">GAMMAGREEK($B39,100,0.01,AB$23,0.2)</f>
        <v>4.6084964016490084E-3</v>
      </c>
      <c r="AC39" s="2" cm="1">
        <f t="array" ref="AC39">GAMMAGREEK($B39,100,0.01,AC$23,0.2)</f>
        <v>4.5902904320774904E-3</v>
      </c>
      <c r="AD39" s="2" cm="1">
        <f t="array" ref="AD39">GAMMAGREEK($B39,100,0.01,AD$23,0.2)</f>
        <v>4.5700575844944318E-3</v>
      </c>
      <c r="AE39" s="2" cm="1">
        <f t="array" ref="AE39">GAMMAGREEK($B39,100,0.01,AE$23,0.2)</f>
        <v>4.5481451367199209E-3</v>
      </c>
      <c r="AF39" s="2" cm="1">
        <f t="array" ref="AF39">GAMMAGREEK($B39,100,0.01,AF$23,0.2)</f>
        <v>4.5248469998567693E-3</v>
      </c>
      <c r="AG39" s="2" cm="1">
        <f t="array" ref="AG39">GAMMAGREEK($B39,100,0.01,AG$23,0.2)</f>
        <v>4.5004125192596982E-3</v>
      </c>
      <c r="AH39" s="2" cm="1">
        <f t="array" ref="AH39">GAMMAGREEK($B39,100,0.01,AH$23,0.2)</f>
        <v>4.4750536892129052E-3</v>
      </c>
      <c r="AI39" s="2" cm="1">
        <f t="array" ref="AI39">GAMMAGREEK($B39,100,0.01,AI$23,0.2)</f>
        <v>4.4489510920290264E-3</v>
      </c>
      <c r="AJ39" s="2" cm="1">
        <f t="array" ref="AJ39">GAMMAGREEK($B39,100,0.01,AJ$23,0.2)</f>
        <v>4.4222588068407913E-3</v>
      </c>
      <c r="AK39" s="2" cm="1">
        <f t="array" ref="AK39">GAMMAGREEK($B39,100,0.01,AK$23,0.2)</f>
        <v>4.3951084825646011E-3</v>
      </c>
      <c r="AL39" s="2" cm="1">
        <f t="array" ref="AL39">GAMMAGREEK($B39,100,0.01,AL$23,0.2)</f>
        <v>4.3676127299290919E-3</v>
      </c>
      <c r="AM39" s="2" cm="1">
        <f t="array" ref="AM39">GAMMAGREEK($B39,100,0.01,AM$23,0.2)</f>
        <v>4.3398679564767874E-3</v>
      </c>
      <c r="AN39" s="2" cm="1">
        <f t="array" ref="AN39">GAMMAGREEK($B39,100,0.01,AN$23,0.2)</f>
        <v>4.3119567440885577E-3</v>
      </c>
      <c r="AO39" s="2" cm="1">
        <f t="array" ref="AO39">GAMMAGREEK($B39,100,0.01,AO$23,0.2)</f>
        <v>4.2839498493485607E-3</v>
      </c>
      <c r="AP39" s="2" cm="1">
        <f t="array" ref="AP39">GAMMAGREEK($B39,100,0.01,AP$23,0.2)</f>
        <v>4.2559078918170063E-3</v>
      </c>
      <c r="AQ39" s="2" cm="1">
        <f t="array" ref="AQ39">GAMMAGREEK($B39,100,0.01,AQ$23,0.2)</f>
        <v>4.2278827831338977E-3</v>
      </c>
      <c r="AR39" s="2" cm="1">
        <f t="array" ref="AR39">GAMMAGREEK($B39,100,0.01,AR$23,0.2)</f>
        <v>4.1999189401658128E-3</v>
      </c>
      <c r="AS39" s="2" cm="1">
        <f t="array" ref="AS39">GAMMAGREEK($B39,100,0.01,AS$23,0.2)</f>
        <v>4.1720543176107872E-3</v>
      </c>
      <c r="AT39" s="2" cm="1">
        <f t="array" ref="AT39">GAMMAGREEK($B39,100,0.01,AT$23,0.2)</f>
        <v>4.1443212891912815E-3</v>
      </c>
      <c r="AU39" s="2" cm="1">
        <f t="array" ref="AU39">GAMMAGREEK($B39,100,0.01,AU$23,0.2)</f>
        <v>4.1167474014793442E-3</v>
      </c>
      <c r="AV39" s="2" cm="1">
        <f t="array" ref="AV39">GAMMAGREEK($B39,100,0.01,AV$23,0.2)</f>
        <v>4.0893560202672312E-3</v>
      </c>
      <c r="AW39" s="2" cm="1">
        <f t="array" ref="AW39">GAMMAGREEK($B39,100,0.01,AW$23,0.2)</f>
        <v>4.0621668860293114E-3</v>
      </c>
      <c r="AX39" s="2" cm="1">
        <f t="array" ref="AX39">GAMMAGREEK($B39,100,0.01,AX$23,0.2)</f>
        <v>4.0351965922663675E-3</v>
      </c>
      <c r="AY39" s="2" cm="1">
        <f t="array" ref="AY39">GAMMAGREEK($B39,100,0.01,AY$23,0.2)</f>
        <v>4.0084589982622093E-3</v>
      </c>
      <c r="AZ39" s="2" cm="1">
        <f t="array" ref="AZ39">GAMMAGREEK($B39,100,0.01,AZ$23,0.2)</f>
        <v>3.9819655859202495E-3</v>
      </c>
    </row>
    <row r="40" spans="1:52" x14ac:dyDescent="0.3">
      <c r="A40" s="2"/>
      <c r="B40" s="2">
        <v>140</v>
      </c>
      <c r="C40" s="2" cm="1">
        <f t="array" ref="C40">GAMMAGREEK($B40,100,0.01,C$23,0.2)</f>
        <v>2.4984119686305784E-8</v>
      </c>
      <c r="D40" s="2" cm="1">
        <f t="array" ref="D40">GAMMAGREEK($B40,100,0.01,D$23,0.2)</f>
        <v>2.0876714879530865E-5</v>
      </c>
      <c r="E40" s="2" cm="1">
        <f t="array" ref="E40">GAMMAGREEK($B40,100,0.01,E$23,0.2)</f>
        <v>1.8007849189266507E-4</v>
      </c>
      <c r="F40" s="2" cm="1">
        <f t="array" ref="F40">GAMMAGREEK($B40,100,0.01,F$23,0.2)</f>
        <v>5.0660659975445025E-4</v>
      </c>
      <c r="G40" s="2" cm="1">
        <f t="array" ref="G40">GAMMAGREEK($B40,100,0.01,G$23,0.2)</f>
        <v>9.1839058774420546E-4</v>
      </c>
      <c r="H40" s="2" cm="1">
        <f t="array" ref="H40">GAMMAGREEK($B40,100,0.01,H$23,0.2)</f>
        <v>1.3421930911671853E-3</v>
      </c>
      <c r="I40" s="2" cm="1">
        <f t="array" ref="I40">GAMMAGREEK($B40,100,0.01,I$23,0.2)</f>
        <v>1.7385470025647579E-3</v>
      </c>
      <c r="J40" s="2" cm="1">
        <f t="array" ref="J40">GAMMAGREEK($B40,100,0.01,J$23,0.2)</f>
        <v>2.0914714572423773E-3</v>
      </c>
      <c r="K40" s="2" cm="1">
        <f t="array" ref="K40">GAMMAGREEK($B40,100,0.01,K$23,0.2)</f>
        <v>2.3974428180687469E-3</v>
      </c>
      <c r="L40" s="2" cm="1">
        <f t="array" ref="L40">GAMMAGREEK($B40,100,0.01,L$23,0.2)</f>
        <v>2.6587031941631982E-3</v>
      </c>
      <c r="M40" s="2" cm="1">
        <f t="array" ref="M40">GAMMAGREEK($B40,100,0.01,M$23,0.2)</f>
        <v>2.8797692591508474E-3</v>
      </c>
      <c r="N40" s="2" cm="1">
        <f t="array" ref="N40">GAMMAGREEK($B40,100,0.01,N$23,0.2)</f>
        <v>3.0657409950987529E-3</v>
      </c>
      <c r="O40" s="2" cm="1">
        <f t="array" ref="O40">GAMMAGREEK($B40,100,0.01,O$23,0.2)</f>
        <v>3.2215381923153198E-3</v>
      </c>
      <c r="P40" s="2" cm="1">
        <f t="array" ref="P40">GAMMAGREEK($B40,100,0.01,P$23,0.2)</f>
        <v>3.3515955933317416E-3</v>
      </c>
      <c r="Q40" s="2" cm="1">
        <f t="array" ref="Q40">GAMMAGREEK($B40,100,0.01,Q$23,0.2)</f>
        <v>3.4597769463136784E-3</v>
      </c>
      <c r="R40" s="2" cm="1">
        <f t="array" ref="R40">GAMMAGREEK($B40,100,0.01,R$23,0.2)</f>
        <v>3.5493882298125385E-3</v>
      </c>
      <c r="S40" s="2" cm="1">
        <f t="array" ref="S40">GAMMAGREEK($B40,100,0.01,S$23,0.2)</f>
        <v>3.6232312612667792E-3</v>
      </c>
      <c r="T40" s="2" cm="1">
        <f t="array" ref="T40">GAMMAGREEK($B40,100,0.01,T$23,0.2)</f>
        <v>3.6836695148238703E-3</v>
      </c>
      <c r="U40" s="2" cm="1">
        <f t="array" ref="U40">GAMMAGREEK($B40,100,0.01,U$23,0.2)</f>
        <v>3.7326932454951256E-3</v>
      </c>
      <c r="V40" s="2" cm="1">
        <f t="array" ref="V40">GAMMAGREEK($B40,100,0.01,V$23,0.2)</f>
        <v>3.7719785580502133E-3</v>
      </c>
      <c r="W40" s="2" cm="1">
        <f t="array" ref="W40">GAMMAGREEK($B40,100,0.01,W$23,0.2)</f>
        <v>3.8029387072216945E-3</v>
      </c>
      <c r="X40" s="2" cm="1">
        <f t="array" ref="X40">GAMMAGREEK($B40,100,0.01,X$23,0.2)</f>
        <v>3.8267676074581537E-3</v>
      </c>
      <c r="Y40" s="2" cm="1">
        <f t="array" ref="Y40">GAMMAGREEK($B40,100,0.01,Y$23,0.2)</f>
        <v>3.8444762469136925E-3</v>
      </c>
      <c r="Z40" s="2" cm="1">
        <f t="array" ref="Z40">GAMMAGREEK($B40,100,0.01,Z$23,0.2)</f>
        <v>3.8569229400776455E-3</v>
      </c>
      <c r="AA40" s="2" cm="1">
        <f t="array" ref="AA40">GAMMAGREEK($B40,100,0.01,AA$23,0.2)</f>
        <v>3.864838369371446E-3</v>
      </c>
      <c r="AB40" s="2" cm="1">
        <f t="array" ref="AB40">GAMMAGREEK($B40,100,0.01,AB$23,0.2)</f>
        <v>3.8688462855110827E-3</v>
      </c>
      <c r="AC40" s="2" cm="1">
        <f t="array" ref="AC40">GAMMAGREEK($B40,100,0.01,AC$23,0.2)</f>
        <v>3.8694806223472569E-3</v>
      </c>
      <c r="AD40" s="2" cm="1">
        <f t="array" ref="AD40">GAMMAGREEK($B40,100,0.01,AD$23,0.2)</f>
        <v>3.8671996641189356E-3</v>
      </c>
      <c r="AE40" s="2" cm="1">
        <f t="array" ref="AE40">GAMMAGREEK($B40,100,0.01,AE$23,0.2)</f>
        <v>3.8623977946691326E-3</v>
      </c>
      <c r="AF40" s="2" cm="1">
        <f t="array" ref="AF40">GAMMAGREEK($B40,100,0.01,AF$23,0.2)</f>
        <v>3.855415263882422E-3</v>
      </c>
      <c r="AG40" s="2" cm="1">
        <f t="array" ref="AG40">GAMMAGREEK($B40,100,0.01,AG$23,0.2)</f>
        <v>3.8465463271008973E-3</v>
      </c>
      <c r="AH40" s="2" cm="1">
        <f t="array" ref="AH40">GAMMAGREEK($B40,100,0.01,AH$23,0.2)</f>
        <v>3.8360460474626203E-3</v>
      </c>
      <c r="AI40" s="2" cm="1">
        <f t="array" ref="AI40">GAMMAGREEK($B40,100,0.01,AI$23,0.2)</f>
        <v>3.8241359972251169E-3</v>
      </c>
      <c r="AJ40" s="2" cm="1">
        <f t="array" ref="AJ40">GAMMAGREEK($B40,100,0.01,AJ$23,0.2)</f>
        <v>3.8110090503097891E-3</v>
      </c>
      <c r="AK40" s="2" cm="1">
        <f t="array" ref="AK40">GAMMAGREEK($B40,100,0.01,AK$23,0.2)</f>
        <v>3.7968334227825467E-3</v>
      </c>
      <c r="AL40" s="2" cm="1">
        <f t="array" ref="AL40">GAMMAGREEK($B40,100,0.01,AL$23,0.2)</f>
        <v>3.7817560892437763E-3</v>
      </c>
      <c r="AM40" s="2" cm="1">
        <f t="array" ref="AM40">GAMMAGREEK($B40,100,0.01,AM$23,0.2)</f>
        <v>3.7659056798498266E-3</v>
      </c>
      <c r="AN40" s="2" cm="1">
        <f t="array" ref="AN40">GAMMAGREEK($B40,100,0.01,AN$23,0.2)</f>
        <v>3.7493949438665111E-3</v>
      </c>
      <c r="AO40" s="2" cm="1">
        <f t="array" ref="AO40">GAMMAGREEK($B40,100,0.01,AO$23,0.2)</f>
        <v>3.7323228503984705E-3</v>
      </c>
      <c r="AP40" s="2" cm="1">
        <f t="array" ref="AP40">GAMMAGREEK($B40,100,0.01,AP$23,0.2)</f>
        <v>3.7147763845488601E-3</v>
      </c>
      <c r="AQ40" s="2" cm="1">
        <f t="array" ref="AQ40">GAMMAGREEK($B40,100,0.01,AQ$23,0.2)</f>
        <v>3.6968320871810997E-3</v>
      </c>
      <c r="AR40" s="2" cm="1">
        <f t="array" ref="AR40">GAMMAGREEK($B40,100,0.01,AR$23,0.2)</f>
        <v>3.6785573782294073E-3</v>
      </c>
      <c r="AS40" s="2" cm="1">
        <f t="array" ref="AS40">GAMMAGREEK($B40,100,0.01,AS$23,0.2)</f>
        <v>3.6600116967779794E-3</v>
      </c>
      <c r="AT40" s="2" cm="1">
        <f t="array" ref="AT40">GAMMAGREEK($B40,100,0.01,AT$23,0.2)</f>
        <v>3.6412474856126597E-3</v>
      </c>
      <c r="AU40" s="2" cm="1">
        <f t="array" ref="AU40">GAMMAGREEK($B40,100,0.01,AU$23,0.2)</f>
        <v>3.6223110434133688E-3</v>
      </c>
      <c r="AV40" s="2" cm="1">
        <f t="array" ref="AV40">GAMMAGREEK($B40,100,0.01,AV$23,0.2)</f>
        <v>3.6032432640160459E-3</v>
      </c>
      <c r="AW40" s="2" cm="1">
        <f t="array" ref="AW40">GAMMAGREEK($B40,100,0.01,AW$23,0.2)</f>
        <v>3.5840802790810047E-3</v>
      </c>
      <c r="AX40" s="2" cm="1">
        <f t="array" ref="AX40">GAMMAGREEK($B40,100,0.01,AX$23,0.2)</f>
        <v>3.5648540179413985E-3</v>
      </c>
      <c r="AY40" s="2" cm="1">
        <f t="array" ref="AY40">GAMMAGREEK($B40,100,0.01,AY$23,0.2)</f>
        <v>3.5455926962746276E-3</v>
      </c>
      <c r="AZ40" s="2" cm="1">
        <f t="array" ref="AZ40">GAMMAGREEK($B40,100,0.01,AZ$23,0.2)</f>
        <v>3.5263212434632849E-3</v>
      </c>
    </row>
    <row r="41" spans="1:52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</row>
    <row r="42" spans="1:52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</row>
    <row r="43" spans="1:52" x14ac:dyDescent="0.3">
      <c r="A43" s="2" t="s">
        <v>15</v>
      </c>
      <c r="B43" s="2"/>
      <c r="C43" s="2" t="s">
        <v>12</v>
      </c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</row>
    <row r="44" spans="1:52" x14ac:dyDescent="0.3">
      <c r="A44" s="2"/>
      <c r="B44" s="2"/>
      <c r="C44" s="2">
        <v>0.1</v>
      </c>
      <c r="D44" s="2">
        <v>0.2</v>
      </c>
      <c r="E44" s="2">
        <v>0.3</v>
      </c>
      <c r="F44" s="2">
        <v>0.4</v>
      </c>
      <c r="G44" s="2">
        <v>0.5</v>
      </c>
      <c r="H44" s="2">
        <v>0.6</v>
      </c>
      <c r="I44" s="2">
        <v>0.7</v>
      </c>
      <c r="J44" s="2">
        <v>0.8</v>
      </c>
      <c r="K44" s="2">
        <v>0.9</v>
      </c>
      <c r="L44" s="2">
        <v>1</v>
      </c>
      <c r="M44" s="2">
        <v>1.1000000000000001</v>
      </c>
      <c r="N44" s="2">
        <v>1.2</v>
      </c>
      <c r="O44" s="2">
        <v>1.3</v>
      </c>
      <c r="P44" s="2">
        <v>1.4</v>
      </c>
      <c r="Q44" s="2">
        <v>1.5</v>
      </c>
      <c r="R44" s="2">
        <v>1.6</v>
      </c>
      <c r="S44" s="2">
        <v>1.7</v>
      </c>
      <c r="T44" s="2">
        <v>1.8</v>
      </c>
      <c r="U44" s="2">
        <v>1.9</v>
      </c>
      <c r="V44" s="2">
        <v>2</v>
      </c>
      <c r="W44" s="2">
        <v>2.1</v>
      </c>
      <c r="X44" s="2">
        <v>2.2000000000000002</v>
      </c>
      <c r="Y44" s="2">
        <v>2.2999999999999998</v>
      </c>
      <c r="Z44" s="2">
        <v>2.4</v>
      </c>
      <c r="AA44" s="2">
        <v>2.5</v>
      </c>
      <c r="AB44" s="2">
        <v>2.6</v>
      </c>
      <c r="AC44" s="2">
        <v>2.7</v>
      </c>
      <c r="AD44" s="2">
        <v>2.8</v>
      </c>
      <c r="AE44" s="2">
        <v>2.9</v>
      </c>
      <c r="AF44" s="2">
        <v>3</v>
      </c>
      <c r="AG44" s="2">
        <v>3.1</v>
      </c>
      <c r="AH44" s="2">
        <v>3.2</v>
      </c>
      <c r="AI44" s="2">
        <v>3.3</v>
      </c>
      <c r="AJ44" s="2">
        <v>3.4</v>
      </c>
      <c r="AK44" s="2">
        <v>3.5</v>
      </c>
      <c r="AL44" s="2">
        <v>3.6</v>
      </c>
      <c r="AM44" s="2">
        <v>3.7</v>
      </c>
      <c r="AN44" s="2">
        <v>3.8</v>
      </c>
      <c r="AO44" s="2">
        <v>3.9</v>
      </c>
      <c r="AP44" s="2">
        <v>4</v>
      </c>
      <c r="AQ44" s="2">
        <v>4.0999999999999996</v>
      </c>
      <c r="AR44" s="2">
        <v>4.2</v>
      </c>
      <c r="AS44" s="2">
        <v>4.3</v>
      </c>
      <c r="AT44" s="2">
        <v>4.4000000000000004</v>
      </c>
      <c r="AU44" s="2">
        <v>4.5</v>
      </c>
      <c r="AV44" s="2">
        <v>4.5999999999999996</v>
      </c>
      <c r="AW44" s="2">
        <v>4.7</v>
      </c>
      <c r="AX44" s="2">
        <v>4.8</v>
      </c>
      <c r="AY44" s="2">
        <v>4.9000000000000004</v>
      </c>
      <c r="AZ44" s="2">
        <v>5</v>
      </c>
    </row>
    <row r="45" spans="1:52" x14ac:dyDescent="0.3">
      <c r="A45" s="2" t="s">
        <v>11</v>
      </c>
      <c r="B45" s="2">
        <v>60</v>
      </c>
      <c r="C45" s="2" cm="1">
        <f t="array" ref="C45">GAMMAGREEK($B45,100,0.01,C$44,0.4)</f>
        <v>2.0088667398215202E-5</v>
      </c>
      <c r="D45" s="2" cm="1">
        <f t="array" ref="D45">GAMMAGREEK($B45,100,0.01,D$44,0.4)</f>
        <v>8.3571072825565785E-4</v>
      </c>
      <c r="E45" s="2" cm="1">
        <f t="array" ref="E45">GAMMAGREEK($B45,100,0.01,E$44,0.4)</f>
        <v>2.6494196814334956E-3</v>
      </c>
      <c r="F45" s="2" cm="1">
        <f t="array" ref="F45">GAMMAGREEK($B45,100,0.01,F$44,0.4)</f>
        <v>4.5154593932593247E-3</v>
      </c>
      <c r="G45" s="2" cm="1">
        <f t="array" ref="G45">GAMMAGREEK($B45,100,0.01,G$44,0.4)</f>
        <v>6.0564696070674372E-3</v>
      </c>
      <c r="H45" s="2" cm="1">
        <f t="array" ref="H45">GAMMAGREEK($B45,100,0.01,H$44,0.4)</f>
        <v>7.2373163235592624E-3</v>
      </c>
      <c r="I45" s="2" cm="1">
        <f t="array" ref="I45">GAMMAGREEK($B45,100,0.01,I$44,0.4)</f>
        <v>8.115678082205105E-3</v>
      </c>
      <c r="J45" s="2" cm="1">
        <f t="array" ref="J45">GAMMAGREEK($B45,100,0.01,J$44,0.4)</f>
        <v>8.7593020056123214E-3</v>
      </c>
      <c r="K45" s="2" cm="1">
        <f t="array" ref="K45">GAMMAGREEK($B45,100,0.01,K$44,0.4)</f>
        <v>9.2253016225118147E-3</v>
      </c>
      <c r="L45" s="2" cm="1">
        <f t="array" ref="L45">GAMMAGREEK($B45,100,0.01,L$44,0.4)</f>
        <v>9.5576656929775346E-3</v>
      </c>
      <c r="M45" s="2" cm="1">
        <f t="array" ref="M45">GAMMAGREEK($B45,100,0.01,M$44,0.4)</f>
        <v>9.7892873999446094E-3</v>
      </c>
      <c r="N45" s="2" cm="1">
        <f t="array" ref="N45">GAMMAGREEK($B45,100,0.01,N$44,0.4)</f>
        <v>9.944582814253906E-3</v>
      </c>
      <c r="O45" s="2" cm="1">
        <f t="array" ref="O45">GAMMAGREEK($B45,100,0.01,O$44,0.4)</f>
        <v>1.004171139484562E-2</v>
      </c>
      <c r="P45" s="2" cm="1">
        <f t="array" ref="P45">GAMMAGREEK($B45,100,0.01,P$44,0.4)</f>
        <v>1.0094261190475519E-2</v>
      </c>
      <c r="Q45" s="2" cm="1">
        <f t="array" ref="Q45">GAMMAGREEK($B45,100,0.01,Q$44,0.4)</f>
        <v>1.0112478478021056E-2</v>
      </c>
      <c r="R45" s="2" cm="1">
        <f t="array" ref="R45">GAMMAGREEK($B45,100,0.01,R$44,0.4)</f>
        <v>1.0104153459948195E-2</v>
      </c>
      <c r="S45" s="2" cm="1">
        <f t="array" ref="S45">GAMMAGREEK($B45,100,0.01,S$44,0.4)</f>
        <v>1.0075257397688053E-2</v>
      </c>
      <c r="T45" s="2" cm="1">
        <f t="array" ref="T45">GAMMAGREEK($B45,100,0.01,T$44,0.4)</f>
        <v>1.0030402901750236E-2</v>
      </c>
      <c r="U45" s="2" cm="1">
        <f t="array" ref="U45">GAMMAGREEK($B45,100,0.01,U$44,0.4)</f>
        <v>9.9731787977041814E-3</v>
      </c>
      <c r="V45" s="2" cm="1">
        <f t="array" ref="V45">GAMMAGREEK($B45,100,0.01,V$44,0.4)</f>
        <v>9.9063957663700925E-3</v>
      </c>
      <c r="W45" s="2" cm="1">
        <f t="array" ref="W45">GAMMAGREEK($B45,100,0.01,W$44,0.4)</f>
        <v>9.8322681168232333E-3</v>
      </c>
      <c r="X45" s="2" cm="1">
        <f t="array" ref="X45">GAMMAGREEK($B45,100,0.01,X$44,0.4)</f>
        <v>9.7525494885344777E-3</v>
      </c>
      <c r="Y45" s="2" cm="1">
        <f t="array" ref="Y45">GAMMAGREEK($B45,100,0.01,Y$44,0.4)</f>
        <v>9.668635037794783E-3</v>
      </c>
      <c r="Z45" s="2" cm="1">
        <f t="array" ref="Z45">GAMMAGREEK($B45,100,0.01,Z$44,0.4)</f>
        <v>9.5816390291410918E-3</v>
      </c>
      <c r="AA45" s="2" cm="1">
        <f t="array" ref="AA45">GAMMAGREEK($B45,100,0.01,AA$44,0.4)</f>
        <v>9.4924542212675728E-3</v>
      </c>
      <c r="AB45" s="2" cm="1">
        <f t="array" ref="AB45">GAMMAGREEK($B45,100,0.01,AB$44,0.4)</f>
        <v>9.4017976626359322E-3</v>
      </c>
      <c r="AC45" s="2" cm="1">
        <f t="array" ref="AC45">GAMMAGREEK($B45,100,0.01,AC$44,0.4)</f>
        <v>9.3102462589133451E-3</v>
      </c>
      <c r="AD45" s="2" cm="1">
        <f t="array" ref="AD45">GAMMAGREEK($B45,100,0.01,AD$44,0.4)</f>
        <v>9.2182645821925185E-3</v>
      </c>
      <c r="AE45" s="2" cm="1">
        <f t="array" ref="AE45">GAMMAGREEK($B45,100,0.01,AE$44,0.4)</f>
        <v>9.1262267514567799E-3</v>
      </c>
      <c r="AF45" s="2" cm="1">
        <f t="array" ref="AF45">GAMMAGREEK($B45,100,0.01,AF$44,0.4)</f>
        <v>9.0344337501264971E-3</v>
      </c>
      <c r="AG45" s="2" cm="1">
        <f t="array" ref="AG45">GAMMAGREEK($B45,100,0.01,AG$44,0.4)</f>
        <v>8.9431272081820154E-3</v>
      </c>
      <c r="AH45" s="2" cm="1">
        <f t="array" ref="AH45">GAMMAGREEK($B45,100,0.01,AH$44,0.4)</f>
        <v>8.852500427484122E-3</v>
      </c>
      <c r="AI45" s="2" cm="1">
        <f t="array" ref="AI45">GAMMAGREEK($B45,100,0.01,AI$44,0.4)</f>
        <v>8.7627072444403514E-3</v>
      </c>
      <c r="AJ45" s="2" cm="1">
        <f t="array" ref="AJ45">GAMMAGREEK($B45,100,0.01,AJ$44,0.4)</f>
        <v>8.673869186417044E-3</v>
      </c>
      <c r="AK45" s="2" cm="1">
        <f t="array" ref="AK45">GAMMAGREEK($B45,100,0.01,AK$44,0.4)</f>
        <v>8.5860812747068065E-3</v>
      </c>
      <c r="AL45" s="2" cm="1">
        <f t="array" ref="AL45">GAMMAGREEK($B45,100,0.01,AL$44,0.4)</f>
        <v>8.4994167484282335E-3</v>
      </c>
      <c r="AM45" s="2" cm="1">
        <f t="array" ref="AM45">GAMMAGREEK($B45,100,0.01,AM$44,0.4)</f>
        <v>8.4139309239628229E-3</v>
      </c>
      <c r="AN45" s="2" cm="1">
        <f t="array" ref="AN45">GAMMAGREEK($B45,100,0.01,AN$44,0.4)</f>
        <v>8.3296643586991456E-3</v>
      </c>
      <c r="AO45" s="2" cm="1">
        <f t="array" ref="AO45">GAMMAGREEK($B45,100,0.01,AO$44,0.4)</f>
        <v>8.2466454524977324E-3</v>
      </c>
      <c r="AP45" s="2" cm="1">
        <f t="array" ref="AP45">GAMMAGREEK($B45,100,0.01,AP$44,0.4)</f>
        <v>8.1648925928612774E-3</v>
      </c>
      <c r="AQ45" s="2" cm="1">
        <f t="array" ref="AQ45">GAMMAGREEK($B45,100,0.01,AQ$44,0.4)</f>
        <v>8.084415928400264E-3</v>
      </c>
      <c r="AR45" s="2" cm="1">
        <f t="array" ref="AR45">GAMMAGREEK($B45,100,0.01,AR$44,0.4)</f>
        <v>8.0052188384100702E-3</v>
      </c>
      <c r="AS45" s="2" cm="1">
        <f t="array" ref="AS45">GAMMAGREEK($B45,100,0.01,AS$44,0.4)</f>
        <v>7.9272991531588004E-3</v>
      </c>
      <c r="AT45" s="2" cm="1">
        <f t="array" ref="AT45">GAMMAGREEK($B45,100,0.01,AT$44,0.4)</f>
        <v>7.8506501690217539E-3</v>
      </c>
      <c r="AU45" s="2" cm="1">
        <f t="array" ref="AU45">GAMMAGREEK($B45,100,0.01,AU$44,0.4)</f>
        <v>7.7752614942776816E-3</v>
      </c>
      <c r="AV45" s="2" cm="1">
        <f t="array" ref="AV45">GAMMAGREEK($B45,100,0.01,AV$44,0.4)</f>
        <v>7.7011197547360005E-3</v>
      </c>
      <c r="AW45" s="2" cm="1">
        <f t="array" ref="AW45">GAMMAGREEK($B45,100,0.01,AW$44,0.4)</f>
        <v>7.6282091830343719E-3</v>
      </c>
      <c r="AX45" s="2" cm="1">
        <f t="array" ref="AX45">GAMMAGREEK($B45,100,0.01,AX$44,0.4)</f>
        <v>7.5565121111543813E-3</v>
      </c>
      <c r="AY45" s="2" cm="1">
        <f t="array" ref="AY45">GAMMAGREEK($B45,100,0.01,AY$44,0.4)</f>
        <v>7.4860093822346407E-3</v>
      </c>
      <c r="AZ45" s="2" cm="1">
        <f t="array" ref="AZ45">GAMMAGREEK($B45,100,0.01,AZ$44,0.4)</f>
        <v>7.4166806949471E-3</v>
      </c>
    </row>
    <row r="46" spans="1:52" x14ac:dyDescent="0.3">
      <c r="A46" s="2"/>
      <c r="B46" s="2">
        <v>65</v>
      </c>
      <c r="C46" s="2" cm="1">
        <f t="array" ref="C46">GAMMAGREEK($B46,100,0.01,C$44,0.4)</f>
        <v>1.8686139683275071E-4</v>
      </c>
      <c r="D46" s="2" cm="1">
        <f t="array" ref="D46">GAMMAGREEK($B46,100,0.01,D$44,0.4)</f>
        <v>2.3943206611075122E-3</v>
      </c>
      <c r="E46" s="2" cm="1">
        <f t="array" ref="E46">GAMMAGREEK($B46,100,0.01,E$44,0.4)</f>
        <v>5.1262099002038026E-3</v>
      </c>
      <c r="F46" s="2" cm="1">
        <f t="array" ref="F46">GAMMAGREEK($B46,100,0.01,F$44,0.4)</f>
        <v>7.1797151370505026E-3</v>
      </c>
      <c r="G46" s="2" cm="1">
        <f t="array" ref="G46">GAMMAGREEK($B46,100,0.01,G$44,0.4)</f>
        <v>8.560134762872651E-3</v>
      </c>
      <c r="H46" s="2" cm="1">
        <f t="array" ref="H46">GAMMAGREEK($B46,100,0.01,H$44,0.4)</f>
        <v>9.4567622958321093E-3</v>
      </c>
      <c r="I46" s="2" cm="1">
        <f t="array" ref="I46">GAMMAGREEK($B46,100,0.01,I$44,0.4)</f>
        <v>1.0026176435365509E-2</v>
      </c>
      <c r="J46" s="2" cm="1">
        <f t="array" ref="J46">GAMMAGREEK($B46,100,0.01,J$44,0.4)</f>
        <v>1.0375624380939861E-2</v>
      </c>
      <c r="K46" s="2" cm="1">
        <f t="array" ref="K46">GAMMAGREEK($B46,100,0.01,K$44,0.4)</f>
        <v>1.0575930527762914E-2</v>
      </c>
      <c r="L46" s="2" cm="1">
        <f t="array" ref="L46">GAMMAGREEK($B46,100,0.01,L$44,0.4)</f>
        <v>1.0673932942462667E-2</v>
      </c>
      <c r="M46" s="2" cm="1">
        <f t="array" ref="M46">GAMMAGREEK($B46,100,0.01,M$44,0.4)</f>
        <v>1.0701009892894842E-2</v>
      </c>
      <c r="N46" s="2" cm="1">
        <f t="array" ref="N46">GAMMAGREEK($B46,100,0.01,N$44,0.4)</f>
        <v>1.0678521642016296E-2</v>
      </c>
      <c r="O46" s="2" cm="1">
        <f t="array" ref="O46">GAMMAGREEK($B46,100,0.01,O$44,0.4)</f>
        <v>1.0621243082661725E-2</v>
      </c>
      <c r="P46" s="2" cm="1">
        <f t="array" ref="P46">GAMMAGREEK($B46,100,0.01,P$44,0.4)</f>
        <v>1.0539546103144101E-2</v>
      </c>
      <c r="Q46" s="2" cm="1">
        <f t="array" ref="Q46">GAMMAGREEK($B46,100,0.01,Q$44,0.4)</f>
        <v>1.0440807842492177E-2</v>
      </c>
      <c r="R46" s="2" cm="1">
        <f t="array" ref="R46">GAMMAGREEK($B46,100,0.01,R$44,0.4)</f>
        <v>1.0330335071862628E-2</v>
      </c>
      <c r="S46" s="2" cm="1">
        <f t="array" ref="S46">GAMMAGREEK($B46,100,0.01,S$44,0.4)</f>
        <v>1.0211981539484147E-2</v>
      </c>
      <c r="T46" s="2" cm="1">
        <f t="array" ref="T46">GAMMAGREEK($B46,100,0.01,T$44,0.4)</f>
        <v>1.0088567174561443E-2</v>
      </c>
      <c r="U46" s="2" cm="1">
        <f t="array" ref="U46">GAMMAGREEK($B46,100,0.01,U$44,0.4)</f>
        <v>9.9621672220586519E-3</v>
      </c>
      <c r="V46" s="2" cm="1">
        <f t="array" ref="V46">GAMMAGREEK($B46,100,0.01,V$44,0.4)</f>
        <v>9.8343145705267424E-3</v>
      </c>
      <c r="W46" s="2" cm="1">
        <f t="array" ref="W46">GAMMAGREEK($B46,100,0.01,W$44,0.4)</f>
        <v>9.7061432311149349E-3</v>
      </c>
      <c r="X46" s="2" cm="1">
        <f t="array" ref="X46">GAMMAGREEK($B46,100,0.01,X$44,0.4)</f>
        <v>9.5784913318325438E-3</v>
      </c>
      <c r="Y46" s="2" cm="1">
        <f t="array" ref="Y46">GAMMAGREEK($B46,100,0.01,Y$44,0.4)</f>
        <v>9.4519758777882358E-3</v>
      </c>
      <c r="Z46" s="2" cm="1">
        <f t="array" ref="Z46">GAMMAGREEK($B46,100,0.01,Z$44,0.4)</f>
        <v>9.3270475702935569E-3</v>
      </c>
      <c r="AA46" s="2" cm="1">
        <f t="array" ref="AA46">GAMMAGREEK($B46,100,0.01,AA$44,0.4)</f>
        <v>9.2040313760420982E-3</v>
      </c>
      <c r="AB46" s="2" cm="1">
        <f t="array" ref="AB46">GAMMAGREEK($B46,100,0.01,AB$44,0.4)</f>
        <v>9.0831568024816907E-3</v>
      </c>
      <c r="AC46" s="2" cm="1">
        <f t="array" ref="AC46">GAMMAGREEK($B46,100,0.01,AC$44,0.4)</f>
        <v>8.9645806624612974E-3</v>
      </c>
      <c r="AD46" s="2" cm="1">
        <f t="array" ref="AD46">GAMMAGREEK($B46,100,0.01,AD$44,0.4)</f>
        <v>8.8484043079599464E-3</v>
      </c>
      <c r="AE46" s="2" cm="1">
        <f t="array" ref="AE46">GAMMAGREEK($B46,100,0.01,AE$44,0.4)</f>
        <v>8.7346867559825736E-3</v>
      </c>
      <c r="AF46" s="2" cm="1">
        <f t="array" ref="AF46">GAMMAGREEK($B46,100,0.01,AF$44,0.4)</f>
        <v>8.6234547394859994E-3</v>
      </c>
      <c r="AG46" s="2" cm="1">
        <f t="array" ref="AG46">GAMMAGREEK($B46,100,0.01,AG$44,0.4)</f>
        <v>8.5147104397741459E-3</v>
      </c>
      <c r="AH46" s="2" cm="1">
        <f t="array" ref="AH46">GAMMAGREEK($B46,100,0.01,AH$44,0.4)</f>
        <v>8.4084374590375956E-3</v>
      </c>
      <c r="AI46" s="2" cm="1">
        <f t="array" ref="AI46">GAMMAGREEK($B46,100,0.01,AI$44,0.4)</f>
        <v>8.3046054489028936E-3</v>
      </c>
      <c r="AJ46" s="2" cm="1">
        <f t="array" ref="AJ46">GAMMAGREEK($B46,100,0.01,AJ$44,0.4)</f>
        <v>8.2031737068264162E-3</v>
      </c>
      <c r="AK46" s="2" cm="1">
        <f t="array" ref="AK46">GAMMAGREEK($B46,100,0.01,AK$44,0.4)</f>
        <v>8.1040939757623769E-3</v>
      </c>
      <c r="AL46" s="2" cm="1">
        <f t="array" ref="AL46">GAMMAGREEK($B46,100,0.01,AL$44,0.4)</f>
        <v>8.0073126259845445E-3</v>
      </c>
      <c r="AM46" s="2" cm="1">
        <f t="array" ref="AM46">GAMMAGREEK($B46,100,0.01,AM$44,0.4)</f>
        <v>7.9127723557828548E-3</v>
      </c>
      <c r="AN46" s="2" cm="1">
        <f t="array" ref="AN46">GAMMAGREEK($B46,100,0.01,AN$44,0.4)</f>
        <v>7.8204135161118182E-3</v>
      </c>
      <c r="AO46" s="2" cm="1">
        <f t="array" ref="AO46">GAMMAGREEK($B46,100,0.01,AO$44,0.4)</f>
        <v>7.7301751403628539E-3</v>
      </c>
      <c r="AP46" s="2" cm="1">
        <f t="array" ref="AP46">GAMMAGREEK($B46,100,0.01,AP$44,0.4)</f>
        <v>7.6419957422653607E-3</v>
      </c>
      <c r="AQ46" s="2" cm="1">
        <f t="array" ref="AQ46">GAMMAGREEK($B46,100,0.01,AQ$44,0.4)</f>
        <v>7.5558139310358098E-3</v>
      </c>
      <c r="AR46" s="2" cm="1">
        <f t="array" ref="AR46">GAMMAGREEK($B46,100,0.01,AR$44,0.4)</f>
        <v>7.4715688822247373E-3</v>
      </c>
      <c r="AS46" s="2" cm="1">
        <f t="array" ref="AS46">GAMMAGREEK($B46,100,0.01,AS$44,0.4)</f>
        <v>7.3892006944719446E-3</v>
      </c>
      <c r="AT46" s="2" cm="1">
        <f t="array" ref="AT46">GAMMAGREEK($B46,100,0.01,AT$44,0.4)</f>
        <v>7.3086506559871681E-3</v>
      </c>
      <c r="AU46" s="2" cm="1">
        <f t="array" ref="AU46">GAMMAGREEK($B46,100,0.01,AU$44,0.4)</f>
        <v>7.2298614395912694E-3</v>
      </c>
      <c r="AV46" s="2" cm="1">
        <f t="array" ref="AV46">GAMMAGREEK($B46,100,0.01,AV$44,0.4)</f>
        <v>7.1527772412538502E-3</v>
      </c>
      <c r="AW46" s="2" cm="1">
        <f t="array" ref="AW46">GAMMAGREEK($B46,100,0.01,AW$44,0.4)</f>
        <v>7.0773438740003042E-3</v>
      </c>
      <c r="AX46" s="2" cm="1">
        <f t="array" ref="AX46">GAMMAGREEK($B46,100,0.01,AX$44,0.4)</f>
        <v>7.0035088266460158E-3</v>
      </c>
      <c r="AY46" s="2" cm="1">
        <f t="array" ref="AY46">GAMMAGREEK($B46,100,0.01,AY$44,0.4)</f>
        <v>6.9312212949049776E-3</v>
      </c>
      <c r="AZ46" s="2" cm="1">
        <f t="array" ref="AZ46">GAMMAGREEK($B46,100,0.01,AZ$44,0.4)</f>
        <v>6.8604321909037057E-3</v>
      </c>
    </row>
    <row r="47" spans="1:52" x14ac:dyDescent="0.3">
      <c r="A47" s="2"/>
      <c r="B47" s="2">
        <v>70</v>
      </c>
      <c r="C47" s="2" cm="1">
        <f t="array" ref="C47">GAMMAGREEK($B47,100,0.01,C$44,0.4)</f>
        <v>1.0309404557752424E-3</v>
      </c>
      <c r="D47" s="2" cm="1">
        <f t="array" ref="D47">GAMMAGREEK($B47,100,0.01,D$44,0.4)</f>
        <v>5.3075613758233487E-3</v>
      </c>
      <c r="E47" s="2" cm="1">
        <f t="array" ref="E47">GAMMAGREEK($B47,100,0.01,E$44,0.4)</f>
        <v>8.3851081862422686E-3</v>
      </c>
      <c r="F47" s="2" cm="1">
        <f t="array" ref="F47">GAMMAGREEK($B47,100,0.01,F$44,0.4)</f>
        <v>1.0088330127171414E-2</v>
      </c>
      <c r="G47" s="2" cm="1">
        <f t="array" ref="G47">GAMMAGREEK($B47,100,0.01,G$44,0.4)</f>
        <v>1.0979752382444532E-2</v>
      </c>
      <c r="H47" s="2" cm="1">
        <f t="array" ref="H47">GAMMAGREEK($B47,100,0.01,H$44,0.4)</f>
        <v>1.1414432692899415E-2</v>
      </c>
      <c r="I47" s="2" cm="1">
        <f t="array" ref="I47">GAMMAGREEK($B47,100,0.01,I$44,0.4)</f>
        <v>1.1587506687583985E-2</v>
      </c>
      <c r="J47" s="2" cm="1">
        <f t="array" ref="J47">GAMMAGREEK($B47,100,0.01,J$44,0.4)</f>
        <v>1.1607160589983252E-2</v>
      </c>
      <c r="K47" s="2" cm="1">
        <f t="array" ref="K47">GAMMAGREEK($B47,100,0.01,K$44,0.4)</f>
        <v>1.153533750799713E-2</v>
      </c>
      <c r="L47" s="2" cm="1">
        <f t="array" ref="L47">GAMMAGREEK($B47,100,0.01,L$44,0.4)</f>
        <v>1.1408699948366722E-2</v>
      </c>
      <c r="M47" s="2" cm="1">
        <f t="array" ref="M47">GAMMAGREEK($B47,100,0.01,M$44,0.4)</f>
        <v>1.1249583159032678E-2</v>
      </c>
      <c r="N47" s="2" cm="1">
        <f t="array" ref="N47">GAMMAGREEK($B47,100,0.01,N$44,0.4)</f>
        <v>1.1071915883561084E-2</v>
      </c>
      <c r="O47" s="2" cm="1">
        <f t="array" ref="O47">GAMMAGREEK($B47,100,0.01,O$44,0.4)</f>
        <v>1.0884539366481498E-2</v>
      </c>
      <c r="P47" s="2" cm="1">
        <f t="array" ref="P47">GAMMAGREEK($B47,100,0.01,P$44,0.4)</f>
        <v>1.0693132580429842E-2</v>
      </c>
      <c r="Q47" s="2" cm="1">
        <f t="array" ref="Q47">GAMMAGREEK($B47,100,0.01,Q$44,0.4)</f>
        <v>1.0501363840256982E-2</v>
      </c>
      <c r="R47" s="2" cm="1">
        <f t="array" ref="R47">GAMMAGREEK($B47,100,0.01,R$44,0.4)</f>
        <v>1.0311598640522075E-2</v>
      </c>
      <c r="S47" s="2" cm="1">
        <f t="array" ref="S47">GAMMAGREEK($B47,100,0.01,S$44,0.4)</f>
        <v>1.0125345216686066E-2</v>
      </c>
      <c r="T47" s="2" cm="1">
        <f t="array" ref="T47">GAMMAGREEK($B47,100,0.01,T$44,0.4)</f>
        <v>9.9435409015304552E-3</v>
      </c>
      <c r="U47" s="2" cm="1">
        <f t="array" ref="U47">GAMMAGREEK($B47,100,0.01,U$44,0.4)</f>
        <v>9.7667395123176726E-3</v>
      </c>
      <c r="V47" s="2" cm="1">
        <f t="array" ref="V47">GAMMAGREEK($B47,100,0.01,V$44,0.4)</f>
        <v>9.5952358950200951E-3</v>
      </c>
      <c r="W47" s="2" cm="1">
        <f t="array" ref="W47">GAMMAGREEK($B47,100,0.01,W$44,0.4)</f>
        <v>9.4291498049025001E-3</v>
      </c>
      <c r="X47" s="2" cm="1">
        <f t="array" ref="X47">GAMMAGREEK($B47,100,0.01,X$44,0.4)</f>
        <v>9.2684830301576794E-3</v>
      </c>
      <c r="Y47" s="2" cm="1">
        <f t="array" ref="Y47">GAMMAGREEK($B47,100,0.01,Y$44,0.4)</f>
        <v>9.1131586456083078E-3</v>
      </c>
      <c r="Z47" s="2" cm="1">
        <f t="array" ref="Z47">GAMMAGREEK($B47,100,0.01,Z$44,0.4)</f>
        <v>8.963048173947193E-3</v>
      </c>
      <c r="AA47" s="2" cm="1">
        <f t="array" ref="AA47">GAMMAGREEK($B47,100,0.01,AA$44,0.4)</f>
        <v>8.8179904690949967E-3</v>
      </c>
      <c r="AB47" s="2" cm="1">
        <f t="array" ref="AB47">GAMMAGREEK($B47,100,0.01,AB$44,0.4)</f>
        <v>8.6778048757191854E-3</v>
      </c>
      <c r="AC47" s="2" cm="1">
        <f t="array" ref="AC47">GAMMAGREEK($B47,100,0.01,AC$44,0.4)</f>
        <v>8.5423003966764704E-3</v>
      </c>
      <c r="AD47" s="2" cm="1">
        <f t="array" ref="AD47">GAMMAGREEK($B47,100,0.01,AD$44,0.4)</f>
        <v>8.4112820560071667E-3</v>
      </c>
      <c r="AE47" s="2" cm="1">
        <f t="array" ref="AE47">GAMMAGREEK($B47,100,0.01,AE$44,0.4)</f>
        <v>8.2845552802914592E-3</v>
      </c>
      <c r="AF47" s="2" cm="1">
        <f t="array" ref="AF47">GAMMAGREEK($B47,100,0.01,AF$44,0.4)</f>
        <v>8.1619288736357928E-3</v>
      </c>
      <c r="AG47" s="2" cm="1">
        <f t="array" ref="AG47">GAMMAGREEK($B47,100,0.01,AG$44,0.4)</f>
        <v>8.0432169917437311E-3</v>
      </c>
      <c r="AH47" s="2" cm="1">
        <f t="array" ref="AH47">GAMMAGREEK($B47,100,0.01,AH$44,0.4)</f>
        <v>7.9282404028625832E-3</v>
      </c>
      <c r="AI47" s="2" cm="1">
        <f t="array" ref="AI47">GAMMAGREEK($B47,100,0.01,AI$44,0.4)</f>
        <v>7.8168272411229551E-3</v>
      </c>
      <c r="AJ47" s="2" cm="1">
        <f t="array" ref="AJ47">GAMMAGREEK($B47,100,0.01,AJ$44,0.4)</f>
        <v>7.7088133997810912E-3</v>
      </c>
      <c r="AK47" s="2" cm="1">
        <f t="array" ref="AK47">GAMMAGREEK($B47,100,0.01,AK$44,0.4)</f>
        <v>7.6040426706684471E-3</v>
      </c>
      <c r="AL47" s="2" cm="1">
        <f t="array" ref="AL47">GAMMAGREEK($B47,100,0.01,AL$44,0.4)</f>
        <v>7.5023667066850298E-3</v>
      </c>
      <c r="AM47" s="2" cm="1">
        <f t="array" ref="AM47">GAMMAGREEK($B47,100,0.01,AM$44,0.4)</f>
        <v>7.4036448629727619E-3</v>
      </c>
      <c r="AN47" s="2" cm="1">
        <f t="array" ref="AN47">GAMMAGREEK($B47,100,0.01,AN$44,0.4)</f>
        <v>7.3077439570722593E-3</v>
      </c>
      <c r="AO47" s="2" cm="1">
        <f t="array" ref="AO47">GAMMAGREEK($B47,100,0.01,AO$44,0.4)</f>
        <v>7.2145379772270432E-3</v>
      </c>
      <c r="AP47" s="2" cm="1">
        <f t="array" ref="AP47">GAMMAGREEK($B47,100,0.01,AP$44,0.4)</f>
        <v>7.123907759875891E-3</v>
      </c>
      <c r="AQ47" s="2" cm="1">
        <f t="array" ref="AQ47">GAMMAGREEK($B47,100,0.01,AQ$44,0.4)</f>
        <v>7.0357406514323659E-3</v>
      </c>
      <c r="AR47" s="2" cm="1">
        <f t="array" ref="AR47">GAMMAGREEK($B47,100,0.01,AR$44,0.4)</f>
        <v>6.9499301650956377E-3</v>
      </c>
      <c r="AS47" s="2" cm="1">
        <f t="array" ref="AS47">GAMMAGREEK($B47,100,0.01,AS$44,0.4)</f>
        <v>6.8663756402408153E-3</v>
      </c>
      <c r="AT47" s="2" cm="1">
        <f t="array" ref="AT47">GAMMAGREEK($B47,100,0.01,AT$44,0.4)</f>
        <v>6.7849819095913691E-3</v>
      </c>
      <c r="AU47" s="2" cm="1">
        <f t="array" ref="AU47">GAMMAGREEK($B47,100,0.01,AU$44,0.4)</f>
        <v>6.7056589776566932E-3</v>
      </c>
      <c r="AV47" s="2" cm="1">
        <f t="array" ref="AV47">GAMMAGREEK($B47,100,0.01,AV$44,0.4)</f>
        <v>6.6283217126602489E-3</v>
      </c>
      <c r="AW47" s="2" cm="1">
        <f t="array" ref="AW47">GAMMAGREEK($B47,100,0.01,AW$44,0.4)</f>
        <v>6.5528895532683453E-3</v>
      </c>
      <c r="AX47" s="2" cm="1">
        <f t="array" ref="AX47">GAMMAGREEK($B47,100,0.01,AX$44,0.4)</f>
        <v>6.4792862307674727E-3</v>
      </c>
      <c r="AY47" s="2" cm="1">
        <f t="array" ref="AY47">GAMMAGREEK($B47,100,0.01,AY$44,0.4)</f>
        <v>6.4074395068641817E-3</v>
      </c>
      <c r="AZ47" s="2" cm="1">
        <f t="array" ref="AZ47">GAMMAGREEK($B47,100,0.01,AZ$44,0.4)</f>
        <v>6.3372809269468793E-3</v>
      </c>
    </row>
    <row r="48" spans="1:52" x14ac:dyDescent="0.3">
      <c r="A48" s="2"/>
      <c r="B48" s="2">
        <v>75</v>
      </c>
      <c r="C48" s="2" cm="1">
        <f t="array" ref="C48">GAMMAGREEK($B48,100,0.01,C$44,0.4)</f>
        <v>3.7133014645969629E-3</v>
      </c>
      <c r="D48" s="2" cm="1">
        <f t="array" ref="D48">GAMMAGREEK($B48,100,0.01,D$44,0.4)</f>
        <v>9.5444206122242969E-3</v>
      </c>
      <c r="E48" s="2" cm="1">
        <f t="array" ref="E48">GAMMAGREEK($B48,100,0.01,E$44,0.4)</f>
        <v>1.1962056649825076E-2</v>
      </c>
      <c r="F48" s="2" cm="1">
        <f t="array" ref="F48">GAMMAGREEK($B48,100,0.01,F$44,0.4)</f>
        <v>1.281851717853775E-2</v>
      </c>
      <c r="G48" s="2" cm="1">
        <f t="array" ref="G48">GAMMAGREEK($B48,100,0.01,G$44,0.4)</f>
        <v>1.3014990097403468E-2</v>
      </c>
      <c r="H48" s="2" cm="1">
        <f t="array" ref="H48">GAMMAGREEK($B48,100,0.01,H$44,0.4)</f>
        <v>1.2917966546806091E-2</v>
      </c>
      <c r="I48" s="2" cm="1">
        <f t="array" ref="I48">GAMMAGREEK($B48,100,0.01,I$44,0.4)</f>
        <v>1.2687161977676E-2</v>
      </c>
      <c r="J48" s="2" cm="1">
        <f t="array" ref="J48">GAMMAGREEK($B48,100,0.01,J$44,0.4)</f>
        <v>1.2397281908733668E-2</v>
      </c>
      <c r="K48" s="2" cm="1">
        <f t="array" ref="K48">GAMMAGREEK($B48,100,0.01,K$44,0.4)</f>
        <v>1.2085121185051761E-2</v>
      </c>
      <c r="L48" s="2" cm="1">
        <f t="array" ref="L48">GAMMAGREEK($B48,100,0.01,L$44,0.4)</f>
        <v>1.1769365170574513E-2</v>
      </c>
      <c r="M48" s="2" cm="1">
        <f t="array" ref="M48">GAMMAGREEK($B48,100,0.01,M$44,0.4)</f>
        <v>1.145957109426283E-2</v>
      </c>
      <c r="N48" s="2" cm="1">
        <f t="array" ref="N48">GAMMAGREEK($B48,100,0.01,N$44,0.4)</f>
        <v>1.1160506927928193E-2</v>
      </c>
      <c r="O48" s="2" cm="1">
        <f t="array" ref="O48">GAMMAGREEK($B48,100,0.01,O$44,0.4)</f>
        <v>1.0874357520444772E-2</v>
      </c>
      <c r="P48" s="2" cm="1">
        <f t="array" ref="P48">GAMMAGREEK($B48,100,0.01,P$44,0.4)</f>
        <v>1.0601893240735844E-2</v>
      </c>
      <c r="Q48" s="2" cm="1">
        <f t="array" ref="Q48">GAMMAGREEK($B48,100,0.01,Q$44,0.4)</f>
        <v>1.0343109283665915E-2</v>
      </c>
      <c r="R48" s="2" cm="1">
        <f t="array" ref="R48">GAMMAGREEK($B48,100,0.01,R$44,0.4)</f>
        <v>1.0097583989991747E-2</v>
      </c>
      <c r="S48" s="2" cm="1">
        <f t="array" ref="S48">GAMMAGREEK($B48,100,0.01,S$44,0.4)</f>
        <v>9.8646830425647026E-3</v>
      </c>
      <c r="T48" s="2" cm="1">
        <f t="array" ref="T48">GAMMAGREEK($B48,100,0.01,T$44,0.4)</f>
        <v>9.6436768269237364E-3</v>
      </c>
      <c r="U48" s="2" cm="1">
        <f t="array" ref="U48">GAMMAGREEK($B48,100,0.01,U$44,0.4)</f>
        <v>9.4338078083810763E-3</v>
      </c>
      <c r="V48" s="2" cm="1">
        <f t="array" ref="V48">GAMMAGREEK($B48,100,0.01,V$44,0.4)</f>
        <v>9.2343286657363254E-3</v>
      </c>
      <c r="W48" s="2" cm="1">
        <f t="array" ref="W48">GAMMAGREEK($B48,100,0.01,W$44,0.4)</f>
        <v>9.0445231252792909E-3</v>
      </c>
      <c r="X48" s="2" cm="1">
        <f t="array" ref="X48">GAMMAGREEK($B48,100,0.01,X$44,0.4)</f>
        <v>8.8637165056884605E-3</v>
      </c>
      <c r="Y48" s="2" cm="1">
        <f t="array" ref="Y48">GAMMAGREEK($B48,100,0.01,Y$44,0.4)</f>
        <v>8.691280152836817E-3</v>
      </c>
      <c r="Z48" s="2" cm="1">
        <f t="array" ref="Z48">GAMMAGREEK($B48,100,0.01,Z$44,0.4)</f>
        <v>8.5266322851625959E-3</v>
      </c>
      <c r="AA48" s="2" cm="1">
        <f t="array" ref="AA48">GAMMAGREEK($B48,100,0.01,AA$44,0.4)</f>
        <v>8.3692367821851365E-3</v>
      </c>
      <c r="AB48" s="2" cm="1">
        <f t="array" ref="AB48">GAMMAGREEK($B48,100,0.01,AB$44,0.4)</f>
        <v>8.218600851462041E-3</v>
      </c>
      <c r="AC48" s="2" cm="1">
        <f t="array" ref="AC48">GAMMAGREEK($B48,100,0.01,AC$44,0.4)</f>
        <v>8.0742721439561651E-3</v>
      </c>
      <c r="AD48" s="2" cm="1">
        <f t="array" ref="AD48">GAMMAGREEK($B48,100,0.01,AD$44,0.4)</f>
        <v>7.9358356622989679E-3</v>
      </c>
      <c r="AE48" s="2" cm="1">
        <f t="array" ref="AE48">GAMMAGREEK($B48,100,0.01,AE$44,0.4)</f>
        <v>7.8029106664134658E-3</v>
      </c>
      <c r="AF48" s="2" cm="1">
        <f t="array" ref="AF48">GAMMAGREEK($B48,100,0.01,AF$44,0.4)</f>
        <v>7.6751476937604139E-3</v>
      </c>
      <c r="AG48" s="2" cm="1">
        <f t="array" ref="AG48">GAMMAGREEK($B48,100,0.01,AG$44,0.4)</f>
        <v>7.5522257572309421E-3</v>
      </c>
      <c r="AH48" s="2" cm="1">
        <f t="array" ref="AH48">GAMMAGREEK($B48,100,0.01,AH$44,0.4)</f>
        <v>7.4338497501826228E-3</v>
      </c>
      <c r="AI48" s="2" cm="1">
        <f t="array" ref="AI48">GAMMAGREEK($B48,100,0.01,AI$44,0.4)</f>
        <v>7.3197480676726566E-3</v>
      </c>
      <c r="AJ48" s="2" cm="1">
        <f t="array" ref="AJ48">GAMMAGREEK($B48,100,0.01,AJ$44,0.4)</f>
        <v>7.2096704407805133E-3</v>
      </c>
      <c r="AK48" s="2" cm="1">
        <f t="array" ref="AK48">GAMMAGREEK($B48,100,0.01,AK$44,0.4)</f>
        <v>7.1033859739895473E-3</v>
      </c>
      <c r="AL48" s="2" cm="1">
        <f t="array" ref="AL48">GAMMAGREEK($B48,100,0.01,AL$44,0.4)</f>
        <v>7.000681371971444E-3</v>
      </c>
      <c r="AM48" s="2" cm="1">
        <f t="array" ref="AM48">GAMMAGREEK($B48,100,0.01,AM$44,0.4)</f>
        <v>6.9013593405458373E-3</v>
      </c>
      <c r="AN48" s="2" cm="1">
        <f t="array" ref="AN48">GAMMAGREEK($B48,100,0.01,AN$44,0.4)</f>
        <v>6.8052371462721008E-3</v>
      </c>
      <c r="AO48" s="2" cm="1">
        <f t="array" ref="AO48">GAMMAGREEK($B48,100,0.01,AO$44,0.4)</f>
        <v>6.7121453195596341E-3</v>
      </c>
      <c r="AP48" s="2" cm="1">
        <f t="array" ref="AP48">GAMMAGREEK($B48,100,0.01,AP$44,0.4)</f>
        <v>6.6219264870299895E-3</v>
      </c>
      <c r="AQ48" s="2" cm="1">
        <f t="array" ref="AQ48">GAMMAGREEK($B48,100,0.01,AQ$44,0.4)</f>
        <v>6.5344343199215584E-3</v>
      </c>
      <c r="AR48" s="2" cm="1">
        <f t="array" ref="AR48">GAMMAGREEK($B48,100,0.01,AR$44,0.4)</f>
        <v>6.4495325864659288E-3</v>
      </c>
      <c r="AS48" s="2" cm="1">
        <f t="array" ref="AS48">GAMMAGREEK($B48,100,0.01,AS$44,0.4)</f>
        <v>6.3670942973051564E-3</v>
      </c>
      <c r="AT48" s="2" cm="1">
        <f t="array" ref="AT48">GAMMAGREEK($B48,100,0.01,AT$44,0.4)</f>
        <v>6.2870009341146034E-3</v>
      </c>
      <c r="AU48" s="2" cm="1">
        <f t="array" ref="AU48">GAMMAGREEK($B48,100,0.01,AU$44,0.4)</f>
        <v>6.2091417526213425E-3</v>
      </c>
      <c r="AV48" s="2" cm="1">
        <f t="array" ref="AV48">GAMMAGREEK($B48,100,0.01,AV$44,0.4)</f>
        <v>6.1334131521509037E-3</v>
      </c>
      <c r="AW48" s="2" cm="1">
        <f t="array" ref="AW48">GAMMAGREEK($B48,100,0.01,AW$44,0.4)</f>
        <v>6.0597181046920133E-3</v>
      </c>
      <c r="AX48" s="2" cm="1">
        <f t="array" ref="AX48">GAMMAGREEK($B48,100,0.01,AX$44,0.4)</f>
        <v>5.987965637240673E-3</v>
      </c>
      <c r="AY48" s="2" cm="1">
        <f t="array" ref="AY48">GAMMAGREEK($B48,100,0.01,AY$44,0.4)</f>
        <v>5.9180703618761264E-3</v>
      </c>
      <c r="AZ48" s="2" cm="1">
        <f t="array" ref="AZ48">GAMMAGREEK($B48,100,0.01,AZ$44,0.4)</f>
        <v>5.8499520486373366E-3</v>
      </c>
    </row>
    <row r="49" spans="1:52" x14ac:dyDescent="0.3">
      <c r="A49" s="2"/>
      <c r="B49" s="2">
        <v>80</v>
      </c>
      <c r="C49" s="2" cm="1">
        <f t="array" ref="C49">GAMMAGREEK($B49,100,0.01,C$44,0.4)</f>
        <v>9.4058115353356283E-3</v>
      </c>
      <c r="D49" s="2" cm="1">
        <f t="array" ref="D49">GAMMAGREEK($B49,100,0.01,D$44,0.4)</f>
        <v>1.4443424030823897E-2</v>
      </c>
      <c r="E49" s="2" cm="1">
        <f t="array" ref="E49">GAMMAGREEK($B49,100,0.01,E$44,0.4)</f>
        <v>1.5245954603357852E-2</v>
      </c>
      <c r="F49" s="2" cm="1">
        <f t="array" ref="F49">GAMMAGREEK($B49,100,0.01,F$44,0.4)</f>
        <v>1.4993417874434044E-2</v>
      </c>
      <c r="G49" s="2" cm="1">
        <f t="array" ref="G49">GAMMAGREEK($B49,100,0.01,G$44,0.4)</f>
        <v>1.445889654252335E-2</v>
      </c>
      <c r="H49" s="2" cm="1">
        <f t="array" ref="H49">GAMMAGREEK($B49,100,0.01,H$44,0.4)</f>
        <v>1.3866635473277537E-2</v>
      </c>
      <c r="I49" s="2" cm="1">
        <f t="array" ref="I49">GAMMAGREEK($B49,100,0.01,I$44,0.4)</f>
        <v>1.3288877874791492E-2</v>
      </c>
      <c r="J49" s="2" cm="1">
        <f t="array" ref="J49">GAMMAGREEK($B49,100,0.01,J$44,0.4)</f>
        <v>1.2748540394619342E-2</v>
      </c>
      <c r="K49" s="2" cm="1">
        <f t="array" ref="K49">GAMMAGREEK($B49,100,0.01,K$44,0.4)</f>
        <v>1.2250975700260651E-2</v>
      </c>
      <c r="L49" s="2" cm="1">
        <f t="array" ref="L49">GAMMAGREEK($B49,100,0.01,L$44,0.4)</f>
        <v>1.1795089803831352E-2</v>
      </c>
      <c r="M49" s="2" cm="1">
        <f t="array" ref="M49">GAMMAGREEK($B49,100,0.01,M$44,0.4)</f>
        <v>1.1377557081249788E-2</v>
      </c>
      <c r="N49" s="2" cm="1">
        <f t="array" ref="N49">GAMMAGREEK($B49,100,0.01,N$44,0.4)</f>
        <v>1.0994486561843033E-2</v>
      </c>
      <c r="O49" s="2" cm="1">
        <f t="array" ref="O49">GAMMAGREEK($B49,100,0.01,O$44,0.4)</f>
        <v>1.0642079322475106E-2</v>
      </c>
      <c r="P49" s="2" cm="1">
        <f t="array" ref="P49">GAMMAGREEK($B49,100,0.01,P$44,0.4)</f>
        <v>1.0316868599010353E-2</v>
      </c>
      <c r="Q49" s="2" cm="1">
        <f t="array" ref="Q49">GAMMAGREEK($B49,100,0.01,Q$44,0.4)</f>
        <v>1.0015784285923006E-2</v>
      </c>
      <c r="R49" s="2" cm="1">
        <f t="array" ref="R49">GAMMAGREEK($B49,100,0.01,R$44,0.4)</f>
        <v>9.7361448752723775E-3</v>
      </c>
      <c r="S49" s="2" cm="1">
        <f t="array" ref="S49">GAMMAGREEK($B49,100,0.01,S$44,0.4)</f>
        <v>9.4756218864841847E-3</v>
      </c>
      <c r="T49" s="2" cm="1">
        <f t="array" ref="T49">GAMMAGREEK($B49,100,0.01,T$44,0.4)</f>
        <v>9.2321965566773481E-3</v>
      </c>
      <c r="U49" s="2" cm="1">
        <f t="array" ref="U49">GAMMAGREEK($B49,100,0.01,U$44,0.4)</f>
        <v>9.0041172301678907E-3</v>
      </c>
      <c r="V49" s="2" cm="1">
        <f t="array" ref="V49">GAMMAGREEK($B49,100,0.01,V$44,0.4)</f>
        <v>8.7898607375682079E-3</v>
      </c>
      <c r="W49" s="2" cm="1">
        <f t="array" ref="W49">GAMMAGREEK($B49,100,0.01,W$44,0.4)</f>
        <v>8.5880987265861998E-3</v>
      </c>
      <c r="X49" s="2" cm="1">
        <f t="array" ref="X49">GAMMAGREEK($B49,100,0.01,X$44,0.4)</f>
        <v>8.3976688882149205E-3</v>
      </c>
      <c r="Y49" s="2" cm="1">
        <f t="array" ref="Y49">GAMMAGREEK($B49,100,0.01,Y$44,0.4)</f>
        <v>8.2175506159037591E-3</v>
      </c>
      <c r="Z49" s="2" cm="1">
        <f t="array" ref="Z49">GAMMAGREEK($B49,100,0.01,Z$44,0.4)</f>
        <v>8.0468445125450195E-3</v>
      </c>
      <c r="AA49" s="2" cm="1">
        <f t="array" ref="AA49">GAMMAGREEK($B49,100,0.01,AA$44,0.4)</f>
        <v>7.8847551636976061E-3</v>
      </c>
      <c r="AB49" s="2" cm="1">
        <f t="array" ref="AB49">GAMMAGREEK($B49,100,0.01,AB$44,0.4)</f>
        <v>7.7305766503841314E-3</v>
      </c>
      <c r="AC49" s="2" cm="1">
        <f t="array" ref="AC49">GAMMAGREEK($B49,100,0.01,AC$44,0.4)</f>
        <v>7.583680345690234E-3</v>
      </c>
      <c r="AD49" s="2" cm="1">
        <f t="array" ref="AD49">GAMMAGREEK($B49,100,0.01,AD$44,0.4)</f>
        <v>7.4435046102527894E-3</v>
      </c>
      <c r="AE49" s="2" cm="1">
        <f t="array" ref="AE49">GAMMAGREEK($B49,100,0.01,AE$44,0.4)</f>
        <v>7.3095460659376426E-3</v>
      </c>
      <c r="AF49" s="2" cm="1">
        <f t="array" ref="AF49">GAMMAGREEK($B49,100,0.01,AF$44,0.4)</f>
        <v>7.1813521824651231E-3</v>
      </c>
      <c r="AG49" s="2" cm="1">
        <f t="array" ref="AG49">GAMMAGREEK($B49,100,0.01,AG$44,0.4)</f>
        <v>7.0585149583944672E-3</v>
      </c>
      <c r="AH49" s="2" cm="1">
        <f t="array" ref="AH49">GAMMAGREEK($B49,100,0.01,AH$44,0.4)</f>
        <v>6.9406655165419294E-3</v>
      </c>
      <c r="AI49" s="2" cm="1">
        <f t="array" ref="AI49">GAMMAGREEK($B49,100,0.01,AI$44,0.4)</f>
        <v>6.827469465680319E-3</v>
      </c>
      <c r="AJ49" s="2" cm="1">
        <f t="array" ref="AJ49">GAMMAGREEK($B49,100,0.01,AJ$44,0.4)</f>
        <v>6.7186229063612747E-3</v>
      </c>
      <c r="AK49" s="2" cm="1">
        <f t="array" ref="AK49">GAMMAGREEK($B49,100,0.01,AK$44,0.4)</f>
        <v>6.6138489799261197E-3</v>
      </c>
      <c r="AL49" s="2" cm="1">
        <f t="array" ref="AL49">GAMMAGREEK($B49,100,0.01,AL$44,0.4)</f>
        <v>6.5128948770971857E-3</v>
      </c>
      <c r="AM49" s="2" cm="1">
        <f t="array" ref="AM49">GAMMAGREEK($B49,100,0.01,AM$44,0.4)</f>
        <v>6.4155292366976377E-3</v>
      </c>
      <c r="AN49" s="2" cm="1">
        <f t="array" ref="AN49">GAMMAGREEK($B49,100,0.01,AN$44,0.4)</f>
        <v>6.321539876633182E-3</v>
      </c>
      <c r="AO49" s="2" cm="1">
        <f t="array" ref="AO49">GAMMAGREEK($B49,100,0.01,AO$44,0.4)</f>
        <v>6.2307318087710438E-3</v>
      </c>
      <c r="AP49" s="2" cm="1">
        <f t="array" ref="AP49">GAMMAGREEK($B49,100,0.01,AP$44,0.4)</f>
        <v>6.1429254971648948E-3</v>
      </c>
      <c r="AQ49" s="2" cm="1">
        <f t="array" ref="AQ49">GAMMAGREEK($B49,100,0.01,AQ$44,0.4)</f>
        <v>6.0579553255167258E-3</v>
      </c>
      <c r="AR49" s="2" cm="1">
        <f t="array" ref="AR49">GAMMAGREEK($B49,100,0.01,AR$44,0.4)</f>
        <v>5.9756682450943562E-3</v>
      </c>
      <c r="AS49" s="2" cm="1">
        <f t="array" ref="AS49">GAMMAGREEK($B49,100,0.01,AS$44,0.4)</f>
        <v>5.8959225787423887E-3</v>
      </c>
      <c r="AT49" s="2" cm="1">
        <f t="array" ref="AT49">GAMMAGREEK($B49,100,0.01,AT$44,0.4)</f>
        <v>5.8185869603011361E-3</v>
      </c>
      <c r="AU49" s="2" cm="1">
        <f t="array" ref="AU49">GAMMAGREEK($B49,100,0.01,AU$44,0.4)</f>
        <v>5.743539391816696E-3</v>
      </c>
      <c r="AV49" s="2" cm="1">
        <f t="array" ref="AV49">GAMMAGREEK($B49,100,0.01,AV$44,0.4)</f>
        <v>5.6706664034940285E-3</v>
      </c>
      <c r="AW49" s="2" cm="1">
        <f t="array" ref="AW49">GAMMAGREEK($B49,100,0.01,AW$44,0.4)</f>
        <v>5.599862303502021E-3</v>
      </c>
      <c r="AX49" s="2" cm="1">
        <f t="array" ref="AX49">GAMMAGREEK($B49,100,0.01,AX$44,0.4)</f>
        <v>5.5310285065560362E-3</v>
      </c>
      <c r="AY49" s="2" cm="1">
        <f t="array" ref="AY49">GAMMAGREEK($B49,100,0.01,AY$44,0.4)</f>
        <v>5.4640729317379988E-3</v>
      </c>
      <c r="AZ49" s="2" cm="1">
        <f t="array" ref="AZ49">GAMMAGREEK($B49,100,0.01,AZ$44,0.4)</f>
        <v>5.3989094613139674E-3</v>
      </c>
    </row>
    <row r="50" spans="1:52" x14ac:dyDescent="0.3">
      <c r="A50" s="2"/>
      <c r="B50" s="2">
        <v>85</v>
      </c>
      <c r="C50" s="2" cm="1">
        <f t="array" ref="C50">GAMMAGREEK($B50,100,0.01,C$44,0.4)</f>
        <v>1.7765295072320917E-2</v>
      </c>
      <c r="D50" s="2" cm="1">
        <f t="array" ref="D50">GAMMAGREEK($B50,100,0.01,D$44,0.4)</f>
        <v>1.8931662539579803E-2</v>
      </c>
      <c r="E50" s="2" cm="1">
        <f t="array" ref="E50">GAMMAGREEK($B50,100,0.01,E$44,0.4)</f>
        <v>1.7692424949679604E-2</v>
      </c>
      <c r="F50" s="2" cm="1">
        <f t="array" ref="F50">GAMMAGREEK($B50,100,0.01,F$44,0.4)</f>
        <v>1.6371574860835209E-2</v>
      </c>
      <c r="G50" s="2" cm="1">
        <f t="array" ref="G50">GAMMAGREEK($B50,100,0.01,G$44,0.4)</f>
        <v>1.5221561523768383E-2</v>
      </c>
      <c r="H50" s="2" cm="1">
        <f t="array" ref="H50">GAMMAGREEK($B50,100,0.01,H$44,0.4)</f>
        <v>1.4246821580001753E-2</v>
      </c>
      <c r="I50" s="2" cm="1">
        <f t="array" ref="I50">GAMMAGREEK($B50,100,0.01,I$44,0.4)</f>
        <v>1.3417761710737984E-2</v>
      </c>
      <c r="J50" s="2" cm="1">
        <f t="array" ref="J50">GAMMAGREEK($B50,100,0.01,J$44,0.4)</f>
        <v>1.270532818503029E-2</v>
      </c>
      <c r="K50" s="2" cm="1">
        <f t="array" ref="K50">GAMMAGREEK($B50,100,0.01,K$44,0.4)</f>
        <v>1.2086176918352686E-2</v>
      </c>
      <c r="L50" s="2" cm="1">
        <f t="array" ref="L50">GAMMAGREEK($B50,100,0.01,L$44,0.4)</f>
        <v>1.154233824412115E-2</v>
      </c>
      <c r="M50" s="2" cm="1">
        <f t="array" ref="M50">GAMMAGREEK($B50,100,0.01,M$44,0.4)</f>
        <v>1.1060044779690447E-2</v>
      </c>
      <c r="N50" s="2" cm="1">
        <f t="array" ref="N50">GAMMAGREEK($B50,100,0.01,N$44,0.4)</f>
        <v>1.0628669741068875E-2</v>
      </c>
      <c r="O50" s="2" cm="1">
        <f t="array" ref="O50">GAMMAGREEK($B50,100,0.01,O$44,0.4)</f>
        <v>1.02399156752497E-2</v>
      </c>
      <c r="P50" s="2" cm="1">
        <f t="array" ref="P50">GAMMAGREEK($B50,100,0.01,P$44,0.4)</f>
        <v>9.8872222852003349E-3</v>
      </c>
      <c r="Q50" s="2" cm="1">
        <f t="array" ref="Q50">GAMMAGREEK($B50,100,0.01,Q$44,0.4)</f>
        <v>9.5653383547572995E-3</v>
      </c>
      <c r="R50" s="2" cm="1">
        <f t="array" ref="R50">GAMMAGREEK($B50,100,0.01,R$44,0.4)</f>
        <v>9.2700111358498417E-3</v>
      </c>
      <c r="S50" s="2" cm="1">
        <f t="array" ref="S50">GAMMAGREEK($B50,100,0.01,S$44,0.4)</f>
        <v>8.99775888091571E-3</v>
      </c>
      <c r="T50" s="2" cm="1">
        <f t="array" ref="T50">GAMMAGREEK($B50,100,0.01,T$44,0.4)</f>
        <v>8.7457023629936691E-3</v>
      </c>
      <c r="U50" s="2" cm="1">
        <f t="array" ref="U50">GAMMAGREEK($B50,100,0.01,U$44,0.4)</f>
        <v>8.5114385834092442E-3</v>
      </c>
      <c r="V50" s="2" cm="1">
        <f t="array" ref="V50">GAMMAGREEK($B50,100,0.01,V$44,0.4)</f>
        <v>8.2929449714361312E-3</v>
      </c>
      <c r="W50" s="2" cm="1">
        <f t="array" ref="W50">GAMMAGREEK($B50,100,0.01,W$44,0.4)</f>
        <v>8.08850587667179E-3</v>
      </c>
      <c r="X50" s="2" cm="1">
        <f t="array" ref="X50">GAMMAGREEK($B50,100,0.01,X$44,0.4)</f>
        <v>7.8966555498226586E-3</v>
      </c>
      <c r="Y50" s="2" cm="1">
        <f t="array" ref="Y50">GAMMAGREEK($B50,100,0.01,Y$44,0.4)</f>
        <v>7.7161334580711479E-3</v>
      </c>
      <c r="Z50" s="2" cm="1">
        <f t="array" ref="Z50">GAMMAGREEK($B50,100,0.01,Z$44,0.4)</f>
        <v>7.5458489288390967E-3</v>
      </c>
      <c r="AA50" s="2" cm="1">
        <f t="array" ref="AA50">GAMMAGREEK($B50,100,0.01,AA$44,0.4)</f>
        <v>7.3848529220040173E-3</v>
      </c>
      <c r="AB50" s="2" cm="1">
        <f t="array" ref="AB50">GAMMAGREEK($B50,100,0.01,AB$44,0.4)</f>
        <v>7.2323153031575551E-3</v>
      </c>
      <c r="AC50" s="2" cm="1">
        <f t="array" ref="AC50">GAMMAGREEK($B50,100,0.01,AC$44,0.4)</f>
        <v>7.0875064014853505E-3</v>
      </c>
      <c r="AD50" s="2" cm="1">
        <f t="array" ref="AD50">GAMMAGREEK($B50,100,0.01,AD$44,0.4)</f>
        <v>6.9497819340190387E-3</v>
      </c>
      <c r="AE50" s="2" cm="1">
        <f t="array" ref="AE50">GAMMAGREEK($B50,100,0.01,AE$44,0.4)</f>
        <v>6.8185705965642931E-3</v>
      </c>
      <c r="AF50" s="2" cm="1">
        <f t="array" ref="AF50">GAMMAGREEK($B50,100,0.01,AF$44,0.4)</f>
        <v>6.6933637833884755E-3</v>
      </c>
      <c r="AG50" s="2" cm="1">
        <f t="array" ref="AG50">GAMMAGREEK($B50,100,0.01,AG$44,0.4)</f>
        <v>6.5737070186372634E-3</v>
      </c>
      <c r="AH50" s="2" cm="1">
        <f t="array" ref="AH50">GAMMAGREEK($B50,100,0.01,AH$44,0.4)</f>
        <v>6.4591927735907686E-3</v>
      </c>
      <c r="AI50" s="2" cm="1">
        <f t="array" ref="AI50">GAMMAGREEK($B50,100,0.01,AI$44,0.4)</f>
        <v>6.3494544131725058E-3</v>
      </c>
      <c r="AJ50" s="2" cm="1">
        <f t="array" ref="AJ50">GAMMAGREEK($B50,100,0.01,AJ$44,0.4)</f>
        <v>6.2441610682493175E-3</v>
      </c>
      <c r="AK50" s="2" cm="1">
        <f t="array" ref="AK50">GAMMAGREEK($B50,100,0.01,AK$44,0.4)</f>
        <v>6.1430132712974742E-3</v>
      </c>
      <c r="AL50" s="2" cm="1">
        <f t="array" ref="AL50">GAMMAGREEK($B50,100,0.01,AL$44,0.4)</f>
        <v>6.0457392249417116E-3</v>
      </c>
      <c r="AM50" s="2" cm="1">
        <f t="array" ref="AM50">GAMMAGREEK($B50,100,0.01,AM$44,0.4)</f>
        <v>5.9520915978929934E-3</v>
      </c>
      <c r="AN50" s="2" cm="1">
        <f t="array" ref="AN50">GAMMAGREEK($B50,100,0.01,AN$44,0.4)</f>
        <v>5.8618447625429599E-3</v>
      </c>
      <c r="AO50" s="2" cm="1">
        <f t="array" ref="AO50">GAMMAGREEK($B50,100,0.01,AO$44,0.4)</f>
        <v>5.7747924041332468E-3</v>
      </c>
      <c r="AP50" s="2" cm="1">
        <f t="array" ref="AP50">GAMMAGREEK($B50,100,0.01,AP$44,0.4)</f>
        <v>5.6907454439205562E-3</v>
      </c>
      <c r="AQ50" s="2" cm="1">
        <f t="array" ref="AQ50">GAMMAGREEK($B50,100,0.01,AQ$44,0.4)</f>
        <v>5.6095302287969212E-3</v>
      </c>
      <c r="AR50" s="2" cm="1">
        <f t="array" ref="AR50">GAMMAGREEK($B50,100,0.01,AR$44,0.4)</f>
        <v>5.5309869479283746E-3</v>
      </c>
      <c r="AS50" s="2" cm="1">
        <f t="array" ref="AS50">GAMMAGREEK($B50,100,0.01,AS$44,0.4)</f>
        <v>5.4549682435508767E-3</v>
      </c>
      <c r="AT50" s="2" cm="1">
        <f t="array" ref="AT50">GAMMAGREEK($B50,100,0.01,AT$44,0.4)</f>
        <v>5.3813379884243267E-3</v>
      </c>
      <c r="AU50" s="2" cm="1">
        <f t="array" ref="AU50">GAMMAGREEK($B50,100,0.01,AU$44,0.4)</f>
        <v>5.3099702068385131E-3</v>
      </c>
      <c r="AV50" s="2" cm="1">
        <f t="array" ref="AV50">GAMMAGREEK($B50,100,0.01,AV$44,0.4)</f>
        <v>5.2407481196800696E-3</v>
      </c>
      <c r="AW50" s="2" cm="1">
        <f t="array" ref="AW50">GAMMAGREEK($B50,100,0.01,AW$44,0.4)</f>
        <v>5.1735632970576571E-3</v>
      </c>
      <c r="AX50" s="2" cm="1">
        <f t="array" ref="AX50">GAMMAGREEK($B50,100,0.01,AX$44,0.4)</f>
        <v>5.1083149044624434E-3</v>
      </c>
      <c r="AY50" s="2" cm="1">
        <f t="array" ref="AY50">GAMMAGREEK($B50,100,0.01,AY$44,0.4)</f>
        <v>5.0449090305073226E-3</v>
      </c>
      <c r="AZ50" s="2" cm="1">
        <f t="array" ref="AZ50">GAMMAGREEK($B50,100,0.01,AZ$44,0.4)</f>
        <v>4.9832580860164968E-3</v>
      </c>
    </row>
    <row r="51" spans="1:52" x14ac:dyDescent="0.3">
      <c r="A51" s="2"/>
      <c r="B51" s="2">
        <v>90</v>
      </c>
      <c r="C51" s="2" cm="1">
        <f t="array" ref="C51">GAMMAGREEK($B51,100,0.01,C$44,0.4)</f>
        <v>2.6217397005655067E-2</v>
      </c>
      <c r="D51" s="2" cm="1">
        <f t="array" ref="D51">GAMMAGREEK($B51,100,0.01,D$44,0.4)</f>
        <v>2.1993983876196624E-2</v>
      </c>
      <c r="E51" s="2" cm="1">
        <f t="array" ref="E51">GAMMAGREEK($B51,100,0.01,E$44,0.4)</f>
        <v>1.897878957938726E-2</v>
      </c>
      <c r="F51" s="2" cm="1">
        <f t="array" ref="F51">GAMMAGREEK($B51,100,0.01,F$44,0.4)</f>
        <v>1.6875420659397365E-2</v>
      </c>
      <c r="G51" s="2" cm="1">
        <f t="array" ref="G51">GAMMAGREEK($B51,100,0.01,G$44,0.4)</f>
        <v>1.5319096670935345E-2</v>
      </c>
      <c r="H51" s="2" cm="1">
        <f t="array" ref="H51">GAMMAGREEK($B51,100,0.01,H$44,0.4)</f>
        <v>1.4111238594338552E-2</v>
      </c>
      <c r="I51" s="2" cm="1">
        <f t="array" ref="I51">GAMMAGREEK($B51,100,0.01,I$44,0.4)</f>
        <v>1.313952030194715E-2</v>
      </c>
      <c r="J51" s="2" cm="1">
        <f t="array" ref="J51">GAMMAGREEK($B51,100,0.01,J$44,0.4)</f>
        <v>1.2336005017830942E-2</v>
      </c>
      <c r="K51" s="2" cm="1">
        <f t="array" ref="K51">GAMMAGREEK($B51,100,0.01,K$44,0.4)</f>
        <v>1.1657124380614989E-2</v>
      </c>
      <c r="L51" s="2" cm="1">
        <f t="array" ref="L51">GAMMAGREEK($B51,100,0.01,L$44,0.4)</f>
        <v>1.1073562136236142E-2</v>
      </c>
      <c r="M51" s="2" cm="1">
        <f t="array" ref="M51">GAMMAGREEK($B51,100,0.01,M$44,0.4)</f>
        <v>1.0564800683435923E-2</v>
      </c>
      <c r="N51" s="2" cm="1">
        <f t="array" ref="N51">GAMMAGREEK($B51,100,0.01,N$44,0.4)</f>
        <v>1.0116005636700108E-2</v>
      </c>
      <c r="O51" s="2" cm="1">
        <f t="array" ref="O51">GAMMAGREEK($B51,100,0.01,O$44,0.4)</f>
        <v>9.7161554246965025E-3</v>
      </c>
      <c r="P51" s="2" cm="1">
        <f t="array" ref="P51">GAMMAGREEK($B51,100,0.01,P$44,0.4)</f>
        <v>9.3568699006604129E-3</v>
      </c>
      <c r="Q51" s="2" cm="1">
        <f t="array" ref="Q51">GAMMAGREEK($B51,100,0.01,Q$44,0.4)</f>
        <v>9.0316497467626249E-3</v>
      </c>
      <c r="R51" s="2" cm="1">
        <f t="array" ref="R51">GAMMAGREEK($B51,100,0.01,R$44,0.4)</f>
        <v>8.7353670038784591E-3</v>
      </c>
      <c r="S51" s="2" cm="1">
        <f t="array" ref="S51">GAMMAGREEK($B51,100,0.01,S$44,0.4)</f>
        <v>8.4639144636596657E-3</v>
      </c>
      <c r="T51" s="2" cm="1">
        <f t="array" ref="T51">GAMMAGREEK($B51,100,0.01,T$44,0.4)</f>
        <v>8.2139586076897791E-3</v>
      </c>
      <c r="U51" s="2" cm="1">
        <f t="array" ref="U51">GAMMAGREEK($B51,100,0.01,U$44,0.4)</f>
        <v>7.9827618384518319E-3</v>
      </c>
      <c r="V51" s="2" cm="1">
        <f t="array" ref="V51">GAMMAGREEK($B51,100,0.01,V$44,0.4)</f>
        <v>7.7680521726198881E-3</v>
      </c>
      <c r="W51" s="2" cm="1">
        <f t="array" ref="W51">GAMMAGREEK($B51,100,0.01,W$44,0.4)</f>
        <v>7.5679261269293021E-3</v>
      </c>
      <c r="X51" s="2" cm="1">
        <f t="array" ref="X51">GAMMAGREEK($B51,100,0.01,X$44,0.4)</f>
        <v>7.3807752537764695E-3</v>
      </c>
      <c r="Y51" s="2" cm="1">
        <f t="array" ref="Y51">GAMMAGREEK($B51,100,0.01,Y$44,0.4)</f>
        <v>7.2052298127665889E-3</v>
      </c>
      <c r="Z51" s="2" cm="1">
        <f t="array" ref="Z51">GAMMAGREEK($B51,100,0.01,Z$44,0.4)</f>
        <v>7.040115048958114E-3</v>
      </c>
      <c r="AA51" s="2" cm="1">
        <f t="array" ref="AA51">GAMMAGREEK($B51,100,0.01,AA$44,0.4)</f>
        <v>6.8844168750861372E-3</v>
      </c>
      <c r="AB51" s="2" cm="1">
        <f t="array" ref="AB51">GAMMAGREEK($B51,100,0.01,AB$44,0.4)</f>
        <v>6.7372546580848625E-3</v>
      </c>
      <c r="AC51" s="2" cm="1">
        <f t="array" ref="AC51">GAMMAGREEK($B51,100,0.01,AC$44,0.4)</f>
        <v>6.5978594353113176E-3</v>
      </c>
      <c r="AD51" s="2" cm="1">
        <f t="array" ref="AD51">GAMMAGREEK($B51,100,0.01,AD$44,0.4)</f>
        <v>6.4655563252225667E-3</v>
      </c>
      <c r="AE51" s="2" cm="1">
        <f t="array" ref="AE51">GAMMAGREEK($B51,100,0.01,AE$44,0.4)</f>
        <v>6.33975021044188E-3</v>
      </c>
      <c r="AF51" s="2" cm="1">
        <f t="array" ref="AF51">GAMMAGREEK($B51,100,0.01,AF$44,0.4)</f>
        <v>6.2199139973174349E-3</v>
      </c>
      <c r="AG51" s="2" cm="1">
        <f t="array" ref="AG51">GAMMAGREEK($B51,100,0.01,AG$44,0.4)</f>
        <v>6.1055789213845984E-3</v>
      </c>
      <c r="AH51" s="2" cm="1">
        <f t="array" ref="AH51">GAMMAGREEK($B51,100,0.01,AH$44,0.4)</f>
        <v>5.9963264903254163E-3</v>
      </c>
      <c r="AI51" s="2" cm="1">
        <f t="array" ref="AI51">GAMMAGREEK($B51,100,0.01,AI$44,0.4)</f>
        <v>5.8917817472720398E-3</v>
      </c>
      <c r="AJ51" s="2" cm="1">
        <f t="array" ref="AJ51">GAMMAGREEK($B51,100,0.01,AJ$44,0.4)</f>
        <v>5.791607606119493E-3</v>
      </c>
      <c r="AK51" s="2" cm="1">
        <f t="array" ref="AK51">GAMMAGREEK($B51,100,0.01,AK$44,0.4)</f>
        <v>5.6955000628869093E-3</v>
      </c>
      <c r="AL51" s="2" cm="1">
        <f t="array" ref="AL51">GAMMAGREEK($B51,100,0.01,AL$44,0.4)</f>
        <v>5.6031841273661218E-3</v>
      </c>
      <c r="AM51" s="2" cm="1">
        <f t="array" ref="AM51">GAMMAGREEK($B51,100,0.01,AM$44,0.4)</f>
        <v>5.5144103504000475E-3</v>
      </c>
      <c r="AN51" s="2" cm="1">
        <f t="array" ref="AN51">GAMMAGREEK($B51,100,0.01,AN$44,0.4)</f>
        <v>5.4289518463810967E-3</v>
      </c>
      <c r="AO51" s="2" cm="1">
        <f t="array" ref="AO51">GAMMAGREEK($B51,100,0.01,AO$44,0.4)</f>
        <v>5.3466017295976847E-3</v>
      </c>
      <c r="AP51" s="2" cm="1">
        <f t="array" ref="AP51">GAMMAGREEK($B51,100,0.01,AP$44,0.4)</f>
        <v>5.2671708981051257E-3</v>
      </c>
      <c r="AQ51" s="2" cm="1">
        <f t="array" ref="AQ51">GAMMAGREEK($B51,100,0.01,AQ$44,0.4)</f>
        <v>5.1904861107673556E-3</v>
      </c>
      <c r="AR51" s="2" cm="1">
        <f t="array" ref="AR51">GAMMAGREEK($B51,100,0.01,AR$44,0.4)</f>
        <v>5.1163883126953708E-3</v>
      </c>
      <c r="AS51" s="2" cm="1">
        <f t="array" ref="AS51">GAMMAGREEK($B51,100,0.01,AS$44,0.4)</f>
        <v>5.0447311720181742E-3</v>
      </c>
      <c r="AT51" s="2" cm="1">
        <f t="array" ref="AT51">GAMMAGREEK($B51,100,0.01,AT$44,0.4)</f>
        <v>4.9753797971610163E-3</v>
      </c>
      <c r="AU51" s="2" cm="1">
        <f t="array" ref="AU51">GAMMAGREEK($B51,100,0.01,AU$44,0.4)</f>
        <v>4.9082096088807255E-3</v>
      </c>
      <c r="AV51" s="2" cm="1">
        <f t="array" ref="AV51">GAMMAGREEK($B51,100,0.01,AV$44,0.4)</f>
        <v>4.8431053454560408E-3</v>
      </c>
      <c r="AW51" s="2" cm="1">
        <f t="array" ref="AW51">GAMMAGREEK($B51,100,0.01,AW$44,0.4)</f>
        <v>4.7799601828378332E-3</v>
      </c>
      <c r="AX51" s="2" cm="1">
        <f t="array" ref="AX51">GAMMAGREEK($B51,100,0.01,AX$44,0.4)</f>
        <v>4.7186749543743148E-3</v>
      </c>
      <c r="AY51" s="2" cm="1">
        <f t="array" ref="AY51">GAMMAGREEK($B51,100,0.01,AY$44,0.4)</f>
        <v>4.6591574570547471E-3</v>
      </c>
      <c r="AZ51" s="2" cm="1">
        <f t="array" ref="AZ51">GAMMAGREEK($B51,100,0.01,AZ$44,0.4)</f>
        <v>4.6013218331519383E-3</v>
      </c>
    </row>
    <row r="52" spans="1:52" x14ac:dyDescent="0.3">
      <c r="A52" s="2"/>
      <c r="B52" s="2">
        <v>95</v>
      </c>
      <c r="C52" s="2" cm="1">
        <f t="array" ref="C52">GAMMAGREEK($B52,100,0.01,C$44,0.4)</f>
        <v>3.1394274847913635E-2</v>
      </c>
      <c r="D52" s="2" cm="1">
        <f t="array" ref="D52">GAMMAGREEK($B52,100,0.01,D$44,0.4)</f>
        <v>2.3072238848139817E-2</v>
      </c>
      <c r="E52" s="2" cm="1">
        <f t="array" ref="E52">GAMMAGREEK($B52,100,0.01,E$44,0.4)</f>
        <v>1.9050044641617542E-2</v>
      </c>
      <c r="F52" s="2" cm="1">
        <f t="array" ref="F52">GAMMAGREEK($B52,100,0.01,F$44,0.4)</f>
        <v>1.6569252629223381E-2</v>
      </c>
      <c r="G52" s="2" cm="1">
        <f t="array" ref="G52">GAMMAGREEK($B52,100,0.01,G$44,0.4)</f>
        <v>1.4843419587474004E-2</v>
      </c>
      <c r="H52" s="2" cm="1">
        <f t="array" ref="H52">GAMMAGREEK($B52,100,0.01,H$44,0.4)</f>
        <v>1.3552963614589623E-2</v>
      </c>
      <c r="I52" s="2" cm="1">
        <f t="array" ref="I52">GAMMAGREEK($B52,100,0.01,I$44,0.4)</f>
        <v>1.2540410140529975E-2</v>
      </c>
      <c r="J52" s="2" cm="1">
        <f t="array" ref="J52">GAMMAGREEK($B52,100,0.01,J$44,0.4)</f>
        <v>1.1718016017628462E-2</v>
      </c>
      <c r="K52" s="2" cm="1">
        <f t="array" ref="K52">GAMMAGREEK($B52,100,0.01,K$44,0.4)</f>
        <v>1.1032513084880751E-2</v>
      </c>
      <c r="L52" s="2" cm="1">
        <f t="array" ref="L52">GAMMAGREEK($B52,100,0.01,L$44,0.4)</f>
        <v>1.0449443075086665E-2</v>
      </c>
      <c r="M52" s="2" cm="1">
        <f t="array" ref="M52">GAMMAGREEK($B52,100,0.01,M$44,0.4)</f>
        <v>9.945396557783974E-3</v>
      </c>
      <c r="N52" s="2" cm="1">
        <f t="array" ref="N52">GAMMAGREEK($B52,100,0.01,N$44,0.4)</f>
        <v>9.5038380084618342E-3</v>
      </c>
      <c r="O52" s="2" cm="1">
        <f t="array" ref="O52">GAMMAGREEK($B52,100,0.01,O$44,0.4)</f>
        <v>9.1127101404910576E-3</v>
      </c>
      <c r="P52" s="2" cm="1">
        <f t="array" ref="P52">GAMMAGREEK($B52,100,0.01,P$44,0.4)</f>
        <v>8.7629856403348711E-3</v>
      </c>
      <c r="Q52" s="2" cm="1">
        <f t="array" ref="Q52">GAMMAGREEK($B52,100,0.01,Q$44,0.4)</f>
        <v>8.4477531433912734E-3</v>
      </c>
      <c r="R52" s="2" cm="1">
        <f t="array" ref="R52">GAMMAGREEK($B52,100,0.01,R$44,0.4)</f>
        <v>8.1616191427082169E-3</v>
      </c>
      <c r="S52" s="2" cm="1">
        <f t="array" ref="S52">GAMMAGREEK($B52,100,0.01,S$44,0.4)</f>
        <v>7.900304379547432E-3</v>
      </c>
      <c r="T52" s="2" cm="1">
        <f t="array" ref="T52">GAMMAGREEK($B52,100,0.01,T$44,0.4)</f>
        <v>7.6603641347951622E-3</v>
      </c>
      <c r="U52" s="2" cm="1">
        <f t="array" ref="U52">GAMMAGREEK($B52,100,0.01,U$44,0.4)</f>
        <v>7.4389898371934292E-3</v>
      </c>
      <c r="V52" s="2" cm="1">
        <f t="array" ref="V52">GAMMAGREEK($B52,100,0.01,V$44,0.4)</f>
        <v>7.2338654461924093E-3</v>
      </c>
      <c r="W52" s="2" cm="1">
        <f t="array" ref="W52">GAMMAGREEK($B52,100,0.01,W$44,0.4)</f>
        <v>7.0430615870459854E-3</v>
      </c>
      <c r="X52" s="2" cm="1">
        <f t="array" ref="X52">GAMMAGREEK($B52,100,0.01,X$44,0.4)</f>
        <v>6.864956242095514E-3</v>
      </c>
      <c r="Y52" s="2" cm="1">
        <f t="array" ref="Y52">GAMMAGREEK($B52,100,0.01,Y$44,0.4)</f>
        <v>6.6981744668163142E-3</v>
      </c>
      <c r="Z52" s="2" cm="1">
        <f t="array" ref="Z52">GAMMAGREEK($B52,100,0.01,Z$44,0.4)</f>
        <v>6.5415419611109379E-3</v>
      </c>
      <c r="AA52" s="2" cm="1">
        <f t="array" ref="AA52">GAMMAGREEK($B52,100,0.01,AA$44,0.4)</f>
        <v>6.3940488823676124E-3</v>
      </c>
      <c r="AB52" s="2" cm="1">
        <f t="array" ref="AB52">GAMMAGREEK($B52,100,0.01,AB$44,0.4)</f>
        <v>6.254821332437468E-3</v>
      </c>
      <c r="AC52" s="2" cm="1">
        <f t="array" ref="AC52">GAMMAGREEK($B52,100,0.01,AC$44,0.4)</f>
        <v>6.1230986660978102E-3</v>
      </c>
      <c r="AD52" s="2" cm="1">
        <f t="array" ref="AD52">GAMMAGREEK($B52,100,0.01,AD$44,0.4)</f>
        <v>5.998215266151608E-3</v>
      </c>
      <c r="AE52" s="2" cm="1">
        <f t="array" ref="AE52">GAMMAGREEK($B52,100,0.01,AE$44,0.4)</f>
        <v>5.8795857816375044E-3</v>
      </c>
      <c r="AF52" s="2" cm="1">
        <f t="array" ref="AF52">GAMMAGREEK($B52,100,0.01,AF$44,0.4)</f>
        <v>5.7666930771371723E-3</v>
      </c>
      <c r="AG52" s="2" cm="1">
        <f t="array" ref="AG52">GAMMAGREEK($B52,100,0.01,AG$44,0.4)</f>
        <v>5.6590783235384978E-3</v>
      </c>
      <c r="AH52" s="2" cm="1">
        <f t="array" ref="AH52">GAMMAGREEK($B52,100,0.01,AH$44,0.4)</f>
        <v>5.5563327944234374E-3</v>
      </c>
      <c r="AI52" s="2" cm="1">
        <f t="array" ref="AI52">GAMMAGREEK($B52,100,0.01,AI$44,0.4)</f>
        <v>5.4580910315128435E-3</v>
      </c>
      <c r="AJ52" s="2" cm="1">
        <f t="array" ref="AJ52">GAMMAGREEK($B52,100,0.01,AJ$44,0.4)</f>
        <v>5.3640251169930131E-3</v>
      </c>
      <c r="AK52" s="2" cm="1">
        <f t="array" ref="AK52">GAMMAGREEK($B52,100,0.01,AK$44,0.4)</f>
        <v>5.2738398468360481E-3</v>
      </c>
      <c r="AL52" s="2" cm="1">
        <f t="array" ref="AL52">GAMMAGREEK($B52,100,0.01,AL$44,0.4)</f>
        <v>5.1872686421966198E-3</v>
      </c>
      <c r="AM52" s="2" cm="1">
        <f t="array" ref="AM52">GAMMAGREEK($B52,100,0.01,AM$44,0.4)</f>
        <v>5.1040700690475563E-3</v>
      </c>
      <c r="AN52" s="2" cm="1">
        <f t="array" ref="AN52">GAMMAGREEK($B52,100,0.01,AN$44,0.4)</f>
        <v>5.0240248618835855E-3</v>
      </c>
      <c r="AO52" s="2" cm="1">
        <f t="array" ref="AO52">GAMMAGREEK($B52,100,0.01,AO$44,0.4)</f>
        <v>4.94693336738558E-3</v>
      </c>
      <c r="AP52" s="2" cm="1">
        <f t="array" ref="AP52">GAMMAGREEK($B52,100,0.01,AP$44,0.4)</f>
        <v>4.8726133397302427E-3</v>
      </c>
      <c r="AQ52" s="2" cm="1">
        <f t="array" ref="AQ52">GAMMAGREEK($B52,100,0.01,AQ$44,0.4)</f>
        <v>4.8008980317434504E-3</v>
      </c>
      <c r="AR52" s="2" cm="1">
        <f t="array" ref="AR52">GAMMAGREEK($B52,100,0.01,AR$44,0.4)</f>
        <v>4.731634536072578E-3</v>
      </c>
      <c r="AS52" s="2" cm="1">
        <f t="array" ref="AS52">GAMMAGREEK($B52,100,0.01,AS$44,0.4)</f>
        <v>4.66468233855513E-3</v>
      </c>
      <c r="AT52" s="2" cm="1">
        <f t="array" ref="AT52">GAMMAGREEK($B52,100,0.01,AT$44,0.4)</f>
        <v>4.59991205241507E-3</v>
      </c>
      <c r="AU52" s="2" cm="1">
        <f t="array" ref="AU52">GAMMAGREEK($B52,100,0.01,AU$44,0.4)</f>
        <v>4.5372043071517099E-3</v>
      </c>
      <c r="AV52" s="2" cm="1">
        <f t="array" ref="AV52">GAMMAGREEK($B52,100,0.01,AV$44,0.4)</f>
        <v>4.4764487702511407E-3</v>
      </c>
      <c r="AW52" s="2" cm="1">
        <f t="array" ref="AW52">GAMMAGREEK($B52,100,0.01,AW$44,0.4)</f>
        <v>4.4175432833431809E-3</v>
      </c>
      <c r="AX52" s="2" cm="1">
        <f t="array" ref="AX52">GAMMAGREEK($B52,100,0.01,AX$44,0.4)</f>
        <v>4.3603930973004894E-3</v>
      </c>
      <c r="AY52" s="2" cm="1">
        <f t="array" ref="AY52">GAMMAGREEK($B52,100,0.01,AY$44,0.4)</f>
        <v>4.3049101931512289E-3</v>
      </c>
      <c r="AZ52" s="2" cm="1">
        <f t="array" ref="AZ52">GAMMAGREEK($B52,100,0.01,AZ$44,0.4)</f>
        <v>4.2510126776472605E-3</v>
      </c>
    </row>
    <row r="53" spans="1:52" x14ac:dyDescent="0.3">
      <c r="A53" s="2"/>
      <c r="B53" s="2">
        <v>100</v>
      </c>
      <c r="C53" s="2" cm="1">
        <f t="array" ref="C53">GAMMAGREEK($B53,100,0.01,C$44,0.4)</f>
        <v>3.1459423989360226E-2</v>
      </c>
      <c r="D53" s="2" cm="1">
        <f t="array" ref="D53">GAMMAGREEK($B53,100,0.01,D$44,0.4)</f>
        <v>2.2188935148222344E-2</v>
      </c>
      <c r="E53" s="2" cm="1">
        <f t="array" ref="E53">GAMMAGREEK($B53,100,0.01,E$44,0.4)</f>
        <v>1.8071388538094438E-2</v>
      </c>
      <c r="F53" s="2" cm="1">
        <f t="array" ref="F53">GAMMAGREEK($B53,100,0.01,F$44,0.4)</f>
        <v>1.5610716875634104E-2</v>
      </c>
      <c r="G53" s="2" cm="1">
        <f t="array" ref="G53">GAMMAGREEK($B53,100,0.01,G$44,0.4)</f>
        <v>1.3927351380867573E-2</v>
      </c>
      <c r="H53" s="2" cm="1">
        <f t="array" ref="H53">GAMMAGREEK($B53,100,0.01,H$44,0.4)</f>
        <v>1.268173289793627E-2</v>
      </c>
      <c r="I53" s="2" cm="1">
        <f t="array" ref="I53">GAMMAGREEK($B53,100,0.01,I$44,0.4)</f>
        <v>1.1711321384380947E-2</v>
      </c>
      <c r="J53" s="2" cm="1">
        <f t="array" ref="J53">GAMMAGREEK($B53,100,0.01,J$44,0.4)</f>
        <v>1.092724342056213E-2</v>
      </c>
      <c r="K53" s="2" cm="1">
        <f t="array" ref="K53">GAMMAGREEK($B53,100,0.01,K$44,0.4)</f>
        <v>1.0276259166503715E-2</v>
      </c>
      <c r="L53" s="2" cm="1">
        <f t="array" ref="L53">GAMMAGREEK($B53,100,0.01,L$44,0.4)</f>
        <v>9.7242697009187352E-3</v>
      </c>
      <c r="M53" s="2" cm="1">
        <f t="array" ref="M53">GAMMAGREEK($B53,100,0.01,M$44,0.4)</f>
        <v>9.2482879856441574E-3</v>
      </c>
      <c r="N53" s="2" cm="1">
        <f t="array" ref="N53">GAMMAGREEK($B53,100,0.01,N$44,0.4)</f>
        <v>8.832176851369963E-3</v>
      </c>
      <c r="O53" s="2" cm="1">
        <f t="array" ref="O53">GAMMAGREEK($B53,100,0.01,O$44,0.4)</f>
        <v>8.4642288215253346E-3</v>
      </c>
      <c r="P53" s="2" cm="1">
        <f t="array" ref="P53">GAMMAGREEK($B53,100,0.01,P$44,0.4)</f>
        <v>8.1357153638188916E-3</v>
      </c>
      <c r="Q53" s="2" cm="1">
        <f t="array" ref="Q53">GAMMAGREEK($B53,100,0.01,Q$44,0.4)</f>
        <v>7.8399776814892623E-3</v>
      </c>
      <c r="R53" s="2" cm="1">
        <f t="array" ref="R53">GAMMAGREEK($B53,100,0.01,R$44,0.4)</f>
        <v>7.5718352630398571E-3</v>
      </c>
      <c r="S53" s="2" cm="1">
        <f t="array" ref="S53">GAMMAGREEK($B53,100,0.01,S$44,0.4)</f>
        <v>7.3271887529456894E-3</v>
      </c>
      <c r="T53" s="2" cm="1">
        <f t="array" ref="T53">GAMMAGREEK($B53,100,0.01,T$44,0.4)</f>
        <v>7.1027459245291075E-3</v>
      </c>
      <c r="U53" s="2" cm="1">
        <f t="array" ref="U53">GAMMAGREEK($B53,100,0.01,U$44,0.4)</f>
        <v>6.8958280518728668E-3</v>
      </c>
      <c r="V53" s="2" cm="1">
        <f t="array" ref="V53">GAMMAGREEK($B53,100,0.01,V$44,0.4)</f>
        <v>6.7042302072705265E-3</v>
      </c>
      <c r="W53" s="2" cm="1">
        <f t="array" ref="W53">GAMMAGREEK($B53,100,0.01,W$44,0.4)</f>
        <v>6.5261185858568552E-3</v>
      </c>
      <c r="X53" s="2" cm="1">
        <f t="array" ref="X53">GAMMAGREEK($B53,100,0.01,X$44,0.4)</f>
        <v>6.3599537892306242E-3</v>
      </c>
      <c r="Y53" s="2" cm="1">
        <f t="array" ref="Y53">GAMMAGREEK($B53,100,0.01,Y$44,0.4)</f>
        <v>6.2044326502911987E-3</v>
      </c>
      <c r="Z53" s="2" cm="1">
        <f t="array" ref="Z53">GAMMAGREEK($B53,100,0.01,Z$44,0.4)</f>
        <v>6.0584435247264335E-3</v>
      </c>
      <c r="AA53" s="2" cm="1">
        <f t="array" ref="AA53">GAMMAGREEK($B53,100,0.01,AA$44,0.4)</f>
        <v>5.9210315126927583E-3</v>
      </c>
      <c r="AB53" s="2" cm="1">
        <f t="array" ref="AB53">GAMMAGREEK($B53,100,0.01,AB$44,0.4)</f>
        <v>5.7913711044177826E-3</v>
      </c>
      <c r="AC53" s="2" cm="1">
        <f t="array" ref="AC53">GAMMAGREEK($B53,100,0.01,AC$44,0.4)</f>
        <v>5.6687444461983984E-3</v>
      </c>
      <c r="AD53" s="2" cm="1">
        <f t="array" ref="AD53">GAMMAGREEK($B53,100,0.01,AD$44,0.4)</f>
        <v>5.5525239107072936E-3</v>
      </c>
      <c r="AE53" s="2" cm="1">
        <f t="array" ref="AE53">GAMMAGREEK($B53,100,0.01,AE$44,0.4)</f>
        <v>5.4421579988252269E-3</v>
      </c>
      <c r="AF53" s="2" cm="1">
        <f t="array" ref="AF53">GAMMAGREEK($B53,100,0.01,AF$44,0.4)</f>
        <v>5.3371598454244719E-3</v>
      </c>
      <c r="AG53" s="2" cm="1">
        <f t="array" ref="AG53">GAMMAGREEK($B53,100,0.01,AG$44,0.4)</f>
        <v>5.237097778953018E-3</v>
      </c>
      <c r="AH53" s="2" cm="1">
        <f t="array" ref="AH53">GAMMAGREEK($B53,100,0.01,AH$44,0.4)</f>
        <v>5.1415875145946026E-3</v>
      </c>
      <c r="AI53" s="2" cm="1">
        <f t="array" ref="AI53">GAMMAGREEK($B53,100,0.01,AI$44,0.4)</f>
        <v>5.0502856569861086E-3</v>
      </c>
      <c r="AJ53" s="2" cm="1">
        <f t="array" ref="AJ53">GAMMAGREEK($B53,100,0.01,AJ$44,0.4)</f>
        <v>4.9628842604532587E-3</v>
      </c>
      <c r="AK53" s="2" cm="1">
        <f t="array" ref="AK53">GAMMAGREEK($B53,100,0.01,AK$44,0.4)</f>
        <v>4.8791062491011471E-3</v>
      </c>
      <c r="AL53" s="2" cm="1">
        <f t="array" ref="AL53">GAMMAGREEK($B53,100,0.01,AL$44,0.4)</f>
        <v>4.7987015405458848E-3</v>
      </c>
      <c r="AM53" s="2" cm="1">
        <f t="array" ref="AM53">GAMMAGREEK($B53,100,0.01,AM$44,0.4)</f>
        <v>4.7214437489386338E-3</v>
      </c>
      <c r="AN53" s="2" cm="1">
        <f t="array" ref="AN53">GAMMAGREEK($B53,100,0.01,AN$44,0.4)</f>
        <v>4.6471273676253703E-3</v>
      </c>
      <c r="AO53" s="2" cm="1">
        <f t="array" ref="AO53">GAMMAGREEK($B53,100,0.01,AO$44,0.4)</f>
        <v>4.5755653510631813E-3</v>
      </c>
      <c r="AP53" s="2" cm="1">
        <f t="array" ref="AP53">GAMMAGREEK($B53,100,0.01,AP$44,0.4)</f>
        <v>4.506587030770599E-3</v>
      </c>
      <c r="AQ53" s="2" cm="1">
        <f t="array" ref="AQ53">GAMMAGREEK($B53,100,0.01,AQ$44,0.4)</f>
        <v>4.4400363120858169E-3</v>
      </c>
      <c r="AR53" s="2" cm="1">
        <f t="array" ref="AR53">GAMMAGREEK($B53,100,0.01,AR$44,0.4)</f>
        <v>4.3757701080617065E-3</v>
      </c>
      <c r="AS53" s="2" cm="1">
        <f t="array" ref="AS53">GAMMAGREEK($B53,100,0.01,AS$44,0.4)</f>
        <v>4.31365697448259E-3</v>
      </c>
      <c r="AT53" s="2" cm="1">
        <f t="array" ref="AT53">GAMMAGREEK($B53,100,0.01,AT$44,0.4)</f>
        <v>4.2535759161570286E-3</v>
      </c>
      <c r="AU53" s="2" cm="1">
        <f t="array" ref="AU53">GAMMAGREEK($B53,100,0.01,AU$44,0.4)</f>
        <v>4.1954153396390192E-3</v>
      </c>
      <c r="AV53" s="2" cm="1">
        <f t="array" ref="AV53">GAMMAGREEK($B53,100,0.01,AV$44,0.4)</f>
        <v>4.1390721315999216E-3</v>
      </c>
      <c r="AW53" s="2" cm="1">
        <f t="array" ref="AW53">GAMMAGREEK($B53,100,0.01,AW$44,0.4)</f>
        <v>4.084450845403949E-3</v>
      </c>
      <c r="AX53" s="2" cm="1">
        <f t="array" ref="AX53">GAMMAGREEK($B53,100,0.01,AX$44,0.4)</f>
        <v>4.0314629811778807E-3</v>
      </c>
      <c r="AY53" s="2" cm="1">
        <f t="array" ref="AY53">GAMMAGREEK($B53,100,0.01,AY$44,0.4)</f>
        <v>3.9800263469265927E-3</v>
      </c>
      <c r="AZ53" s="2" cm="1">
        <f t="array" ref="AZ53">GAMMAGREEK($B53,100,0.01,AZ$44,0.4)</f>
        <v>3.9300644901207864E-3</v>
      </c>
    </row>
    <row r="54" spans="1:52" x14ac:dyDescent="0.3">
      <c r="A54" s="2"/>
      <c r="B54" s="2">
        <v>105</v>
      </c>
      <c r="C54" s="2" cm="1">
        <f t="array" ref="C54">GAMMAGREEK($B54,100,0.01,C$44,0.4)</f>
        <v>2.7060468958278856E-2</v>
      </c>
      <c r="D54" s="2" cm="1">
        <f t="array" ref="D54">GAMMAGREEK($B54,100,0.01,D$44,0.4)</f>
        <v>1.9809549402613071E-2</v>
      </c>
      <c r="E54" s="2" cm="1">
        <f t="array" ref="E54">GAMMAGREEK($B54,100,0.01,E$44,0.4)</f>
        <v>1.6334813771368518E-2</v>
      </c>
      <c r="F54" s="2" cm="1">
        <f t="array" ref="F54">GAMMAGREEK($B54,100,0.01,F$44,0.4)</f>
        <v>1.4198346655978964E-2</v>
      </c>
      <c r="G54" s="2" cm="1">
        <f t="array" ref="G54">GAMMAGREEK($B54,100,0.01,G$44,0.4)</f>
        <v>1.2714486334632831E-2</v>
      </c>
      <c r="H54" s="2" cm="1">
        <f t="array" ref="H54">GAMMAGREEK($B54,100,0.01,H$44,0.4)</f>
        <v>1.1606086259672136E-2</v>
      </c>
      <c r="I54" s="2" cm="1">
        <f t="array" ref="I54">GAMMAGREEK($B54,100,0.01,I$44,0.4)</f>
        <v>1.0736984090727554E-2</v>
      </c>
      <c r="J54" s="2" cm="1">
        <f t="array" ref="J54">GAMMAGREEK($B54,100,0.01,J$44,0.4)</f>
        <v>1.00314552917132E-2</v>
      </c>
      <c r="K54" s="2" cm="1">
        <f t="array" ref="K54">GAMMAGREEK($B54,100,0.01,K$44,0.4)</f>
        <v>9.443589126783768E-3</v>
      </c>
      <c r="L54" s="2" cm="1">
        <f t="array" ref="L54">GAMMAGREEK($B54,100,0.01,L$44,0.4)</f>
        <v>8.9437159731400387E-3</v>
      </c>
      <c r="M54" s="2" cm="1">
        <f t="array" ref="M54">GAMMAGREEK($B54,100,0.01,M$44,0.4)</f>
        <v>8.5116949356813954E-3</v>
      </c>
      <c r="N54" s="2" cm="1">
        <f t="array" ref="N54">GAMMAGREEK($B54,100,0.01,N$44,0.4)</f>
        <v>8.1333078853316008E-3</v>
      </c>
      <c r="O54" s="2" cm="1">
        <f t="array" ref="O54">GAMMAGREEK($B54,100,0.01,O$44,0.4)</f>
        <v>7.7981924521382242E-3</v>
      </c>
      <c r="P54" s="2" cm="1">
        <f t="array" ref="P54">GAMMAGREEK($B54,100,0.01,P$44,0.4)</f>
        <v>7.4985935039001113E-3</v>
      </c>
      <c r="Q54" s="2" cm="1">
        <f t="array" ref="Q54">GAMMAGREEK($B54,100,0.01,Q$44,0.4)</f>
        <v>7.228575731552867E-3</v>
      </c>
      <c r="R54" s="2" cm="1">
        <f t="array" ref="R54">GAMMAGREEK($B54,100,0.01,R$44,0.4)</f>
        <v>6.9835087051370905E-3</v>
      </c>
      <c r="S54" s="2" cm="1">
        <f t="array" ref="S54">GAMMAGREEK($B54,100,0.01,S$44,0.4)</f>
        <v>6.7597195468694256E-3</v>
      </c>
      <c r="T54" s="2" cm="1">
        <f t="array" ref="T54">GAMMAGREEK($B54,100,0.01,T$44,0.4)</f>
        <v>6.5542523301578628E-3</v>
      </c>
      <c r="U54" s="2" cm="1">
        <f t="array" ref="U54">GAMMAGREEK($B54,100,0.01,U$44,0.4)</f>
        <v>6.3646974895498259E-3</v>
      </c>
      <c r="V54" s="2" cm="1">
        <f t="array" ref="V54">GAMMAGREEK($B54,100,0.01,V$44,0.4)</f>
        <v>6.1890683697939444E-3</v>
      </c>
      <c r="W54" s="2" cm="1">
        <f t="array" ref="W54">GAMMAGREEK($B54,100,0.01,W$44,0.4)</f>
        <v>6.0257102524538531E-3</v>
      </c>
      <c r="X54" s="2" cm="1">
        <f t="array" ref="X54">GAMMAGREEK($B54,100,0.01,X$44,0.4)</f>
        <v>5.8732322207786566E-3</v>
      </c>
      <c r="Y54" s="2" cm="1">
        <f t="array" ref="Y54">GAMMAGREEK($B54,100,0.01,Y$44,0.4)</f>
        <v>5.7304553809988919E-3</v>
      </c>
      <c r="Z54" s="2" cm="1">
        <f t="array" ref="Z54">GAMMAGREEK($B54,100,0.01,Z$44,0.4)</f>
        <v>5.5963729924301949E-3</v>
      </c>
      <c r="AA54" s="2" cm="1">
        <f t="array" ref="AA54">GAMMAGREEK($B54,100,0.01,AA$44,0.4)</f>
        <v>5.4701193984294672E-3</v>
      </c>
      <c r="AB54" s="2" cm="1">
        <f t="array" ref="AB54">GAMMAGREEK($B54,100,0.01,AB$44,0.4)</f>
        <v>5.3509455501914377E-3</v>
      </c>
      <c r="AC54" s="2" cm="1">
        <f t="array" ref="AC54">GAMMAGREEK($B54,100,0.01,AC$44,0.4)</f>
        <v>5.238199530924182E-3</v>
      </c>
      <c r="AD54" s="2" cm="1">
        <f t="array" ref="AD54">GAMMAGREEK($B54,100,0.01,AD$44,0.4)</f>
        <v>5.1313109159536376E-3</v>
      </c>
      <c r="AE54" s="2" cm="1">
        <f t="array" ref="AE54">GAMMAGREEK($B54,100,0.01,AE$44,0.4)</f>
        <v>5.0297781064352473E-3</v>
      </c>
      <c r="AF54" s="2" cm="1">
        <f t="array" ref="AF54">GAMMAGREEK($B54,100,0.01,AF$44,0.4)</f>
        <v>4.9331579905952452E-3</v>
      </c>
      <c r="AG54" s="2" cm="1">
        <f t="array" ref="AG54">GAMMAGREEK($B54,100,0.01,AG$44,0.4)</f>
        <v>4.8410574431902173E-3</v>
      </c>
      <c r="AH54" s="2" cm="1">
        <f t="array" ref="AH54">GAMMAGREEK($B54,100,0.01,AH$44,0.4)</f>
        <v>4.7531262888744442E-3</v>
      </c>
      <c r="AI54" s="2" cm="1">
        <f t="array" ref="AI54">GAMMAGREEK($B54,100,0.01,AI$44,0.4)</f>
        <v>4.6690514404595252E-3</v>
      </c>
      <c r="AJ54" s="2" cm="1">
        <f t="array" ref="AJ54">GAMMAGREEK($B54,100,0.01,AJ$44,0.4)</f>
        <v>4.5885519869640181E-3</v>
      </c>
      <c r="AK54" s="2" cm="1">
        <f t="array" ref="AK54">GAMMAGREEK($B54,100,0.01,AK$44,0.4)</f>
        <v>4.511375054701873E-3</v>
      </c>
      <c r="AL54" s="2" cm="1">
        <f t="array" ref="AL54">GAMMAGREEK($B54,100,0.01,AL$44,0.4)</f>
        <v>4.4372923015648866E-3</v>
      </c>
      <c r="AM54" s="2" cm="1">
        <f t="array" ref="AM54">GAMMAGREEK($B54,100,0.01,AM$44,0.4)</f>
        <v>4.3660969330622211E-3</v>
      </c>
      <c r="AN54" s="2" cm="1">
        <f t="array" ref="AN54">GAMMAGREEK($B54,100,0.01,AN$44,0.4)</f>
        <v>4.297601150718958E-3</v>
      </c>
      <c r="AO54" s="2" cm="1">
        <f t="array" ref="AO54">GAMMAGREEK($B54,100,0.01,AO$44,0.4)</f>
        <v>4.2316339606608532E-3</v>
      </c>
      <c r="AP54" s="2" cm="1">
        <f t="array" ref="AP54">GAMMAGREEK($B54,100,0.01,AP$44,0.4)</f>
        <v>4.1680392837696815E-3</v>
      </c>
      <c r="AQ54" s="2" cm="1">
        <f t="array" ref="AQ54">GAMMAGREEK($B54,100,0.01,AQ$44,0.4)</f>
        <v>4.1066743195344937E-3</v>
      </c>
      <c r="AR54" s="2" cm="1">
        <f t="array" ref="AR54">GAMMAGREEK($B54,100,0.01,AR$44,0.4)</f>
        <v>4.047408124287266E-3</v>
      </c>
      <c r="AS54" s="2" cm="1">
        <f t="array" ref="AS54">GAMMAGREEK($B54,100,0.01,AS$44,0.4)</f>
        <v>3.9901203713786915E-3</v>
      </c>
      <c r="AT54" s="2" cm="1">
        <f t="array" ref="AT54">GAMMAGREEK($B54,100,0.01,AT$44,0.4)</f>
        <v>3.9347002663882302E-3</v>
      </c>
      <c r="AU54" s="2" cm="1">
        <f t="array" ref="AU54">GAMMAGREEK($B54,100,0.01,AU$44,0.4)</f>
        <v>3.8810455949530964E-3</v>
      </c>
      <c r="AV54" s="2" cm="1">
        <f t="array" ref="AV54">GAMMAGREEK($B54,100,0.01,AV$44,0.4)</f>
        <v>3.8290618844602151E-3</v>
      </c>
      <c r="AW54" s="2" cm="1">
        <f t="array" ref="AW54">GAMMAGREEK($B54,100,0.01,AW$44,0.4)</f>
        <v>3.7786616638418712E-3</v>
      </c>
      <c r="AX54" s="2" cm="1">
        <f t="array" ref="AX54">GAMMAGREEK($B54,100,0.01,AX$44,0.4)</f>
        <v>3.729763808180929E-3</v>
      </c>
      <c r="AY54" s="2" cm="1">
        <f t="array" ref="AY54">GAMMAGREEK($B54,100,0.01,AY$44,0.4)</f>
        <v>3.6822929568685269E-3</v>
      </c>
      <c r="AZ54" s="2" cm="1">
        <f t="array" ref="AZ54">GAMMAGREEK($B54,100,0.01,AZ$44,0.4)</f>
        <v>3.6361789957473738E-3</v>
      </c>
    </row>
    <row r="55" spans="1:52" x14ac:dyDescent="0.3">
      <c r="A55" s="2"/>
      <c r="B55" s="2">
        <v>110</v>
      </c>
      <c r="C55" s="2" cm="1">
        <f t="array" ref="C55">GAMMAGREEK($B55,100,0.01,C$44,0.4)</f>
        <v>2.0407459239631193E-2</v>
      </c>
      <c r="D55" s="2" cm="1">
        <f t="array" ref="D55">GAMMAGREEK($B55,100,0.01,D$44,0.4)</f>
        <v>1.6588897019577217E-2</v>
      </c>
      <c r="E55" s="2" cm="1">
        <f t="array" ref="E55">GAMMAGREEK($B55,100,0.01,E$44,0.4)</f>
        <v>1.416511811110192E-2</v>
      </c>
      <c r="F55" s="2" cm="1">
        <f t="array" ref="F55">GAMMAGREEK($B55,100,0.01,F$44,0.4)</f>
        <v>1.252925756247129E-2</v>
      </c>
      <c r="G55" s="2" cm="1">
        <f t="array" ref="G55">GAMMAGREEK($B55,100,0.01,G$44,0.4)</f>
        <v>1.1337970184019322E-2</v>
      </c>
      <c r="H55" s="2" cm="1">
        <f t="array" ref="H55">GAMMAGREEK($B55,100,0.01,H$44,0.4)</f>
        <v>1.0422092057052875E-2</v>
      </c>
      <c r="I55" s="2" cm="1">
        <f t="array" ref="I55">GAMMAGREEK($B55,100,0.01,I$44,0.4)</f>
        <v>9.6898616738893429E-3</v>
      </c>
      <c r="J55" s="2" cm="1">
        <f t="array" ref="J55">GAMMAGREEK($B55,100,0.01,J$44,0.4)</f>
        <v>9.0870690343232488E-3</v>
      </c>
      <c r="K55" s="2" cm="1">
        <f t="array" ref="K55">GAMMAGREEK($B55,100,0.01,K$44,0.4)</f>
        <v>8.5794719851602589E-3</v>
      </c>
      <c r="L55" s="2" cm="1">
        <f t="array" ref="L55">GAMMAGREEK($B55,100,0.01,L$44,0.4)</f>
        <v>8.144273488185234E-3</v>
      </c>
      <c r="M55" s="2" cm="1">
        <f t="array" ref="M55">GAMMAGREEK($B55,100,0.01,M$44,0.4)</f>
        <v>7.7656440149917894E-3</v>
      </c>
      <c r="N55" s="2" cm="1">
        <f t="array" ref="N55">GAMMAGREEK($B55,100,0.01,N$44,0.4)</f>
        <v>7.4322082974345709E-3</v>
      </c>
      <c r="O55" s="2" cm="1">
        <f t="array" ref="O55">GAMMAGREEK($B55,100,0.01,O$44,0.4)</f>
        <v>7.1355557745001984E-3</v>
      </c>
      <c r="P55" s="2" cm="1">
        <f t="array" ref="P55">GAMMAGREEK($B55,100,0.01,P$44,0.4)</f>
        <v>6.8693168650928874E-3</v>
      </c>
      <c r="Q55" s="2" cm="1">
        <f t="array" ref="Q55">GAMMAGREEK($B55,100,0.01,Q$44,0.4)</f>
        <v>6.6285678372682948E-3</v>
      </c>
      <c r="R55" s="2" cm="1">
        <f t="array" ref="R55">GAMMAGREEK($B55,100,0.01,R$44,0.4)</f>
        <v>6.4094346843325467E-3</v>
      </c>
      <c r="S55" s="2" cm="1">
        <f t="array" ref="S55">GAMMAGREEK($B55,100,0.01,S$44,0.4)</f>
        <v>6.208821944318794E-3</v>
      </c>
      <c r="T55" s="2" cm="1">
        <f t="array" ref="T55">GAMMAGREEK($B55,100,0.01,T$44,0.4)</f>
        <v>6.0242224505724666E-3</v>
      </c>
      <c r="U55" s="2" cm="1">
        <f t="array" ref="U55">GAMMAGREEK($B55,100,0.01,U$44,0.4)</f>
        <v>5.8535809560102299E-3</v>
      </c>
      <c r="V55" s="2" cm="1">
        <f t="array" ref="V55">GAMMAGREEK($B55,100,0.01,V$44,0.4)</f>
        <v>5.6951944937231325E-3</v>
      </c>
      <c r="W55" s="2" cm="1">
        <f t="array" ref="W55">GAMMAGREEK($B55,100,0.01,W$44,0.4)</f>
        <v>5.5476383296756936E-3</v>
      </c>
      <c r="X55" s="2" cm="1">
        <f t="array" ref="X55">GAMMAGREEK($B55,100,0.01,X$44,0.4)</f>
        <v>5.4097100882619905E-3</v>
      </c>
      <c r="Y55" s="2" cm="1">
        <f t="array" ref="Y55">GAMMAGREEK($B55,100,0.01,Y$44,0.4)</f>
        <v>5.2803870062897952E-3</v>
      </c>
      <c r="Z55" s="2" cm="1">
        <f t="array" ref="Z55">GAMMAGREEK($B55,100,0.01,Z$44,0.4)</f>
        <v>5.1587928199062086E-3</v>
      </c>
      <c r="AA55" s="2" cm="1">
        <f t="array" ref="AA55">GAMMAGREEK($B55,100,0.01,AA$44,0.4)</f>
        <v>5.044171820287731E-3</v>
      </c>
      <c r="AB55" s="2" cm="1">
        <f t="array" ref="AB55">GAMMAGREEK($B55,100,0.01,AB$44,0.4)</f>
        <v>4.9358683135417702E-3</v>
      </c>
      <c r="AC55" s="2" cm="1">
        <f t="array" ref="AC55">GAMMAGREEK($B55,100,0.01,AC$44,0.4)</f>
        <v>4.8333102030435043E-3</v>
      </c>
      <c r="AD55" s="2" cm="1">
        <f t="array" ref="AD55">GAMMAGREEK($B55,100,0.01,AD$44,0.4)</f>
        <v>4.7359957508149621E-3</v>
      </c>
      <c r="AE55" s="2" cm="1">
        <f t="array" ref="AE55">GAMMAGREEK($B55,100,0.01,AE$44,0.4)</f>
        <v>4.6434828151567416E-3</v>
      </c>
      <c r="AF55" s="2" cm="1">
        <f t="array" ref="AF55">GAMMAGREEK($B55,100,0.01,AF$44,0.4)</f>
        <v>4.5553800350997334E-3</v>
      </c>
      <c r="AG55" s="2" cm="1">
        <f t="array" ref="AG55">GAMMAGREEK($B55,100,0.01,AG$44,0.4)</f>
        <v>4.4713395586877917E-3</v>
      </c>
      <c r="AH55" s="2" cm="1">
        <f t="array" ref="AH55">GAMMAGREEK($B55,100,0.01,AH$44,0.4)</f>
        <v>4.3910510053812414E-3</v>
      </c>
      <c r="AI55" s="2" cm="1">
        <f t="array" ref="AI55">GAMMAGREEK($B55,100,0.01,AI$44,0.4)</f>
        <v>4.3142364224150534E-3</v>
      </c>
      <c r="AJ55" s="2" cm="1">
        <f t="array" ref="AJ55">GAMMAGREEK($B55,100,0.01,AJ$44,0.4)</f>
        <v>4.2406460473073263E-3</v>
      </c>
      <c r="AK55" s="2" cm="1">
        <f t="array" ref="AK55">GAMMAGREEK($B55,100,0.01,AK$44,0.4)</f>
        <v>4.1700547285034107E-3</v>
      </c>
      <c r="AL55" s="2" cm="1">
        <f t="array" ref="AL55">GAMMAGREEK($B55,100,0.01,AL$44,0.4)</f>
        <v>4.1022588866393064E-3</v>
      </c>
      <c r="AM55" s="2" cm="1">
        <f t="array" ref="AM55">GAMMAGREEK($B55,100,0.01,AM$44,0.4)</f>
        <v>4.0370739224747957E-3</v>
      </c>
      <c r="AN55" s="2" cm="1">
        <f t="array" ref="AN55">GAMMAGREEK($B55,100,0.01,AN$44,0.4)</f>
        <v>3.9743319958967915E-3</v>
      </c>
      <c r="AO55" s="2" cm="1">
        <f t="array" ref="AO55">GAMMAGREEK($B55,100,0.01,AO$44,0.4)</f>
        <v>3.9138801147844586E-3</v>
      </c>
      <c r="AP55" s="2" cm="1">
        <f t="array" ref="AP55">GAMMAGREEK($B55,100,0.01,AP$44,0.4)</f>
        <v>3.8555784838907961E-3</v>
      </c>
      <c r="AQ55" s="2" cm="1">
        <f t="array" ref="AQ55">GAMMAGREEK($B55,100,0.01,AQ$44,0.4)</f>
        <v>3.7992990729252643E-3</v>
      </c>
      <c r="AR55" s="2" cm="1">
        <f t="array" ref="AR55">GAMMAGREEK($B55,100,0.01,AR$44,0.4)</f>
        <v>3.7449243702416851E-3</v>
      </c>
      <c r="AS55" s="2" cm="1">
        <f t="array" ref="AS55">GAMMAGREEK($B55,100,0.01,AS$44,0.4)</f>
        <v>3.6923462943411387E-3</v>
      </c>
      <c r="AT55" s="2" cm="1">
        <f t="array" ref="AT55">GAMMAGREEK($B55,100,0.01,AT$44,0.4)</f>
        <v>3.6414652400936286E-3</v>
      </c>
      <c r="AU55" s="2" cm="1">
        <f t="array" ref="AU55">GAMMAGREEK($B55,100,0.01,AU$44,0.4)</f>
        <v>3.5921892403974823E-3</v>
      </c>
      <c r="AV55" s="2" cm="1">
        <f t="array" ref="AV55">GAMMAGREEK($B55,100,0.01,AV$44,0.4)</f>
        <v>3.5444332271116555E-3</v>
      </c>
      <c r="AW55" s="2" cm="1">
        <f t="array" ref="AW55">GAMMAGREEK($B55,100,0.01,AW$44,0.4)</f>
        <v>3.498118377653554E-3</v>
      </c>
      <c r="AX55" s="2" cm="1">
        <f t="array" ref="AX55">GAMMAGREEK($B55,100,0.01,AX$44,0.4)</f>
        <v>3.453171535763216E-3</v>
      </c>
      <c r="AY55" s="2" cm="1">
        <f t="array" ref="AY55">GAMMAGREEK($B55,100,0.01,AY$44,0.4)</f>
        <v>3.4095246966802423E-3</v>
      </c>
      <c r="AZ55" s="2" cm="1">
        <f t="array" ref="AZ55">GAMMAGREEK($B55,100,0.01,AZ$44,0.4)</f>
        <v>3.3671145484309834E-3</v>
      </c>
    </row>
    <row r="56" spans="1:52" x14ac:dyDescent="0.3">
      <c r="A56" s="2"/>
      <c r="B56" s="2">
        <v>115</v>
      </c>
      <c r="C56" s="2" cm="1">
        <f t="array" ref="C56">GAMMAGREEK($B56,100,0.01,C$44,0.4)</f>
        <v>1.3734374616933852E-2</v>
      </c>
      <c r="D56" s="2" cm="1">
        <f t="array" ref="D56">GAMMAGREEK($B56,100,0.01,D$44,0.4)</f>
        <v>1.3144538242073206E-2</v>
      </c>
      <c r="E56" s="2" cm="1">
        <f t="array" ref="E56">GAMMAGREEK($B56,100,0.01,E$44,0.4)</f>
        <v>1.1851790895811832E-2</v>
      </c>
      <c r="F56" s="2" cm="1">
        <f t="array" ref="F56">GAMMAGREEK($B56,100,0.01,F$44,0.4)</f>
        <v>1.0772266674920391E-2</v>
      </c>
      <c r="G56" s="2" cm="1">
        <f t="array" ref="G56">GAMMAGREEK($B56,100,0.01,G$44,0.4)</f>
        <v>9.9084987020282237E-3</v>
      </c>
      <c r="H56" s="2" cm="1">
        <f t="array" ref="H56">GAMMAGREEK($B56,100,0.01,H$44,0.4)</f>
        <v>9.2077738178183779E-3</v>
      </c>
      <c r="I56" s="2" cm="1">
        <f t="array" ref="I56">GAMMAGREEK($B56,100,0.01,I$44,0.4)</f>
        <v>8.6276770529152141E-3</v>
      </c>
      <c r="J56" s="2" cm="1">
        <f t="array" ref="J56">GAMMAGREEK($B56,100,0.01,J$44,0.4)</f>
        <v>8.138278624941226E-3</v>
      </c>
      <c r="K56" s="2" cm="1">
        <f t="array" ref="K56">GAMMAGREEK($B56,100,0.01,K$44,0.4)</f>
        <v>7.7186073841711772E-3</v>
      </c>
      <c r="L56" s="2" cm="1">
        <f t="array" ref="L56">GAMMAGREEK($B56,100,0.01,L$44,0.4)</f>
        <v>7.3537095017551478E-3</v>
      </c>
      <c r="M56" s="2" cm="1">
        <f t="array" ref="M56">GAMMAGREEK($B56,100,0.01,M$44,0.4)</f>
        <v>7.0326796141570785E-3</v>
      </c>
      <c r="N56" s="2" cm="1">
        <f t="array" ref="N56">GAMMAGREEK($B56,100,0.01,N$44,0.4)</f>
        <v>6.7473865203629838E-3</v>
      </c>
      <c r="O56" s="2" cm="1">
        <f t="array" ref="O56">GAMMAGREEK($B56,100,0.01,O$44,0.4)</f>
        <v>6.4916425282848314E-3</v>
      </c>
      <c r="P56" s="2" cm="1">
        <f t="array" ref="P56">GAMMAGREEK($B56,100,0.01,P$44,0.4)</f>
        <v>6.2606517800349541E-3</v>
      </c>
      <c r="Q56" s="2" cm="1">
        <f t="array" ref="Q56">GAMMAGREEK($B56,100,0.01,Q$44,0.4)</f>
        <v>6.0506358651477299E-3</v>
      </c>
      <c r="R56" s="2" cm="1">
        <f t="array" ref="R56">GAMMAGREEK($B56,100,0.01,R$44,0.4)</f>
        <v>5.8585742337030466E-3</v>
      </c>
      <c r="S56" s="2" cm="1">
        <f t="array" ref="S56">GAMMAGREEK($B56,100,0.01,S$44,0.4)</f>
        <v>5.6820205203469351E-3</v>
      </c>
      <c r="T56" s="2" cm="1">
        <f t="array" ref="T56">GAMMAGREEK($B56,100,0.01,T$44,0.4)</f>
        <v>5.5189701206826564E-3</v>
      </c>
      <c r="U56" s="2" cm="1">
        <f t="array" ref="U56">GAMMAGREEK($B56,100,0.01,U$44,0.4)</f>
        <v>5.3677630640325521E-3</v>
      </c>
      <c r="V56" s="2" cm="1">
        <f t="array" ref="V56">GAMMAGREEK($B56,100,0.01,V$44,0.4)</f>
        <v>5.227011647615883E-3</v>
      </c>
      <c r="W56" s="2" cm="1">
        <f t="array" ref="W56">GAMMAGREEK($B56,100,0.01,W$44,0.4)</f>
        <v>5.0955457411274328E-3</v>
      </c>
      <c r="X56" s="2" cm="1">
        <f t="array" ref="X56">GAMMAGREEK($B56,100,0.01,X$44,0.4)</f>
        <v>4.9723709016230204E-3</v>
      </c>
      <c r="Y56" s="2" cm="1">
        <f t="array" ref="Y56">GAMMAGREEK($B56,100,0.01,Y$44,0.4)</f>
        <v>4.8566359110224612E-3</v>
      </c>
      <c r="Z56" s="2" cm="1">
        <f t="array" ref="Z56">GAMMAGREEK($B56,100,0.01,Z$44,0.4)</f>
        <v>4.7476073376270808E-3</v>
      </c>
      <c r="AA56" s="2" cm="1">
        <f t="array" ref="AA56">GAMMAGREEK($B56,100,0.01,AA$44,0.4)</f>
        <v>4.6446493985473321E-3</v>
      </c>
      <c r="AB56" s="2" cm="1">
        <f t="array" ref="AB56">GAMMAGREEK($B56,100,0.01,AB$44,0.4)</f>
        <v>4.5472078684471581E-3</v>
      </c>
      <c r="AC56" s="2" cm="1">
        <f t="array" ref="AC56">GAMMAGREEK($B56,100,0.01,AC$44,0.4)</f>
        <v>4.4547971096715391E-3</v>
      </c>
      <c r="AD56" s="2" cm="1">
        <f t="array" ref="AD56">GAMMAGREEK($B56,100,0.01,AD$44,0.4)</f>
        <v>4.3669895339150762E-3</v>
      </c>
      <c r="AE56" s="2" cm="1">
        <f t="array" ref="AE56">GAMMAGREEK($B56,100,0.01,AE$44,0.4)</f>
        <v>4.2834069753508244E-3</v>
      </c>
      <c r="AF56" s="2" cm="1">
        <f t="array" ref="AF56">GAMMAGREEK($B56,100,0.01,AF$44,0.4)</f>
        <v>4.2037135791639212E-3</v>
      </c>
      <c r="AG56" s="2" cm="1">
        <f t="array" ref="AG56">GAMMAGREEK($B56,100,0.01,AG$44,0.4)</f>
        <v>4.1276099010395893E-3</v>
      </c>
      <c r="AH56" s="2" cm="1">
        <f t="array" ref="AH56">GAMMAGREEK($B56,100,0.01,AH$44,0.4)</f>
        <v>4.0548279815090099E-3</v>
      </c>
      <c r="AI56" s="2" cm="1">
        <f t="array" ref="AI56">GAMMAGREEK($B56,100,0.01,AI$44,0.4)</f>
        <v>3.9851272105513556E-3</v>
      </c>
      <c r="AJ56" s="2" cm="1">
        <f t="array" ref="AJ56">GAMMAGREEK($B56,100,0.01,AJ$44,0.4)</f>
        <v>3.9182908369944282E-3</v>
      </c>
      <c r="AK56" s="2" cm="1">
        <f t="array" ref="AK56">GAMMAGREEK($B56,100,0.01,AK$44,0.4)</f>
        <v>3.8541230072644556E-3</v>
      </c>
      <c r="AL56" s="2" cm="1">
        <f t="array" ref="AL56">GAMMAGREEK($B56,100,0.01,AL$44,0.4)</f>
        <v>3.7924462412239298E-3</v>
      </c>
      <c r="AM56" s="2" cm="1">
        <f t="array" ref="AM56">GAMMAGREEK($B56,100,0.01,AM$44,0.4)</f>
        <v>3.7330992708896568E-3</v>
      </c>
      <c r="AN56" s="2" cm="1">
        <f t="array" ref="AN56">GAMMAGREEK($B56,100,0.01,AN$44,0.4)</f>
        <v>3.6759351819787233E-3</v>
      </c>
      <c r="AO56" s="2" cm="1">
        <f t="array" ref="AO56">GAMMAGREEK($B56,100,0.01,AO$44,0.4)</f>
        <v>3.6208198094040051E-3</v>
      </c>
      <c r="AP56" s="2" cm="1">
        <f t="array" ref="AP56">GAMMAGREEK($B56,100,0.01,AP$44,0.4)</f>
        <v>3.5676303467174673E-3</v>
      </c>
      <c r="AQ56" s="2" cm="1">
        <f t="array" ref="AQ56">GAMMAGREEK($B56,100,0.01,AQ$44,0.4)</f>
        <v>3.5162541365936885E-3</v>
      </c>
      <c r="AR56" s="2" cm="1">
        <f t="array" ref="AR56">GAMMAGREEK($B56,100,0.01,AR$44,0.4)</f>
        <v>3.4665876151483001E-3</v>
      </c>
      <c r="AS56" s="2" cm="1">
        <f t="array" ref="AS56">GAMMAGREEK($B56,100,0.01,AS$44,0.4)</f>
        <v>3.4185353874944631E-3</v>
      </c>
      <c r="AT56" s="2" cm="1">
        <f t="array" ref="AT56">GAMMAGREEK($B56,100,0.01,AT$44,0.4)</f>
        <v>3.3720094156841993E-3</v>
      </c>
      <c r="AU56" s="2" cm="1">
        <f t="array" ref="AU56">GAMMAGREEK($B56,100,0.01,AU$44,0.4)</f>
        <v>3.3269283032378505E-3</v>
      </c>
      <c r="AV56" s="2" cm="1">
        <f t="array" ref="AV56">GAMMAGREEK($B56,100,0.01,AV$44,0.4)</f>
        <v>3.283216662971814E-3</v>
      </c>
      <c r="AW56" s="2" cm="1">
        <f t="array" ref="AW56">GAMMAGREEK($B56,100,0.01,AW$44,0.4)</f>
        <v>3.2408045569004085E-3</v>
      </c>
      <c r="AX56" s="2" cm="1">
        <f t="array" ref="AX56">GAMMAGREEK($B56,100,0.01,AX$44,0.4)</f>
        <v>3.1996269986969191E-3</v>
      </c>
      <c r="AY56" s="2" cm="1">
        <f t="array" ref="AY56">GAMMAGREEK($B56,100,0.01,AY$44,0.4)</f>
        <v>3.15962351061919E-3</v>
      </c>
      <c r="AZ56" s="2" cm="1">
        <f t="array" ref="AZ56">GAMMAGREEK($B56,100,0.01,AZ$44,0.4)</f>
        <v>3.1207377279898591E-3</v>
      </c>
    </row>
    <row r="57" spans="1:52" x14ac:dyDescent="0.3">
      <c r="A57" s="2"/>
      <c r="B57" s="2">
        <v>120</v>
      </c>
      <c r="C57" s="2" cm="1">
        <f t="array" ref="C57">GAMMAGREEK($B57,100,0.01,C$44,0.4)</f>
        <v>8.3731923526671453E-3</v>
      </c>
      <c r="D57" s="2" cm="1">
        <f t="array" ref="D57">GAMMAGREEK($B57,100,0.01,D$44,0.4)</f>
        <v>9.9276455530618955E-3</v>
      </c>
      <c r="E57" s="2" cm="1">
        <f t="array" ref="E57">GAMMAGREEK($B57,100,0.01,E$44,0.4)</f>
        <v>9.6137131412659116E-3</v>
      </c>
      <c r="F57" s="2" cm="1">
        <f t="array" ref="F57">GAMMAGREEK($B57,100,0.01,F$44,0.4)</f>
        <v>9.0556035253487113E-3</v>
      </c>
      <c r="G57" s="2" cm="1">
        <f t="array" ref="G57">GAMMAGREEK($B57,100,0.01,G$44,0.4)</f>
        <v>8.5098133685480113E-3</v>
      </c>
      <c r="H57" s="2" cm="1">
        <f t="array" ref="H57">GAMMAGREEK($B57,100,0.01,H$44,0.4)</f>
        <v>8.0217305756347564E-3</v>
      </c>
      <c r="I57" s="2" cm="1">
        <f t="array" ref="I57">GAMMAGREEK($B57,100,0.01,I$44,0.4)</f>
        <v>7.5934086626077762E-3</v>
      </c>
      <c r="J57" s="2" cm="1">
        <f t="array" ref="J57">GAMMAGREEK($B57,100,0.01,J$44,0.4)</f>
        <v>7.2176787061213237E-3</v>
      </c>
      <c r="K57" s="2" cm="1">
        <f t="array" ref="K57">GAMMAGREEK($B57,100,0.01,K$44,0.4)</f>
        <v>6.8863294486785787E-3</v>
      </c>
      <c r="L57" s="2" cm="1">
        <f t="array" ref="L57">GAMMAGREEK($B57,100,0.01,L$44,0.4)</f>
        <v>6.5920789237957494E-3</v>
      </c>
      <c r="M57" s="2" cm="1">
        <f t="array" ref="M57">GAMMAGREEK($B57,100,0.01,M$44,0.4)</f>
        <v>6.3288967624881452E-3</v>
      </c>
      <c r="N57" s="2" cm="1">
        <f t="array" ref="N57">GAMMAGREEK($B57,100,0.01,N$44,0.4)</f>
        <v>6.0918912634278337E-3</v>
      </c>
      <c r="O57" s="2" cm="1">
        <f t="array" ref="O57">GAMMAGREEK($B57,100,0.01,O$44,0.4)</f>
        <v>5.8771083644118391E-3</v>
      </c>
      <c r="P57" s="2" cm="1">
        <f t="array" ref="P57">GAMMAGREEK($B57,100,0.01,P$44,0.4)</f>
        <v>5.6813407088274065E-3</v>
      </c>
      <c r="Q57" s="2" cm="1">
        <f t="array" ref="Q57">GAMMAGREEK($B57,100,0.01,Q$44,0.4)</f>
        <v>5.5019697205616752E-3</v>
      </c>
      <c r="R57" s="2" cm="1">
        <f t="array" ref="R57">GAMMAGREEK($B57,100,0.01,R$44,0.4)</f>
        <v>5.3368410983374278E-3</v>
      </c>
      <c r="S57" s="2" cm="1">
        <f t="array" ref="S57">GAMMAGREEK($B57,100,0.01,S$44,0.4)</f>
        <v>5.1841683236508607E-3</v>
      </c>
      <c r="T57" s="2" cm="1">
        <f t="array" ref="T57">GAMMAGREEK($B57,100,0.01,T$44,0.4)</f>
        <v>5.0424581771236193E-3</v>
      </c>
      <c r="U57" s="2" cm="1">
        <f t="array" ref="U57">GAMMAGREEK($B57,100,0.01,U$44,0.4)</f>
        <v>4.9104531161157493E-3</v>
      </c>
      <c r="V57" s="2" cm="1">
        <f t="array" ref="V57">GAMMAGREEK($B57,100,0.01,V$44,0.4)</f>
        <v>4.7870864611597019E-3</v>
      </c>
      <c r="W57" s="2" cm="1">
        <f t="array" ref="W57">GAMMAGREEK($B57,100,0.01,W$44,0.4)</f>
        <v>4.6714473077709706E-3</v>
      </c>
      <c r="X57" s="2" cm="1">
        <f t="array" ref="X57">GAMMAGREEK($B57,100,0.01,X$44,0.4)</f>
        <v>4.5627528487413582E-3</v>
      </c>
      <c r="Y57" s="2" cm="1">
        <f t="array" ref="Y57">GAMMAGREEK($B57,100,0.01,Y$44,0.4)</f>
        <v>4.4603263751068238E-3</v>
      </c>
      <c r="Z57" s="2" cm="1">
        <f t="array" ref="Z57">GAMMAGREEK($B57,100,0.01,Z$44,0.4)</f>
        <v>4.3635796581017634E-3</v>
      </c>
      <c r="AA57" s="2" cm="1">
        <f t="array" ref="AA57">GAMMAGREEK($B57,100,0.01,AA$44,0.4)</f>
        <v>4.2719987354381556E-3</v>
      </c>
      <c r="AB57" s="2" cm="1">
        <f t="array" ref="AB57">GAMMAGREEK($B57,100,0.01,AB$44,0.4)</f>
        <v>4.1851323625239668E-3</v>
      </c>
      <c r="AC57" s="2" cm="1">
        <f t="array" ref="AC57">GAMMAGREEK($B57,100,0.01,AC$44,0.4)</f>
        <v>4.1025825651280759E-3</v>
      </c>
      <c r="AD57" s="2" cm="1">
        <f t="array" ref="AD57">GAMMAGREEK($B57,100,0.01,AD$44,0.4)</f>
        <v>4.0239968610277033E-3</v>
      </c>
      <c r="AE57" s="2" cm="1">
        <f t="array" ref="AE57">GAMMAGREEK($B57,100,0.01,AE$44,0.4)</f>
        <v>3.9490618163667054E-3</v>
      </c>
      <c r="AF57" s="2" cm="1">
        <f t="array" ref="AF57">GAMMAGREEK($B57,100,0.01,AF$44,0.4)</f>
        <v>3.8774976765210125E-3</v>
      </c>
      <c r="AG57" s="2" cm="1">
        <f t="array" ref="AG57">GAMMAGREEK($B57,100,0.01,AG$44,0.4)</f>
        <v>3.8090538675189926E-3</v>
      </c>
      <c r="AH57" s="2" cm="1">
        <f t="array" ref="AH57">GAMMAGREEK($B57,100,0.01,AH$44,0.4)</f>
        <v>3.7435052070794762E-3</v>
      </c>
      <c r="AI57" s="2" cm="1">
        <f t="array" ref="AI57">GAMMAGREEK($B57,100,0.01,AI$44,0.4)</f>
        <v>3.680648697447875E-3</v>
      </c>
      <c r="AJ57" s="2" cm="1">
        <f t="array" ref="AJ57">GAMMAGREEK($B57,100,0.01,AJ$44,0.4)</f>
        <v>3.6203007978792196E-3</v>
      </c>
      <c r="AK57" s="2" cm="1">
        <f t="array" ref="AK57">GAMMAGREEK($B57,100,0.01,AK$44,0.4)</f>
        <v>3.5622950946413252E-3</v>
      </c>
      <c r="AL57" s="2" cm="1">
        <f t="array" ref="AL57">GAMMAGREEK($B57,100,0.01,AL$44,0.4)</f>
        <v>3.5064803021311783E-3</v>
      </c>
      <c r="AM57" s="2" cm="1">
        <f t="array" ref="AM57">GAMMAGREEK($B57,100,0.01,AM$44,0.4)</f>
        <v>3.4527185411134895E-3</v>
      </c>
      <c r="AN57" s="2" cm="1">
        <f t="array" ref="AN57">GAMMAGREEK($B57,100,0.01,AN$44,0.4)</f>
        <v>3.4008838499541396E-3</v>
      </c>
      <c r="AO57" s="2" cm="1">
        <f t="array" ref="AO57">GAMMAGREEK($B57,100,0.01,AO$44,0.4)</f>
        <v>3.3508608926016226E-3</v>
      </c>
      <c r="AP57" s="2" cm="1">
        <f t="array" ref="AP57">GAMMAGREEK($B57,100,0.01,AP$44,0.4)</f>
        <v>3.3025438333995328E-3</v>
      </c>
      <c r="AQ57" s="2" cm="1">
        <f t="array" ref="AQ57">GAMMAGREEK($B57,100,0.01,AQ$44,0.4)</f>
        <v>3.2558353539240254E-3</v>
      </c>
      <c r="AR57" s="2" cm="1">
        <f t="array" ref="AR57">GAMMAGREEK($B57,100,0.01,AR$44,0.4)</f>
        <v>3.2106457911874387E-3</v>
      </c>
      <c r="AS57" s="2" cm="1">
        <f t="array" ref="AS57">GAMMAGREEK($B57,100,0.01,AS$44,0.4)</f>
        <v>3.1668923799305893E-3</v>
      </c>
      <c r="AT57" s="2" cm="1">
        <f t="array" ref="AT57">GAMMAGREEK($B57,100,0.01,AT$44,0.4)</f>
        <v>3.1244985844958214E-3</v>
      </c>
      <c r="AU57" s="2" cm="1">
        <f t="array" ref="AU57">GAMMAGREEK($B57,100,0.01,AU$44,0.4)</f>
        <v>3.0833935080513569E-3</v>
      </c>
      <c r="AV57" s="2" cm="1">
        <f t="array" ref="AV57">GAMMAGREEK($B57,100,0.01,AV$44,0.4)</f>
        <v>3.0435113688198449E-3</v>
      </c>
      <c r="AW57" s="2" cm="1">
        <f t="array" ref="AW57">GAMMAGREEK($B57,100,0.01,AW$44,0.4)</f>
        <v>3.0047910345254903E-3</v>
      </c>
      <c r="AX57" s="2" cm="1">
        <f t="array" ref="AX57">GAMMAGREEK($B57,100,0.01,AX$44,0.4)</f>
        <v>2.967175607574432E-3</v>
      </c>
      <c r="AY57" s="2" cm="1">
        <f t="array" ref="AY57">GAMMAGREEK($B57,100,0.01,AY$44,0.4)</f>
        <v>2.9306120545699679E-3</v>
      </c>
      <c r="AZ57" s="2" cm="1">
        <f t="array" ref="AZ57">GAMMAGREEK($B57,100,0.01,AZ$44,0.4)</f>
        <v>2.8950508746760453E-3</v>
      </c>
    </row>
    <row r="58" spans="1:52" x14ac:dyDescent="0.3">
      <c r="A58" s="2"/>
      <c r="B58" s="2">
        <v>125</v>
      </c>
      <c r="C58" s="2" cm="1">
        <f t="array" ref="C58">GAMMAGREEK($B58,100,0.01,C$44,0.4)</f>
        <v>4.683305428760806E-3</v>
      </c>
      <c r="D58" s="2" cm="1">
        <f t="array" ref="D58">GAMMAGREEK($B58,100,0.01,D$44,0.4)</f>
        <v>7.1916140270652518E-3</v>
      </c>
      <c r="E58" s="2" cm="1">
        <f t="array" ref="E58">GAMMAGREEK($B58,100,0.01,E$44,0.4)</f>
        <v>7.5912069567103911E-3</v>
      </c>
      <c r="F58" s="2" cm="1">
        <f t="array" ref="F58">GAMMAGREEK($B58,100,0.01,F$44,0.4)</f>
        <v>7.4654648419457906E-3</v>
      </c>
      <c r="G58" s="2" cm="1">
        <f t="array" ref="G58">GAMMAGREEK($B58,100,0.01,G$44,0.4)</f>
        <v>7.1993180404580802E-3</v>
      </c>
      <c r="H58" s="2" cm="1">
        <f t="array" ref="H58">GAMMAGREEK($B58,100,0.01,H$44,0.4)</f>
        <v>6.9044216914910346E-3</v>
      </c>
      <c r="I58" s="2" cm="1">
        <f t="array" ref="I58">GAMMAGREEK($B58,100,0.01,I$44,0.4)</f>
        <v>6.6167468547869042E-3</v>
      </c>
      <c r="J58" s="2" cm="1">
        <f t="array" ref="J58">GAMMAGREEK($B58,100,0.01,J$44,0.4)</f>
        <v>6.347704099172847E-3</v>
      </c>
      <c r="K58" s="2" cm="1">
        <f t="array" ref="K58">GAMMAGREEK($B58,100,0.01,K$44,0.4)</f>
        <v>6.0999586042205485E-3</v>
      </c>
      <c r="L58" s="2" cm="1">
        <f t="array" ref="L58">GAMMAGREEK($B58,100,0.01,L$44,0.4)</f>
        <v>5.8729656556991069E-3</v>
      </c>
      <c r="M58" s="2" cm="1">
        <f t="array" ref="M58">GAMMAGREEK($B58,100,0.01,M$44,0.4)</f>
        <v>5.6650693716830628E-3</v>
      </c>
      <c r="N58" s="2" cm="1">
        <f t="array" ref="N58">GAMMAGREEK($B58,100,0.01,N$44,0.4)</f>
        <v>5.4743323750511335E-3</v>
      </c>
      <c r="O58" s="2" cm="1">
        <f t="array" ref="O58">GAMMAGREEK($B58,100,0.01,O$44,0.4)</f>
        <v>5.2988631206368712E-3</v>
      </c>
      <c r="P58" s="2" cm="1">
        <f t="array" ref="P58">GAMMAGREEK($B58,100,0.01,P$44,0.4)</f>
        <v>5.1369354506030944E-3</v>
      </c>
      <c r="Q58" s="2" cm="1">
        <f t="array" ref="Q58">GAMMAGREEK($B58,100,0.01,Q$44,0.4)</f>
        <v>4.9870207098389012E-3</v>
      </c>
      <c r="R58" s="2" cm="1">
        <f t="array" ref="R58">GAMMAGREEK($B58,100,0.01,R$44,0.4)</f>
        <v>4.847783732245258E-3</v>
      </c>
      <c r="S58" s="2" cm="1">
        <f t="array" ref="S58">GAMMAGREEK($B58,100,0.01,S$44,0.4)</f>
        <v>4.7180651297488068E-3</v>
      </c>
      <c r="T58" s="2" cm="1">
        <f t="array" ref="T58">GAMMAGREEK($B58,100,0.01,T$44,0.4)</f>
        <v>4.5968597277163108E-3</v>
      </c>
      <c r="U58" s="2" cm="1">
        <f t="array" ref="U58">GAMMAGREEK($B58,100,0.01,U$44,0.4)</f>
        <v>4.4832953485006545E-3</v>
      </c>
      <c r="V58" s="2" cm="1">
        <f t="array" ref="V58">GAMMAGREEK($B58,100,0.01,V$44,0.4)</f>
        <v>4.3766135814708061E-3</v>
      </c>
      <c r="W58" s="2" cm="1">
        <f t="array" ref="W58">GAMMAGREEK($B58,100,0.01,W$44,0.4)</f>
        <v>4.2761530185730801E-3</v>
      </c>
      <c r="X58" s="2" cm="1">
        <f t="array" ref="X58">GAMMAGREEK($B58,100,0.01,X$44,0.4)</f>
        <v>4.1813349273863917E-3</v>
      </c>
      <c r="Y58" s="2" cm="1">
        <f t="array" ref="Y58">GAMMAGREEK($B58,100,0.01,Y$44,0.4)</f>
        <v>4.0916511314305782E-3</v>
      </c>
      <c r="Z58" s="2" cm="1">
        <f t="array" ref="Z58">GAMMAGREEK($B58,100,0.01,Z$44,0.4)</f>
        <v>4.0066538063641384E-3</v>
      </c>
      <c r="AA58" s="2" cm="1">
        <f t="array" ref="AA58">GAMMAGREEK($B58,100,0.01,AA$44,0.4)</f>
        <v>3.9259469024941684E-3</v>
      </c>
      <c r="AB58" s="2" cm="1">
        <f t="array" ref="AB58">GAMMAGREEK($B58,100,0.01,AB$44,0.4)</f>
        <v>3.8491789313641256E-3</v>
      </c>
      <c r="AC58" s="2" cm="1">
        <f t="array" ref="AC58">GAMMAGREEK($B58,100,0.01,AC$44,0.4)</f>
        <v>3.7760368894836013E-3</v>
      </c>
      <c r="AD58" s="2" cm="1">
        <f t="array" ref="AD58">GAMMAGREEK($B58,100,0.01,AD$44,0.4)</f>
        <v>3.7062411275455222E-3</v>
      </c>
      <c r="AE58" s="2" cm="1">
        <f t="array" ref="AE58">GAMMAGREEK($B58,100,0.01,AE$44,0.4)</f>
        <v>3.6395410054493975E-3</v>
      </c>
      <c r="AF58" s="2" cm="1">
        <f t="array" ref="AF58">GAMMAGREEK($B58,100,0.01,AF$44,0.4)</f>
        <v>3.5757112010624701E-3</v>
      </c>
      <c r="AG58" s="2" cm="1">
        <f t="array" ref="AG58">GAMMAGREEK($B58,100,0.01,AG$44,0.4)</f>
        <v>3.514548563879831E-3</v>
      </c>
      <c r="AH58" s="2" cm="1">
        <f t="array" ref="AH58">GAMMAGREEK($B58,100,0.01,AH$44,0.4)</f>
        <v>3.45586942399584E-3</v>
      </c>
      <c r="AI58" s="2" cm="1">
        <f t="array" ref="AI58">GAMMAGREEK($B58,100,0.01,AI$44,0.4)</f>
        <v>3.3995072826194287E-3</v>
      </c>
      <c r="AJ58" s="2" cm="1">
        <f t="array" ref="AJ58">GAMMAGREEK($B58,100,0.01,AJ$44,0.4)</f>
        <v>3.3453108233085283E-3</v>
      </c>
      <c r="AK58" s="2" cm="1">
        <f t="array" ref="AK58">GAMMAGREEK($B58,100,0.01,AK$44,0.4)</f>
        <v>3.2931421936668506E-3</v>
      </c>
      <c r="AL58" s="2" cm="1">
        <f t="array" ref="AL58">GAMMAGREEK($B58,100,0.01,AL$44,0.4)</f>
        <v>3.2428755158732097E-3</v>
      </c>
      <c r="AM58" s="2" cm="1">
        <f t="array" ref="AM58">GAMMAGREEK($B58,100,0.01,AM$44,0.4)</f>
        <v>3.1943955914621254E-3</v>
      </c>
      <c r="AN58" s="2" cm="1">
        <f t="array" ref="AN58">GAMMAGREEK($B58,100,0.01,AN$44,0.4)</f>
        <v>3.147596771542977E-3</v>
      </c>
      <c r="AO58" s="2" cm="1">
        <f t="array" ref="AO58">GAMMAGREEK($B58,100,0.01,AO$44,0.4)</f>
        <v>3.1023819683761969E-3</v>
      </c>
      <c r="AP58" s="2" cm="1">
        <f t="array" ref="AP58">GAMMAGREEK($B58,100,0.01,AP$44,0.4)</f>
        <v>3.058661788115338E-3</v>
      </c>
      <c r="AQ58" s="2" cm="1">
        <f t="array" ref="AQ58">GAMMAGREEK($B58,100,0.01,AQ$44,0.4)</f>
        <v>3.0163537677315969E-3</v>
      </c>
      <c r="AR58" s="2" cm="1">
        <f t="array" ref="AR58">GAMMAGREEK($B58,100,0.01,AR$44,0.4)</f>
        <v>2.9753817017901109E-3</v>
      </c>
      <c r="AS58" s="2" cm="1">
        <f t="array" ref="AS58">GAMMAGREEK($B58,100,0.01,AS$44,0.4)</f>
        <v>2.9356750469477022E-3</v>
      </c>
      <c r="AT58" s="2" cm="1">
        <f t="array" ref="AT58">GAMMAGREEK($B58,100,0.01,AT$44,0.4)</f>
        <v>2.8971683938724371E-3</v>
      </c>
      <c r="AU58" s="2" cm="1">
        <f t="array" ref="AU58">GAMMAGREEK($B58,100,0.01,AU$44,0.4)</f>
        <v>2.8598009978133012E-3</v>
      </c>
      <c r="AV58" s="2" cm="1">
        <f t="array" ref="AV58">GAMMAGREEK($B58,100,0.01,AV$44,0.4)</f>
        <v>2.8235163603272714E-3</v>
      </c>
      <c r="AW58" s="2" cm="1">
        <f t="array" ref="AW58">GAMMAGREEK($B58,100,0.01,AW$44,0.4)</f>
        <v>2.7882618557451468E-3</v>
      </c>
      <c r="AX58" s="2" cm="1">
        <f t="array" ref="AX58">GAMMAGREEK($B58,100,0.01,AX$44,0.4)</f>
        <v>2.7539883968619575E-3</v>
      </c>
      <c r="AY58" s="2" cm="1">
        <f t="array" ref="AY58">GAMMAGREEK($B58,100,0.01,AY$44,0.4)</f>
        <v>2.7206501351018653E-3</v>
      </c>
      <c r="AZ58" s="2" cm="1">
        <f t="array" ref="AZ58">GAMMAGREEK($B58,100,0.01,AZ$44,0.4)</f>
        <v>2.6882041910546916E-3</v>
      </c>
    </row>
    <row r="59" spans="1:52" x14ac:dyDescent="0.3">
      <c r="A59" s="2"/>
      <c r="B59" s="2">
        <v>130</v>
      </c>
      <c r="C59" s="2" cm="1">
        <f t="array" ref="C59">GAMMAGREEK($B59,100,0.01,C$44,0.4)</f>
        <v>2.4294391974026752E-3</v>
      </c>
      <c r="D59" s="2" cm="1">
        <f t="array" ref="D59">GAMMAGREEK($B59,100,0.01,D$44,0.4)</f>
        <v>5.0233779010107147E-3</v>
      </c>
      <c r="E59" s="2" cm="1">
        <f t="array" ref="E59">GAMMAGREEK($B59,100,0.01,E$44,0.4)</f>
        <v>5.8553422805504348E-3</v>
      </c>
      <c r="F59" s="2" cm="1">
        <f t="array" ref="F59">GAMMAGREEK($B59,100,0.01,F$44,0.4)</f>
        <v>6.0510995545120325E-3</v>
      </c>
      <c r="G59" s="2" cm="1">
        <f t="array" ref="G59">GAMMAGREEK($B59,100,0.01,G$44,0.4)</f>
        <v>6.0116044317558362E-3</v>
      </c>
      <c r="H59" s="2" cm="1">
        <f t="array" ref="H59">GAMMAGREEK($B59,100,0.01,H$44,0.4)</f>
        <v>5.8808586340794635E-3</v>
      </c>
      <c r="I59" s="2" cm="1">
        <f t="array" ref="I59">GAMMAGREEK($B59,100,0.01,I$44,0.4)</f>
        <v>5.7162483698173514E-3</v>
      </c>
      <c r="J59" s="2" cm="1">
        <f t="array" ref="J59">GAMMAGREEK($B59,100,0.01,J$44,0.4)</f>
        <v>5.5424029762557734E-3</v>
      </c>
      <c r="K59" s="2" cm="1">
        <f t="array" ref="K59">GAMMAGREEK($B59,100,0.01,K$44,0.4)</f>
        <v>5.3702888376907874E-3</v>
      </c>
      <c r="L59" s="2" cm="1">
        <f t="array" ref="L59">GAMMAGREEK($B59,100,0.01,L$44,0.4)</f>
        <v>5.2047477127311059E-3</v>
      </c>
      <c r="M59" s="2" cm="1">
        <f t="array" ref="M59">GAMMAGREEK($B59,100,0.01,M$44,0.4)</f>
        <v>5.0477383455545142E-3</v>
      </c>
      <c r="N59" s="2" cm="1">
        <f t="array" ref="N59">GAMMAGREEK($B59,100,0.01,N$44,0.4)</f>
        <v>4.899825139213017E-3</v>
      </c>
      <c r="O59" s="2" cm="1">
        <f t="array" ref="O59">GAMMAGREEK($B59,100,0.01,O$44,0.4)</f>
        <v>4.7608964422920178E-3</v>
      </c>
      <c r="P59" s="2" cm="1">
        <f t="array" ref="P59">GAMMAGREEK($B59,100,0.01,P$44,0.4)</f>
        <v>4.6305235540063739E-3</v>
      </c>
      <c r="Q59" s="2" cm="1">
        <f t="array" ref="Q59">GAMMAGREEK($B59,100,0.01,Q$44,0.4)</f>
        <v>4.5081440917616256E-3</v>
      </c>
      <c r="R59" s="2" cm="1">
        <f t="array" ref="R59">GAMMAGREEK($B59,100,0.01,R$44,0.4)</f>
        <v>4.3931562848232471E-3</v>
      </c>
      <c r="S59" s="2" cm="1">
        <f t="array" ref="S59">GAMMAGREEK($B59,100,0.01,S$44,0.4)</f>
        <v>4.2849668385925091E-3</v>
      </c>
      <c r="T59" s="2" cm="1">
        <f t="array" ref="T59">GAMMAGREEK($B59,100,0.01,T$44,0.4)</f>
        <v>4.1830141493052137E-3</v>
      </c>
      <c r="U59" s="2" cm="1">
        <f t="array" ref="U59">GAMMAGREEK($B59,100,0.01,U$44,0.4)</f>
        <v>4.0867783201103056E-3</v>
      </c>
      <c r="V59" s="2" cm="1">
        <f t="array" ref="V59">GAMMAGREEK($B59,100,0.01,V$44,0.4)</f>
        <v>3.9957841359490459E-3</v>
      </c>
      <c r="W59" s="2" cm="1">
        <f t="array" ref="W59">GAMMAGREEK($B59,100,0.01,W$44,0.4)</f>
        <v>3.9096003618822959E-3</v>
      </c>
      <c r="X59" s="2" cm="1">
        <f t="array" ref="X59">GAMMAGREEK($B59,100,0.01,X$44,0.4)</f>
        <v>3.8278372204321558E-3</v>
      </c>
      <c r="Y59" s="2" cm="1">
        <f t="array" ref="Y59">GAMMAGREEK($B59,100,0.01,Y$44,0.4)</f>
        <v>3.7501430723117751E-3</v>
      </c>
      <c r="Z59" s="2" cm="1">
        <f t="array" ref="Z59">GAMMAGREEK($B59,100,0.01,Z$44,0.4)</f>
        <v>3.6762008604625516E-3</v>
      </c>
      <c r="AA59" s="2" cm="1">
        <f t="array" ref="AA59">GAMMAGREEK($B59,100,0.01,AA$44,0.4)</f>
        <v>3.6057246153481316E-3</v>
      </c>
      <c r="AB59" s="2" cm="1">
        <f t="array" ref="AB59">GAMMAGREEK($B59,100,0.01,AB$44,0.4)</f>
        <v>3.5384561711655662E-3</v>
      </c>
      <c r="AC59" s="2" cm="1">
        <f t="array" ref="AC59">GAMMAGREEK($B59,100,0.01,AC$44,0.4)</f>
        <v>3.4741621590095128E-3</v>
      </c>
      <c r="AD59" s="2" cm="1">
        <f t="array" ref="AD59">GAMMAGREEK($B59,100,0.01,AD$44,0.4)</f>
        <v>3.4126312965261411E-3</v>
      </c>
      <c r="AE59" s="2" cm="1">
        <f t="array" ref="AE59">GAMMAGREEK($B59,100,0.01,AE$44,0.4)</f>
        <v>3.3536719685151734E-3</v>
      </c>
      <c r="AF59" s="2" cm="1">
        <f t="array" ref="AF59">GAMMAGREEK($B59,100,0.01,AF$44,0.4)</f>
        <v>3.2971100802172888E-3</v>
      </c>
      <c r="AG59" s="2" cm="1">
        <f t="array" ref="AG59">GAMMAGREEK($B59,100,0.01,AG$44,0.4)</f>
        <v>3.2427871593811116E-3</v>
      </c>
      <c r="AH59" s="2" cm="1">
        <f t="array" ref="AH59">GAMMAGREEK($B59,100,0.01,AH$44,0.4)</f>
        <v>3.1905586815469821E-3</v>
      </c>
      <c r="AI59" s="2" cm="1">
        <f t="array" ref="AI59">GAMMAGREEK($B59,100,0.01,AI$44,0.4)</f>
        <v>3.1402925934988861E-3</v>
      </c>
      <c r="AJ59" s="2" cm="1">
        <f t="array" ref="AJ59">GAMMAGREEK($B59,100,0.01,AJ$44,0.4)</f>
        <v>3.0918680114592144E-3</v>
      </c>
      <c r="AK59" s="2" cm="1">
        <f t="array" ref="AK59">GAMMAGREEK($B59,100,0.01,AK$44,0.4)</f>
        <v>3.0451740727179036E-3</v>
      </c>
      <c r="AL59" s="2" cm="1">
        <f t="array" ref="AL59">GAMMAGREEK($B59,100,0.01,AL$44,0.4)</f>
        <v>3.0001089216479017E-3</v>
      </c>
      <c r="AM59" s="2" cm="1">
        <f t="array" ref="AM59">GAMMAGREEK($B59,100,0.01,AM$44,0.4)</f>
        <v>2.9565788132706423E-3</v>
      </c>
      <c r="AN59" s="2" cm="1">
        <f t="array" ref="AN59">GAMMAGREEK($B59,100,0.01,AN$44,0.4)</f>
        <v>2.9144973195997454E-3</v>
      </c>
      <c r="AO59" s="2" cm="1">
        <f t="array" ref="AO59">GAMMAGREEK($B59,100,0.01,AO$44,0.4)</f>
        <v>2.873784625864424E-3</v>
      </c>
      <c r="AP59" s="2" cm="1">
        <f t="array" ref="AP59">GAMMAGREEK($B59,100,0.01,AP$44,0.4)</f>
        <v>2.8343669053835256E-3</v>
      </c>
      <c r="AQ59" s="2" cm="1">
        <f t="array" ref="AQ59">GAMMAGREEK($B59,100,0.01,AQ$44,0.4)</f>
        <v>2.7961757633313431E-3</v>
      </c>
      <c r="AR59" s="2" cm="1">
        <f t="array" ref="AR59">GAMMAGREEK($B59,100,0.01,AR$44,0.4)</f>
        <v>2.7591477409209548E-3</v>
      </c>
      <c r="AS59" s="2" cm="1">
        <f t="array" ref="AS59">GAMMAGREEK($B59,100,0.01,AS$44,0.4)</f>
        <v>2.7232238726473922E-3</v>
      </c>
      <c r="AT59" s="2" cm="1">
        <f t="array" ref="AT59">GAMMAGREEK($B59,100,0.01,AT$44,0.4)</f>
        <v>2.6883492902000736E-3</v>
      </c>
      <c r="AU59" s="2" cm="1">
        <f t="array" ref="AU59">GAMMAGREEK($B59,100,0.01,AU$44,0.4)</f>
        <v>2.6544728674899767E-3</v>
      </c>
      <c r="AV59" s="2" cm="1">
        <f t="array" ref="AV59">GAMMAGREEK($B59,100,0.01,AV$44,0.4)</f>
        <v>2.6215469019587592E-3</v>
      </c>
      <c r="AW59" s="2" cm="1">
        <f t="array" ref="AW59">GAMMAGREEK($B59,100,0.01,AW$44,0.4)</f>
        <v>2.5895268279600178E-3</v>
      </c>
      <c r="AX59" s="2" cm="1">
        <f t="array" ref="AX59">GAMMAGREEK($B59,100,0.01,AX$44,0.4)</f>
        <v>2.5583709585404635E-3</v>
      </c>
      <c r="AY59" s="2" cm="1">
        <f t="array" ref="AY59">GAMMAGREEK($B59,100,0.01,AY$44,0.4)</f>
        <v>2.5280402524130692E-3</v>
      </c>
      <c r="AZ59" s="2" cm="1">
        <f t="array" ref="AZ59">GAMMAGREEK($B59,100,0.01,AZ$44,0.4)</f>
        <v>2.4984981033154656E-3</v>
      </c>
    </row>
    <row r="60" spans="1:52" x14ac:dyDescent="0.3">
      <c r="A60" s="2"/>
      <c r="B60" s="2">
        <v>135</v>
      </c>
      <c r="C60" s="2" cm="1">
        <f t="array" ref="C60">GAMMAGREEK($B60,100,0.01,C$44,0.4)</f>
        <v>1.1797749643956228E-3</v>
      </c>
      <c r="D60" s="2" cm="1">
        <f t="array" ref="D60">GAMMAGREEK($B60,100,0.01,D$44,0.4)</f>
        <v>3.3988923428329141E-3</v>
      </c>
      <c r="E60" s="2" cm="1">
        <f t="array" ref="E60">GAMMAGREEK($B60,100,0.01,E$44,0.4)</f>
        <v>4.4249664714346168E-3</v>
      </c>
      <c r="F60" s="2" cm="1">
        <f t="array" ref="F60">GAMMAGREEK($B60,100,0.01,F$44,0.4)</f>
        <v>4.8328138193056347E-3</v>
      </c>
      <c r="G60" s="2" cm="1">
        <f t="array" ref="G60">GAMMAGREEK($B60,100,0.01,G$44,0.4)</f>
        <v>4.9631911763247582E-3</v>
      </c>
      <c r="H60" s="2" cm="1">
        <f t="array" ref="H60">GAMMAGREEK($B60,100,0.01,H$44,0.4)</f>
        <v>4.9638034399966226E-3</v>
      </c>
      <c r="I60" s="2" cm="1">
        <f t="array" ref="I60">GAMMAGREEK($B60,100,0.01,I$44,0.4)</f>
        <v>4.9016734462603608E-3</v>
      </c>
      <c r="J60" s="2" cm="1">
        <f t="array" ref="J60">GAMMAGREEK($B60,100,0.01,J$44,0.4)</f>
        <v>4.8092346754676409E-3</v>
      </c>
      <c r="K60" s="2" cm="1">
        <f t="array" ref="K60">GAMMAGREEK($B60,100,0.01,K$44,0.4)</f>
        <v>4.7030203729840174E-3</v>
      </c>
      <c r="L60" s="2" cm="1">
        <f t="array" ref="L60">GAMMAGREEK($B60,100,0.01,L$44,0.4)</f>
        <v>4.5917683941409963E-3</v>
      </c>
      <c r="M60" s="2" cm="1">
        <f t="array" ref="M60">GAMMAGREEK($B60,100,0.01,M$44,0.4)</f>
        <v>4.48018748199892E-3</v>
      </c>
      <c r="N60" s="2" cm="1">
        <f t="array" ref="N60">GAMMAGREEK($B60,100,0.01,N$44,0.4)</f>
        <v>4.370815624135679E-3</v>
      </c>
      <c r="O60" s="2" cm="1">
        <f t="array" ref="O60">GAMMAGREEK($B60,100,0.01,O$44,0.4)</f>
        <v>4.2649840836620845E-3</v>
      </c>
      <c r="P60" s="2" cm="1">
        <f t="array" ref="P60">GAMMAGREEK($B60,100,0.01,P$44,0.4)</f>
        <v>4.163338543514146E-3</v>
      </c>
      <c r="Q60" s="2" cm="1">
        <f t="array" ref="Q60">GAMMAGREEK($B60,100,0.01,Q$44,0.4)</f>
        <v>4.0661304529771916E-3</v>
      </c>
      <c r="R60" s="2" cm="1">
        <f t="array" ref="R60">GAMMAGREEK($B60,100,0.01,R$44,0.4)</f>
        <v>3.9733843422166681E-3</v>
      </c>
      <c r="S60" s="2" cm="1">
        <f t="array" ref="S60">GAMMAGREEK($B60,100,0.01,S$44,0.4)</f>
        <v>3.8849959235059879E-3</v>
      </c>
      <c r="T60" s="2" cm="1">
        <f t="array" ref="T60">GAMMAGREEK($B60,100,0.01,T$44,0.4)</f>
        <v>3.8007904720023496E-3</v>
      </c>
      <c r="U60" s="2" cm="1">
        <f t="array" ref="U60">GAMMAGREEK($B60,100,0.01,U$44,0.4)</f>
        <v>3.7205578728365606E-3</v>
      </c>
      <c r="V60" s="2" cm="1">
        <f t="array" ref="V60">GAMMAGREEK($B60,100,0.01,V$44,0.4)</f>
        <v>3.6440736961518005E-3</v>
      </c>
      <c r="W60" s="2" cm="1">
        <f t="array" ref="W60">GAMMAGREEK($B60,100,0.01,W$44,0.4)</f>
        <v>3.5711117781874308E-3</v>
      </c>
      <c r="X60" s="2" cm="1">
        <f t="array" ref="X60">GAMMAGREEK($B60,100,0.01,X$44,0.4)</f>
        <v>3.5014515806869972E-3</v>
      </c>
      <c r="Y60" s="2" cm="1">
        <f t="array" ref="Y60">GAMMAGREEK($B60,100,0.01,Y$44,0.4)</f>
        <v>3.4348823177970875E-3</v>
      </c>
      <c r="Z60" s="2" cm="1">
        <f t="array" ref="Z60">GAMMAGREEK($B60,100,0.01,Z$44,0.4)</f>
        <v>3.371205077432415E-3</v>
      </c>
      <c r="AA60" s="2" cm="1">
        <f t="array" ref="AA60">GAMMAGREEK($B60,100,0.01,AA$44,0.4)</f>
        <v>3.3102337029274056E-3</v>
      </c>
      <c r="AB60" s="2" cm="1">
        <f t="array" ref="AB60">GAMMAGREEK($B60,100,0.01,AB$44,0.4)</f>
        <v>3.2517949172694871E-3</v>
      </c>
      <c r="AC60" s="2" cm="1">
        <f t="array" ref="AC60">GAMMAGREEK($B60,100,0.01,AC$44,0.4)</f>
        <v>3.1957279954657435E-3</v>
      </c>
      <c r="AD60" s="2" cm="1">
        <f t="array" ref="AD60">GAMMAGREEK($B60,100,0.01,AD$44,0.4)</f>
        <v>3.1418841791159969E-3</v>
      </c>
      <c r="AE60" s="2" cm="1">
        <f t="array" ref="AE60">GAMMAGREEK($B60,100,0.01,AE$44,0.4)</f>
        <v>3.0901259562691411E-3</v>
      </c>
      <c r="AF60" s="2" cm="1">
        <f t="array" ref="AF60">GAMMAGREEK($B60,100,0.01,AF$44,0.4)</f>
        <v>3.0403262840825581E-3</v>
      </c>
      <c r="AG60" s="2" cm="1">
        <f t="array" ref="AG60">GAMMAGREEK($B60,100,0.01,AG$44,0.4)</f>
        <v>2.992367802416308E-3</v>
      </c>
      <c r="AH60" s="2" cm="1">
        <f t="array" ref="AH60">GAMMAGREEK($B60,100,0.01,AH$44,0.4)</f>
        <v>2.9461420674835302E-3</v>
      </c>
      <c r="AI60" s="2" cm="1">
        <f t="array" ref="AI60">GAMMAGREEK($B60,100,0.01,AI$44,0.4)</f>
        <v>2.9015488223838809E-3</v>
      </c>
      <c r="AJ60" s="2" cm="1">
        <f t="array" ref="AJ60">GAMMAGREEK($B60,100,0.01,AJ$44,0.4)</f>
        <v>2.8584953134266583E-3</v>
      </c>
      <c r="AK60" s="2" cm="1">
        <f t="array" ref="AK60">GAMMAGREEK($B60,100,0.01,AK$44,0.4)</f>
        <v>2.8168956560932533E-3</v>
      </c>
      <c r="AL60" s="2" cm="1">
        <f t="array" ref="AL60">GAMMAGREEK($B60,100,0.01,AL$44,0.4)</f>
        <v>2.7766702513109002E-3</v>
      </c>
      <c r="AM60" s="2" cm="1">
        <f t="array" ref="AM60">GAMMAGREEK($B60,100,0.01,AM$44,0.4)</f>
        <v>2.737745250766541E-3</v>
      </c>
      <c r="AN60" s="2" cm="1">
        <f t="array" ref="AN60">GAMMAGREEK($B60,100,0.01,AN$44,0.4)</f>
        <v>2.7000520688555754E-3</v>
      </c>
      <c r="AO60" s="2" cm="1">
        <f t="array" ref="AO60">GAMMAGREEK($B60,100,0.01,AO$44,0.4)</f>
        <v>2.6635269382536838E-3</v>
      </c>
      <c r="AP60" s="2" cm="1">
        <f t="array" ref="AP60">GAMMAGREEK($B60,100,0.01,AP$44,0.4)</f>
        <v>2.6281105058336422E-3</v>
      </c>
      <c r="AQ60" s="2" cm="1">
        <f t="array" ref="AQ60">GAMMAGREEK($B60,100,0.01,AQ$44,0.4)</f>
        <v>2.5937474655985809E-3</v>
      </c>
      <c r="AR60" s="2" cm="1">
        <f t="array" ref="AR60">GAMMAGREEK($B60,100,0.01,AR$44,0.4)</f>
        <v>2.5603862253857994E-3</v>
      </c>
      <c r="AS60" s="2" cm="1">
        <f t="array" ref="AS60">GAMMAGREEK($B60,100,0.01,AS$44,0.4)</f>
        <v>2.5279786042561895E-3</v>
      </c>
      <c r="AT60" s="2" cm="1">
        <f t="array" ref="AT60">GAMMAGREEK($B60,100,0.01,AT$44,0.4)</f>
        <v>2.4964795576875383E-3</v>
      </c>
      <c r="AU60" s="2" cm="1">
        <f t="array" ref="AU60">GAMMAGREEK($B60,100,0.01,AU$44,0.4)</f>
        <v>2.4658469279120231E-3</v>
      </c>
      <c r="AV60" s="2" cm="1">
        <f t="array" ref="AV60">GAMMAGREEK($B60,100,0.01,AV$44,0.4)</f>
        <v>2.4360412169640382E-3</v>
      </c>
      <c r="AW60" s="2" cm="1">
        <f t="array" ref="AW60">GAMMAGREEK($B60,100,0.01,AW$44,0.4)</f>
        <v>2.4070253802248903E-3</v>
      </c>
      <c r="AX60" s="2" cm="1">
        <f t="array" ref="AX60">GAMMAGREEK($B60,100,0.01,AX$44,0.4)</f>
        <v>2.3787646384602892E-3</v>
      </c>
      <c r="AY60" s="2" cm="1">
        <f t="array" ref="AY60">GAMMAGREEK($B60,100,0.01,AY$44,0.4)</f>
        <v>2.3512263065419321E-3</v>
      </c>
      <c r="AZ60" s="2" cm="1">
        <f t="array" ref="AZ60">GAMMAGREEK($B60,100,0.01,AZ$44,0.4)</f>
        <v>2.3243796372245922E-3</v>
      </c>
    </row>
    <row r="61" spans="1:52" x14ac:dyDescent="0.3">
      <c r="A61" s="2"/>
      <c r="B61" s="2">
        <v>140</v>
      </c>
      <c r="C61" s="2" cm="1">
        <f t="array" ref="C61">GAMMAGREEK($B61,100,0.01,C$44,0.4)</f>
        <v>5.4066078067007838E-4</v>
      </c>
      <c r="D61" s="2" cm="1">
        <f t="array" ref="D61">GAMMAGREEK($B61,100,0.01,D$44,0.4)</f>
        <v>2.2364592183655115E-3</v>
      </c>
      <c r="E61" s="2" cm="1">
        <f t="array" ref="E61">GAMMAGREEK($B61,100,0.01,E$44,0.4)</f>
        <v>3.2847288108803691E-3</v>
      </c>
      <c r="F61" s="2" cm="1">
        <f t="array" ref="F61">GAMMAGREEK($B61,100,0.01,F$44,0.4)</f>
        <v>3.8104176531232542E-3</v>
      </c>
      <c r="G61" s="2" cm="1">
        <f t="array" ref="G61">GAMMAGREEK($B61,100,0.01,G$44,0.4)</f>
        <v>4.0573578042017618E-3</v>
      </c>
      <c r="H61" s="2" cm="1">
        <f t="array" ref="H61">GAMMAGREEK($B61,100,0.01,H$44,0.4)</f>
        <v>4.1569047387978002E-3</v>
      </c>
      <c r="I61" s="2" cm="1">
        <f t="array" ref="I61">GAMMAGREEK($B61,100,0.01,I$44,0.4)</f>
        <v>4.1761945555998476E-3</v>
      </c>
      <c r="J61" s="2" cm="1">
        <f t="array" ref="J61">GAMMAGREEK($B61,100,0.01,J$44,0.4)</f>
        <v>4.1507154017368627E-3</v>
      </c>
      <c r="K61" s="2" cm="1">
        <f t="array" ref="K61">GAMMAGREEK($B61,100,0.01,K$44,0.4)</f>
        <v>4.1000360649094698E-3</v>
      </c>
      <c r="L61" s="2" cm="1">
        <f t="array" ref="L61">GAMMAGREEK($B61,100,0.01,L$44,0.4)</f>
        <v>4.0353560093019832E-3</v>
      </c>
      <c r="M61" s="2" cm="1">
        <f t="array" ref="M61">GAMMAGREEK($B61,100,0.01,M$44,0.4)</f>
        <v>3.9632767020426462E-3</v>
      </c>
      <c r="N61" s="2" cm="1">
        <f t="array" ref="N61">GAMMAGREEK($B61,100,0.01,N$44,0.4)</f>
        <v>3.8877735776850254E-3</v>
      </c>
      <c r="O61" s="2" cm="1">
        <f t="array" ref="O61">GAMMAGREEK($B61,100,0.01,O$44,0.4)</f>
        <v>3.8112722011901688E-3</v>
      </c>
      <c r="P61" s="2" cm="1">
        <f t="array" ref="P61">GAMMAGREEK($B61,100,0.01,P$44,0.4)</f>
        <v>3.7352582181827002E-3</v>
      </c>
      <c r="Q61" s="2" cm="1">
        <f t="array" ref="Q61">GAMMAGREEK($B61,100,0.01,Q$44,0.4)</f>
        <v>3.6606346060724026E-3</v>
      </c>
      <c r="R61" s="2" cm="1">
        <f t="array" ref="R61">GAMMAGREEK($B61,100,0.01,R$44,0.4)</f>
        <v>3.5879369127389494E-3</v>
      </c>
      <c r="S61" s="2" cm="1">
        <f t="array" ref="S61">GAMMAGREEK($B61,100,0.01,S$44,0.4)</f>
        <v>3.5174661040568152E-3</v>
      </c>
      <c r="T61" s="2" cm="1">
        <f t="array" ref="T61">GAMMAGREEK($B61,100,0.01,T$44,0.4)</f>
        <v>3.4493722556430736E-3</v>
      </c>
      <c r="U61" s="2" cm="1">
        <f t="array" ref="U61">GAMMAGREEK($B61,100,0.01,U$44,0.4)</f>
        <v>3.3837081901568239E-3</v>
      </c>
      <c r="V61" s="2" cm="1">
        <f t="array" ref="V61">GAMMAGREEK($B61,100,0.01,V$44,0.4)</f>
        <v>3.3204643405546929E-3</v>
      </c>
      <c r="W61" s="2" cm="1">
        <f t="array" ref="W61">GAMMAGREEK($B61,100,0.01,W$44,0.4)</f>
        <v>3.2595916640294556E-3</v>
      </c>
      <c r="X61" s="2" cm="1">
        <f t="array" ref="X61">GAMMAGREEK($B61,100,0.01,X$44,0.4)</f>
        <v>3.2010168255156546E-3</v>
      </c>
      <c r="Y61" s="2" cm="1">
        <f t="array" ref="Y61">GAMMAGREEK($B61,100,0.01,Y$44,0.4)</f>
        <v>3.1446523093059419E-3</v>
      </c>
      <c r="Z61" s="2" cm="1">
        <f t="array" ref="Z61">GAMMAGREEK($B61,100,0.01,Z$44,0.4)</f>
        <v>3.0904031629585983E-3</v>
      </c>
      <c r="AA61" s="2" cm="1">
        <f t="array" ref="AA61">GAMMAGREEK($B61,100,0.01,AA$44,0.4)</f>
        <v>3.0381714826567545E-3</v>
      </c>
      <c r="AB61" s="2" cm="1">
        <f t="array" ref="AB61">GAMMAGREEK($B61,100,0.01,AB$44,0.4)</f>
        <v>2.9878593717213367E-3</v>
      </c>
      <c r="AC61" s="2" cm="1">
        <f t="array" ref="AC61">GAMMAGREEK($B61,100,0.01,AC$44,0.4)</f>
        <v>2.9393708607562854E-3</v>
      </c>
      <c r="AD61" s="2" cm="1">
        <f t="array" ref="AD61">GAMMAGREEK($B61,100,0.01,AD$44,0.4)</f>
        <v>2.8926131189446376E-3</v>
      </c>
      <c r="AE61" s="2" cm="1">
        <f t="array" ref="AE61">GAMMAGREEK($B61,100,0.01,AE$44,0.4)</f>
        <v>2.8474971807887594E-3</v>
      </c>
      <c r="AF61" s="2" cm="1">
        <f t="array" ref="AF61">GAMMAGREEK($B61,100,0.01,AF$44,0.4)</f>
        <v>2.8039383421261765E-3</v>
      </c>
      <c r="AG61" s="2" cm="1">
        <f t="array" ref="AG61">GAMMAGREEK($B61,100,0.01,AG$44,0.4)</f>
        <v>2.7618563315789353E-3</v>
      </c>
      <c r="AH61" s="2" cm="1">
        <f t="array" ref="AH61">GAMMAGREEK($B61,100,0.01,AH$44,0.4)</f>
        <v>2.7211753310403273E-3</v>
      </c>
      <c r="AI61" s="2" cm="1">
        <f t="array" ref="AI61">GAMMAGREEK($B61,100,0.01,AI$44,0.4)</f>
        <v>2.6818238963910164E-3</v>
      </c>
      <c r="AJ61" s="2" cm="1">
        <f t="array" ref="AJ61">GAMMAGREEK($B61,100,0.01,AJ$44,0.4)</f>
        <v>2.6437348140972146E-3</v>
      </c>
      <c r="AK61" s="2" cm="1">
        <f t="array" ref="AK61">GAMMAGREEK($B61,100,0.01,AK$44,0.4)</f>
        <v>2.606844918503483E-3</v>
      </c>
      <c r="AL61" s="2" cm="1">
        <f t="array" ref="AL61">GAMMAGREEK($B61,100,0.01,AL$44,0.4)</f>
        <v>2.5710948870329457E-3</v>
      </c>
      <c r="AM61" s="2" cm="1">
        <f t="array" ref="AM61">GAMMAGREEK($B61,100,0.01,AM$44,0.4)</f>
        <v>2.5364290251587E-3</v>
      </c>
      <c r="AN61" s="2" cm="1">
        <f t="array" ref="AN61">GAMMAGREEK($B61,100,0.01,AN$44,0.4)</f>
        <v>2.5027950492352395E-3</v>
      </c>
      <c r="AO61" s="2" cm="1">
        <f t="array" ref="AO61">GAMMAGREEK($B61,100,0.01,AO$44,0.4)</f>
        <v>2.4701438726108427E-3</v>
      </c>
      <c r="AP61" s="2" cm="1">
        <f t="array" ref="AP61">GAMMAGREEK($B61,100,0.01,AP$44,0.4)</f>
        <v>2.4384293985567685E-3</v>
      </c>
      <c r="AQ61" s="2" cm="1">
        <f t="array" ref="AQ61">GAMMAGREEK($B61,100,0.01,AQ$44,0.4)</f>
        <v>2.4076083222196528E-3</v>
      </c>
      <c r="AR61" s="2" cm="1">
        <f t="array" ref="AR61">GAMMAGREEK($B61,100,0.01,AR$44,0.4)</f>
        <v>2.3776399428699045E-3</v>
      </c>
      <c r="AS61" s="2" cm="1">
        <f t="array" ref="AS61">GAMMAGREEK($B61,100,0.01,AS$44,0.4)</f>
        <v>2.348485987068018E-3</v>
      </c>
      <c r="AT61" s="2" cm="1">
        <f t="array" ref="AT61">GAMMAGREEK($B61,100,0.01,AT$44,0.4)</f>
        <v>2.3201104429219242E-3</v>
      </c>
      <c r="AU61" s="2" cm="1">
        <f t="array" ref="AU61">GAMMAGREEK($B61,100,0.01,AU$44,0.4)</f>
        <v>2.2924794053043505E-3</v>
      </c>
      <c r="AV61" s="2" cm="1">
        <f t="array" ref="AV61">GAMMAGREEK($B61,100,0.01,AV$44,0.4)</f>
        <v>2.2655609316982921E-3</v>
      </c>
      <c r="AW61" s="2" cm="1">
        <f t="array" ref="AW61">GAMMAGREEK($B61,100,0.01,AW$44,0.4)</f>
        <v>2.2393249082114279E-3</v>
      </c>
      <c r="AX61" s="2" cm="1">
        <f t="array" ref="AX61">GAMMAGREEK($B61,100,0.01,AX$44,0.4)</f>
        <v>2.2137429252252574E-3</v>
      </c>
      <c r="AY61" s="2" cm="1">
        <f t="array" ref="AY61">GAMMAGREEK($B61,100,0.01,AY$44,0.4)</f>
        <v>2.1887881621063866E-3</v>
      </c>
      <c r="AZ61" s="2" cm="1">
        <f t="array" ref="AZ61">GAMMAGREEK($B61,100,0.01,AZ$44,0.4)</f>
        <v>2.1644352803946161E-3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137BD-72FE-424E-ABCE-41E2E5112FBF}">
  <sheetPr codeName="Sheet4"/>
  <dimension ref="A1:AZ61"/>
  <sheetViews>
    <sheetView topLeftCell="A25" workbookViewId="0">
      <selection activeCell="G50" sqref="G50"/>
    </sheetView>
  </sheetViews>
  <sheetFormatPr defaultRowHeight="14.4" x14ac:dyDescent="0.3"/>
  <cols>
    <col min="3" max="3" width="12" bestFit="1" customWidth="1"/>
  </cols>
  <sheetData>
    <row r="1" spans="1:52" x14ac:dyDescent="0.3">
      <c r="A1" s="2" t="s">
        <v>13</v>
      </c>
      <c r="B1" s="2"/>
      <c r="C1" s="2" t="s">
        <v>12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</row>
    <row r="2" spans="1:52" x14ac:dyDescent="0.3">
      <c r="A2" s="2"/>
      <c r="B2" s="2"/>
      <c r="C2" s="2">
        <v>0.1</v>
      </c>
      <c r="D2" s="2">
        <v>0.2</v>
      </c>
      <c r="E2" s="2">
        <v>0.3</v>
      </c>
      <c r="F2" s="2">
        <v>0.4</v>
      </c>
      <c r="G2" s="2">
        <v>0.5</v>
      </c>
      <c r="H2" s="2">
        <v>0.6</v>
      </c>
      <c r="I2" s="2">
        <v>0.7</v>
      </c>
      <c r="J2" s="2">
        <v>0.8</v>
      </c>
      <c r="K2" s="2">
        <v>0.9</v>
      </c>
      <c r="L2" s="2">
        <v>1</v>
      </c>
      <c r="M2" s="2">
        <v>1.1000000000000001</v>
      </c>
      <c r="N2" s="2">
        <v>1.2</v>
      </c>
      <c r="O2" s="2">
        <v>1.3</v>
      </c>
      <c r="P2" s="2">
        <v>1.4</v>
      </c>
      <c r="Q2" s="2">
        <v>1.5</v>
      </c>
      <c r="R2" s="2">
        <v>1.6</v>
      </c>
      <c r="S2" s="2">
        <v>1.7</v>
      </c>
      <c r="T2" s="2">
        <v>1.8</v>
      </c>
      <c r="U2" s="2">
        <v>1.9</v>
      </c>
      <c r="V2" s="2">
        <v>2</v>
      </c>
      <c r="W2" s="2">
        <v>2.1</v>
      </c>
      <c r="X2" s="2">
        <v>2.2000000000000002</v>
      </c>
      <c r="Y2" s="2">
        <v>2.2999999999999998</v>
      </c>
      <c r="Z2" s="2">
        <v>2.4</v>
      </c>
      <c r="AA2" s="2">
        <v>2.5</v>
      </c>
      <c r="AB2" s="2">
        <v>2.6</v>
      </c>
      <c r="AC2" s="2">
        <v>2.7</v>
      </c>
      <c r="AD2" s="2">
        <v>2.8</v>
      </c>
      <c r="AE2" s="2">
        <v>2.9</v>
      </c>
      <c r="AF2" s="2">
        <v>3</v>
      </c>
      <c r="AG2" s="2">
        <v>3.1</v>
      </c>
      <c r="AH2" s="2">
        <v>3.2</v>
      </c>
      <c r="AI2" s="2">
        <v>3.3</v>
      </c>
      <c r="AJ2" s="2">
        <v>3.4</v>
      </c>
      <c r="AK2" s="2">
        <v>3.5</v>
      </c>
      <c r="AL2" s="2">
        <v>3.6</v>
      </c>
      <c r="AM2" s="2">
        <v>3.7</v>
      </c>
      <c r="AN2" s="2">
        <v>3.8</v>
      </c>
      <c r="AO2" s="2">
        <v>3.9</v>
      </c>
      <c r="AP2" s="2">
        <v>4</v>
      </c>
      <c r="AQ2" s="2">
        <v>4.0999999999999996</v>
      </c>
      <c r="AR2" s="2">
        <v>4.2</v>
      </c>
      <c r="AS2" s="2">
        <v>4.3</v>
      </c>
      <c r="AT2" s="2">
        <v>4.4000000000000004</v>
      </c>
      <c r="AU2" s="2">
        <v>4.5</v>
      </c>
      <c r="AV2" s="2">
        <v>4.5999999999999996</v>
      </c>
      <c r="AW2" s="2">
        <v>4.7</v>
      </c>
      <c r="AX2" s="2">
        <v>4.8</v>
      </c>
      <c r="AY2" s="2">
        <v>4.9000000000000004</v>
      </c>
      <c r="AZ2" s="2">
        <v>5</v>
      </c>
    </row>
    <row r="3" spans="1:52" x14ac:dyDescent="0.3">
      <c r="A3" s="2" t="s">
        <v>11</v>
      </c>
      <c r="B3" s="2">
        <v>60</v>
      </c>
      <c r="C3" s="2" cm="1">
        <f t="array" ref="C3">RHOGREEK($B3,100,0.01,C$2,0.1)</f>
        <v>6.8997547428964834E-58</v>
      </c>
      <c r="D3" s="2" cm="1">
        <f t="array" ref="D3">RHOGREEK($B3,100,0.01,D$2,0.1)</f>
        <v>4.1705600383653558E-29</v>
      </c>
      <c r="E3" s="2" cm="1">
        <f t="array" ref="E3">RHOGREEK($B3,100,0.01,E$2,0.1)</f>
        <v>2.1207973599216588E-19</v>
      </c>
      <c r="F3" s="2" cm="1">
        <f t="array" ref="F3">RHOGREEK($B3,100,0.01,F$2,0.1)</f>
        <v>1.7146657173941593E-14</v>
      </c>
      <c r="G3" s="2" cm="1">
        <f t="array" ref="G3">RHOGREEK($B3,100,0.01,G$2,0.1)</f>
        <v>1.6258128709111468E-11</v>
      </c>
      <c r="H3" s="2" cm="1">
        <f t="array" ref="H3">RHOGREEK($B3,100,0.01,H$2,0.1)</f>
        <v>1.6481813086334162E-9</v>
      </c>
      <c r="I3" s="2" cm="1">
        <f t="array" ref="I3">RHOGREEK($B3,100,0.01,I$2,0.1)</f>
        <v>4.6233752509654254E-8</v>
      </c>
      <c r="J3" s="2" cm="1">
        <f t="array" ref="J3">RHOGREEK($B3,100,0.01,J$2,0.1)</f>
        <v>5.7838836856354678E-7</v>
      </c>
      <c r="K3" s="2" cm="1">
        <f t="array" ref="K3">RHOGREEK($B3,100,0.01,K$2,0.1)</f>
        <v>4.2109995631038558E-6</v>
      </c>
      <c r="L3" s="2" cm="1">
        <f t="array" ref="L3">RHOGREEK($B3,100,0.01,L$2,0.1)</f>
        <v>2.0944883154902441E-5</v>
      </c>
      <c r="M3" s="2" cm="1">
        <f t="array" ref="M3">RHOGREEK($B3,100,0.01,M$2,0.1)</f>
        <v>7.8844064362873585E-5</v>
      </c>
      <c r="N3" s="2" cm="1">
        <f t="array" ref="N3">RHOGREEK($B3,100,0.01,N$2,0.1)</f>
        <v>2.4055615954076122E-4</v>
      </c>
      <c r="O3" s="2" cm="1">
        <f t="array" ref="O3">RHOGREEK($B3,100,0.01,O$2,0.1)</f>
        <v>6.2387639740620895E-4</v>
      </c>
      <c r="P3" s="2" cm="1">
        <f t="array" ref="P3">RHOGREEK($B3,100,0.01,P$2,0.1)</f>
        <v>1.4231144992723559E-3</v>
      </c>
      <c r="Q3" s="2" cm="1">
        <f t="array" ref="Q3">RHOGREEK($B3,100,0.01,Q$2,0.1)</f>
        <v>2.9278689303132289E-3</v>
      </c>
      <c r="R3" s="2" cm="1">
        <f t="array" ref="R3">RHOGREEK($B3,100,0.01,R$2,0.1)</f>
        <v>5.5366525377998112E-3</v>
      </c>
      <c r="S3" s="2" cm="1">
        <f t="array" ref="S3">RHOGREEK($B3,100,0.01,S$2,0.1)</f>
        <v>9.7640587632792583E-3</v>
      </c>
      <c r="T3" s="2" cm="1">
        <f t="array" ref="T3">RHOGREEK($B3,100,0.01,T$2,0.1)</f>
        <v>1.6241327843808086E-2</v>
      </c>
      <c r="U3" s="2" cm="1">
        <f t="array" ref="U3">RHOGREEK($B3,100,0.01,U$2,0.1)</f>
        <v>2.5711022853193401E-2</v>
      </c>
      <c r="V3" s="2" cm="1">
        <f t="array" ref="V3">RHOGREEK($B3,100,0.01,V$2,0.1)</f>
        <v>3.9017006065321998E-2</v>
      </c>
      <c r="W3" s="2" cm="1">
        <f t="array" ref="W3">RHOGREEK($B3,100,0.01,W$2,0.1)</f>
        <v>5.7091075077413449E-2</v>
      </c>
      <c r="X3" s="2" cm="1">
        <f t="array" ref="X3">RHOGREEK($B3,100,0.01,X$2,0.1)</f>
        <v>8.0937570703736125E-2</v>
      </c>
      <c r="Y3" s="2" cm="1">
        <f t="array" ref="Y3">RHOGREEK($B3,100,0.01,Y$2,0.1)</f>
        <v>0.11161709631878884</v>
      </c>
      <c r="Z3" s="2" cm="1">
        <f t="array" ref="Z3">RHOGREEK($B3,100,0.01,Z$2,0.1)</f>
        <v>0.15023026184001101</v>
      </c>
      <c r="AA3" s="2" cm="1">
        <f t="array" ref="AA3">RHOGREEK($B3,100,0.01,AA$2,0.1)</f>
        <v>0.19790213213505509</v>
      </c>
      <c r="AB3" s="2" cm="1">
        <f t="array" ref="AB3">RHOGREEK($B3,100,0.01,AB$2,0.1)</f>
        <v>0.25576784668365177</v>
      </c>
      <c r="AC3" s="2" cm="1">
        <f t="array" ref="AC3">RHOGREEK($B3,100,0.01,AC$2,0.1)</f>
        <v>0.32495969775902905</v>
      </c>
      <c r="AD3" s="2" cm="1">
        <f t="array" ref="AD3">RHOGREEK($B3,100,0.01,AD$2,0.1)</f>
        <v>0.40659581181057697</v>
      </c>
      <c r="AE3" s="2" cm="1">
        <f t="array" ref="AE3">RHOGREEK($B3,100,0.01,AE$2,0.1)</f>
        <v>0.50177047130931818</v>
      </c>
      <c r="AF3" s="2" cm="1">
        <f t="array" ref="AF3">RHOGREEK($B3,100,0.01,AF$2,0.1)</f>
        <v>0.61154603756096348</v>
      </c>
      <c r="AG3" s="2" cm="1">
        <f t="array" ref="AG3">RHOGREEK($B3,100,0.01,AG$2,0.1)</f>
        <v>0.73694638344618657</v>
      </c>
      <c r="AH3" s="2" cm="1">
        <f t="array" ref="AH3">RHOGREEK($B3,100,0.01,AH$2,0.1)</f>
        <v>0.87895171331034483</v>
      </c>
      <c r="AI3" s="2" cm="1">
        <f t="array" ref="AI3">RHOGREEK($B3,100,0.01,AI$2,0.1)</f>
        <v>1.0384946304488192</v>
      </c>
      <c r="AJ3" s="2" cm="1">
        <f t="array" ref="AJ3">RHOGREEK($B3,100,0.01,AJ$2,0.1)</f>
        <v>1.2164573067365299</v>
      </c>
      <c r="AK3" s="2" cm="1">
        <f t="array" ref="AK3">RHOGREEK($B3,100,0.01,AK$2,0.1)</f>
        <v>1.4136696106402289</v>
      </c>
      <c r="AL3" s="2" cm="1">
        <f t="array" ref="AL3">RHOGREEK($B3,100,0.01,AL$2,0.1)</f>
        <v>1.6309080565689507</v>
      </c>
      <c r="AM3" s="2" cm="1">
        <f t="array" ref="AM3">RHOGREEK($B3,100,0.01,AM$2,0.1)</f>
        <v>1.8688954483282969</v>
      </c>
      <c r="AN3" s="2" cm="1">
        <f t="array" ref="AN3">RHOGREEK($B3,100,0.01,AN$2,0.1)</f>
        <v>2.1283011009295891</v>
      </c>
      <c r="AO3" s="2" cm="1">
        <f t="array" ref="AO3">RHOGREEK($B3,100,0.01,AO$2,0.1)</f>
        <v>2.4097415371561346</v>
      </c>
      <c r="AP3" s="2" cm="1">
        <f t="array" ref="AP3">RHOGREEK($B3,100,0.01,AP$2,0.1)</f>
        <v>2.7137815674117114</v>
      </c>
      <c r="AQ3" s="2" cm="1">
        <f t="array" ref="AQ3">RHOGREEK($B3,100,0.01,AQ$2,0.1)</f>
        <v>3.0409356730154333</v>
      </c>
      <c r="AR3" s="2" cm="1">
        <f t="array" ref="AR3">RHOGREEK($B3,100,0.01,AR$2,0.1)</f>
        <v>3.3916696239813415</v>
      </c>
      <c r="AS3" s="2" cm="1">
        <f t="array" ref="AS3">RHOGREEK($B3,100,0.01,AS$2,0.1)</f>
        <v>3.7664022722764927</v>
      </c>
      <c r="AT3" s="2" cm="1">
        <f t="array" ref="AT3">RHOGREEK($B3,100,0.01,AT$2,0.1)</f>
        <v>4.1655074705227682</v>
      </c>
      <c r="AU3" s="2" cm="1">
        <f t="array" ref="AU3">RHOGREEK($B3,100,0.01,AU$2,0.1)</f>
        <v>4.5893160740892966</v>
      </c>
      <c r="AV3" s="2" cm="1">
        <f t="array" ref="AV3">RHOGREEK($B3,100,0.01,AV$2,0.1)</f>
        <v>5.0381179915502319</v>
      </c>
      <c r="AW3" s="2" cm="1">
        <f t="array" ref="AW3">RHOGREEK($B3,100,0.01,AW$2,0.1)</f>
        <v>5.5121642546139649</v>
      </c>
      <c r="AX3" s="2" cm="1">
        <f t="array" ref="AX3">RHOGREEK($B3,100,0.01,AX$2,0.1)</f>
        <v>6.0116690839384361</v>
      </c>
      <c r="AY3" s="2" cm="1">
        <f t="array" ref="AY3">RHOGREEK($B3,100,0.01,AY$2,0.1)</f>
        <v>6.5368119318104503</v>
      </c>
      <c r="AZ3" s="2" cm="1">
        <f t="array" ref="AZ3">RHOGREEK($B3,100,0.01,AZ$2,0.1)</f>
        <v>7.087739486564721</v>
      </c>
    </row>
    <row r="4" spans="1:52" x14ac:dyDescent="0.3">
      <c r="A4" s="2"/>
      <c r="B4" s="2">
        <v>65</v>
      </c>
      <c r="C4" s="2" cm="1">
        <f t="array" ref="C4">RHOGREEK($B4,100,0.01,C$2,0.1)</f>
        <v>1.8240256915210587E-41</v>
      </c>
      <c r="D4" s="2" cm="1">
        <f t="array" ref="D4">RHOGREEK($B4,100,0.01,D$2,0.1)</f>
        <v>7.2236755311602645E-21</v>
      </c>
      <c r="E4" s="2" cm="1">
        <f t="array" ref="E4">RHOGREEK($B4,100,0.01,E$2,0.1)</f>
        <v>6.8680684372739561E-14</v>
      </c>
      <c r="F4" s="2" cm="1">
        <f t="array" ref="F4">RHOGREEK($B4,100,0.01,F$2,0.1)</f>
        <v>2.3996762916801211E-10</v>
      </c>
      <c r="G4" s="2" cm="1">
        <f t="array" ref="G4">RHOGREEK($B4,100,0.01,G$2,0.1)</f>
        <v>3.4533346751725237E-8</v>
      </c>
      <c r="H4" s="2" cm="1">
        <f t="array" ref="H4">RHOGREEK($B4,100,0.01,H$2,0.1)</f>
        <v>9.9575989539410702E-7</v>
      </c>
      <c r="I4" s="2" cm="1">
        <f t="array" ref="I4">RHOGREEK($B4,100,0.01,I$2,0.1)</f>
        <v>1.1375608625566544E-5</v>
      </c>
      <c r="J4" s="2" cm="1">
        <f t="array" ref="J4">RHOGREEK($B4,100,0.01,J$2,0.1)</f>
        <v>7.2532656593866113E-5</v>
      </c>
      <c r="K4" s="2" cm="1">
        <f t="array" ref="K4">RHOGREEK($B4,100,0.01,K$2,0.1)</f>
        <v>3.1257694746679194E-4</v>
      </c>
      <c r="L4" s="2" cm="1">
        <f t="array" ref="L4">RHOGREEK($B4,100,0.01,L$2,0.1)</f>
        <v>1.0218383303882987E-3</v>
      </c>
      <c r="M4" s="2" cm="1">
        <f t="array" ref="M4">RHOGREEK($B4,100,0.01,M$2,0.1)</f>
        <v>2.7282309653643209E-3</v>
      </c>
      <c r="N4" s="2" cm="1">
        <f t="array" ref="N4">RHOGREEK($B4,100,0.01,N$2,0.1)</f>
        <v>6.250941291057039E-3</v>
      </c>
      <c r="O4" s="2" cm="1">
        <f t="array" ref="O4">RHOGREEK($B4,100,0.01,O$2,0.1)</f>
        <v>1.272126024409162E-2</v>
      </c>
      <c r="P4" s="2" cm="1">
        <f t="array" ref="P4">RHOGREEK($B4,100,0.01,P$2,0.1)</f>
        <v>2.3570665760331174E-2</v>
      </c>
      <c r="Q4" s="2" cm="1">
        <f t="array" ref="Q4">RHOGREEK($B4,100,0.01,Q$2,0.1)</f>
        <v>4.0493361068119432E-2</v>
      </c>
      <c r="R4" s="2" cm="1">
        <f t="array" ref="R4">RHOGREEK($B4,100,0.01,R$2,0.1)</f>
        <v>6.5392932214853525E-2</v>
      </c>
      <c r="S4" s="2" cm="1">
        <f t="array" ref="S4">RHOGREEK($B4,100,0.01,S$2,0.1)</f>
        <v>0.10032214974830661</v>
      </c>
      <c r="T4" s="2" cm="1">
        <f t="array" ref="T4">RHOGREEK($B4,100,0.01,T$2,0.1)</f>
        <v>0.14742288329289793</v>
      </c>
      <c r="U4" s="2" cm="1">
        <f t="array" ref="U4">RHOGREEK($B4,100,0.01,U$2,0.1)</f>
        <v>0.20887076360581561</v>
      </c>
      <c r="V4" s="2" cm="1">
        <f t="array" ref="V4">RHOGREEK($B4,100,0.01,V$2,0.1)</f>
        <v>0.28682719393543493</v>
      </c>
      <c r="W4" s="2" cm="1">
        <f t="array" ref="W4">RHOGREEK($B4,100,0.01,W$2,0.1)</f>
        <v>0.38339978013615661</v>
      </c>
      <c r="X4" s="2" cm="1">
        <f t="array" ref="X4">RHOGREEK($B4,100,0.01,X$2,0.1)</f>
        <v>0.50061121263842567</v>
      </c>
      <c r="Y4" s="2" cm="1">
        <f t="array" ref="Y4">RHOGREEK($B4,100,0.01,Y$2,0.1)</f>
        <v>0.64037600440876719</v>
      </c>
      <c r="Z4" s="2" cm="1">
        <f t="array" ref="Z4">RHOGREEK($B4,100,0.01,Z$2,0.1)</f>
        <v>0.80448416004465739</v>
      </c>
      <c r="AA4" s="2" cm="1">
        <f t="array" ref="AA4">RHOGREEK($B4,100,0.01,AA$2,0.1)</f>
        <v>0.99459072565761664</v>
      </c>
      <c r="AB4" s="2" cm="1">
        <f t="array" ref="AB4">RHOGREEK($B4,100,0.01,AB$2,0.1)</f>
        <v>1.2122101715018894</v>
      </c>
      <c r="AC4" s="2" cm="1">
        <f t="array" ref="AC4">RHOGREEK($B4,100,0.01,AC$2,0.1)</f>
        <v>1.4587146347623128</v>
      </c>
      <c r="AD4" s="2" cm="1">
        <f t="array" ref="AD4">RHOGREEK($B4,100,0.01,AD$2,0.1)</f>
        <v>1.7353351615032786</v>
      </c>
      <c r="AE4" s="2" cm="1">
        <f t="array" ref="AE4">RHOGREEK($B4,100,0.01,AE$2,0.1)</f>
        <v>2.0431652108359635</v>
      </c>
      <c r="AF4" s="2" cm="1">
        <f t="array" ref="AF4">RHOGREEK($B4,100,0.01,AF$2,0.1)</f>
        <v>2.3831658067032904</v>
      </c>
      <c r="AG4" s="2" cm="1">
        <f t="array" ref="AG4">RHOGREEK($B4,100,0.01,AG$2,0.1)</f>
        <v>2.7561718355401759</v>
      </c>
      <c r="AH4" s="2" cm="1">
        <f t="array" ref="AH4">RHOGREEK($B4,100,0.01,AH$2,0.1)</f>
        <v>3.1628990878089427</v>
      </c>
      <c r="AI4" s="2" cm="1">
        <f t="array" ref="AI4">RHOGREEK($B4,100,0.01,AI$2,0.1)</f>
        <v>3.6039517269515815</v>
      </c>
      <c r="AJ4" s="2" cm="1">
        <f t="array" ref="AJ4">RHOGREEK($B4,100,0.01,AJ$2,0.1)</f>
        <v>4.0798299410338821</v>
      </c>
      <c r="AK4" s="2" cm="1">
        <f t="array" ref="AK4">RHOGREEK($B4,100,0.01,AK$2,0.1)</f>
        <v>4.5909375914506265</v>
      </c>
      <c r="AL4" s="2" cm="1">
        <f t="array" ref="AL4">RHOGREEK($B4,100,0.01,AL$2,0.1)</f>
        <v>5.1375897210290313</v>
      </c>
      <c r="AM4" s="2" cm="1">
        <f t="array" ref="AM4">RHOGREEK($B4,100,0.01,AM$2,0.1)</f>
        <v>5.7200198223017411</v>
      </c>
      <c r="AN4" s="2" cm="1">
        <f t="array" ref="AN4">RHOGREEK($B4,100,0.01,AN$2,0.1)</f>
        <v>6.3383867971484991</v>
      </c>
      <c r="AO4" s="2" cm="1">
        <f t="array" ref="AO4">RHOGREEK($B4,100,0.01,AO$2,0.1)</f>
        <v>6.992781562812171</v>
      </c>
      <c r="AP4" s="2" cm="1">
        <f t="array" ref="AP4">RHOGREEK($B4,100,0.01,AP$2,0.1)</f>
        <v>7.6832332776932759</v>
      </c>
      <c r="AQ4" s="2" cm="1">
        <f t="array" ref="AQ4">RHOGREEK($B4,100,0.01,AQ$2,0.1)</f>
        <v>8.4097151743568261</v>
      </c>
      <c r="AR4" s="2" cm="1">
        <f t="array" ref="AR4">RHOGREEK($B4,100,0.01,AR$2,0.1)</f>
        <v>9.1721499977145946</v>
      </c>
      <c r="AS4" s="2" cm="1">
        <f t="array" ref="AS4">RHOGREEK($B4,100,0.01,AS$2,0.1)</f>
        <v>9.9704150540982983</v>
      </c>
      <c r="AT4" s="2" cm="1">
        <f t="array" ref="AT4">RHOGREEK($B4,100,0.01,AT$2,0.1)</f>
        <v>10.804346882504111</v>
      </c>
      <c r="AU4" s="2" cm="1">
        <f t="array" ref="AU4">RHOGREEK($B4,100,0.01,AU$2,0.1)</f>
        <v>11.673745563145278</v>
      </c>
      <c r="AV4" s="2" cm="1">
        <f t="array" ref="AV4">RHOGREEK($B4,100,0.01,AV$2,0.1)</f>
        <v>12.578378680985566</v>
      </c>
      <c r="AW4" s="2" cm="1">
        <f t="array" ref="AW4">RHOGREEK($B4,100,0.01,AW$2,0.1)</f>
        <v>13.517984963447399</v>
      </c>
      <c r="AX4" s="2" cm="1">
        <f t="array" ref="AX4">RHOGREEK($B4,100,0.01,AX$2,0.1)</f>
        <v>14.492277612244671</v>
      </c>
      <c r="AY4" s="2" cm="1">
        <f t="array" ref="AY4">RHOGREEK($B4,100,0.01,AY$2,0.1)</f>
        <v>15.500947349470755</v>
      </c>
      <c r="AZ4" s="2" cm="1">
        <f t="array" ref="AZ4">RHOGREEK($B4,100,0.01,AZ$2,0.1)</f>
        <v>16.543665197834301</v>
      </c>
    </row>
    <row r="5" spans="1:52" x14ac:dyDescent="0.3">
      <c r="A5" s="2"/>
      <c r="B5" s="2">
        <v>70</v>
      </c>
      <c r="C5" s="2" cm="1">
        <f t="array" ref="C5">RHOGREEK($B5,100,0.01,C$2,0.1)</f>
        <v>9.9546668867391585E-29</v>
      </c>
      <c r="D5" s="2" cm="1">
        <f t="array" ref="D5">RHOGREEK($B5,100,0.01,D$2,0.1)</f>
        <v>1.8148881916339142E-14</v>
      </c>
      <c r="E5" s="2" cm="1">
        <f t="array" ref="E5">RHOGREEK($B5,100,0.01,E$2,0.1)</f>
        <v>1.3307124507183834E-9</v>
      </c>
      <c r="F5" s="2" cm="1">
        <f t="array" ref="F5">RHOGREEK($B5,100,0.01,F$2,0.1)</f>
        <v>4.0794980511215032E-7</v>
      </c>
      <c r="G5" s="2" cm="1">
        <f t="array" ref="G5">RHOGREEK($B5,100,0.01,G$2,0.1)</f>
        <v>1.3625021969122365E-5</v>
      </c>
      <c r="H5" s="2" cm="1">
        <f t="array" ref="H5">RHOGREEK($B5,100,0.01,H$2,0.1)</f>
        <v>1.4829729609667342E-4</v>
      </c>
      <c r="I5" s="2" cm="1">
        <f t="array" ref="I5">RHOGREEK($B5,100,0.01,I$2,0.1)</f>
        <v>8.4440564273303509E-4</v>
      </c>
      <c r="J5" s="2" cm="1">
        <f t="array" ref="J5">RHOGREEK($B5,100,0.01,J$2,0.1)</f>
        <v>3.1927561083099141E-3</v>
      </c>
      <c r="K5" s="2" cm="1">
        <f t="array" ref="K5">RHOGREEK($B5,100,0.01,K$2,0.1)</f>
        <v>9.1613031212592951E-3</v>
      </c>
      <c r="L5" s="2" cm="1">
        <f t="array" ref="L5">RHOGREEK($B5,100,0.01,L$2,0.1)</f>
        <v>2.162595366355944E-2</v>
      </c>
      <c r="M5" s="2" cm="1">
        <f t="array" ref="M5">RHOGREEK($B5,100,0.01,M$2,0.1)</f>
        <v>4.4227229959378556E-2</v>
      </c>
      <c r="N5" s="2" cm="1">
        <f t="array" ref="N5">RHOGREEK($B5,100,0.01,N$2,0.1)</f>
        <v>8.1131715388640543E-2</v>
      </c>
      <c r="O5" s="2" cm="1">
        <f t="array" ref="O5">RHOGREEK($B5,100,0.01,O$2,0.1)</f>
        <v>0.13677315903379483</v>
      </c>
      <c r="P5" s="2" cm="1">
        <f t="array" ref="P5">RHOGREEK($B5,100,0.01,P$2,0.1)</f>
        <v>0.21562088009440039</v>
      </c>
      <c r="Q5" s="2" cm="1">
        <f t="array" ref="Q5">RHOGREEK($B5,100,0.01,Q$2,0.1)</f>
        <v>0.32199689115388874</v>
      </c>
      <c r="R5" s="2" cm="1">
        <f t="array" ref="R5">RHOGREEK($B5,100,0.01,R$2,0.1)</f>
        <v>0.4599456240217738</v>
      </c>
      <c r="S5" s="2" cm="1">
        <f t="array" ref="S5">RHOGREEK($B5,100,0.01,S$2,0.1)</f>
        <v>0.63315088489656846</v>
      </c>
      <c r="T5" s="2" cm="1">
        <f t="array" ref="T5">RHOGREEK($B5,100,0.01,T$2,0.1)</f>
        <v>0.84489104460675879</v>
      </c>
      <c r="U5" s="2" cm="1">
        <f t="array" ref="U5">RHOGREEK($B5,100,0.01,U$2,0.1)</f>
        <v>1.0980230267122648</v>
      </c>
      <c r="V5" s="2" cm="1">
        <f t="array" ref="V5">RHOGREEK($B5,100,0.01,V$2,0.1)</f>
        <v>1.394986710923013</v>
      </c>
      <c r="W5" s="2" cm="1">
        <f t="array" ref="W5">RHOGREEK($B5,100,0.01,W$2,0.1)</f>
        <v>1.7378229425893104</v>
      </c>
      <c r="X5" s="2" cm="1">
        <f t="array" ref="X5">RHOGREEK($B5,100,0.01,X$2,0.1)</f>
        <v>2.1281999300616379</v>
      </c>
      <c r="Y5" s="2" cm="1">
        <f t="array" ref="Y5">RHOGREEK($B5,100,0.01,Y$2,0.1)</f>
        <v>2.5674442030976405</v>
      </c>
      <c r="Z5" s="2" cm="1">
        <f t="array" ref="Z5">RHOGREEK($B5,100,0.01,Z$2,0.1)</f>
        <v>3.0565734313926956</v>
      </c>
      <c r="AA5" s="2" cm="1">
        <f t="array" ref="AA5">RHOGREEK($B5,100,0.01,AA$2,0.1)</f>
        <v>3.5963292695873346</v>
      </c>
      <c r="AB5" s="2" cm="1">
        <f t="array" ref="AB5">RHOGREEK($B5,100,0.01,AB$2,0.1)</f>
        <v>4.1872090399714654</v>
      </c>
      <c r="AC5" s="2" cm="1">
        <f t="array" ref="AC5">RHOGREEK($B5,100,0.01,AC$2,0.1)</f>
        <v>4.829495530192899</v>
      </c>
      <c r="AD5" s="2" cm="1">
        <f t="array" ref="AD5">RHOGREEK($B5,100,0.01,AD$2,0.1)</f>
        <v>5.5232845116413483</v>
      </c>
      <c r="AE5" s="2" cm="1">
        <f t="array" ref="AE5">RHOGREEK($B5,100,0.01,AE$2,0.1)</f>
        <v>6.2685098095512286</v>
      </c>
      <c r="AF5" s="2" cm="1">
        <f t="array" ref="AF5">RHOGREEK($B5,100,0.01,AF$2,0.1)</f>
        <v>7.064965905954832</v>
      </c>
      <c r="AG5" s="2" cm="1">
        <f t="array" ref="AG5">RHOGREEK($B5,100,0.01,AG$2,0.1)</f>
        <v>7.9123281527143137</v>
      </c>
      <c r="AH5" s="2" cm="1">
        <f t="array" ref="AH5">RHOGREEK($B5,100,0.01,AH$2,0.1)</f>
        <v>8.8101707299215324</v>
      </c>
      <c r="AI5" s="2" cm="1">
        <f t="array" ref="AI5">RHOGREEK($B5,100,0.01,AI$2,0.1)</f>
        <v>9.7579825167030805</v>
      </c>
      <c r="AJ5" s="2" cm="1">
        <f t="array" ref="AJ5">RHOGREEK($B5,100,0.01,AJ$2,0.1)</f>
        <v>10.755181055393196</v>
      </c>
      <c r="AK5" s="2" cm="1">
        <f t="array" ref="AK5">RHOGREEK($B5,100,0.01,AK$2,0.1)</f>
        <v>11.80112479220154</v>
      </c>
      <c r="AL5" s="2" cm="1">
        <f t="array" ref="AL5">RHOGREEK($B5,100,0.01,AL$2,0.1)</f>
        <v>12.895123772182806</v>
      </c>
      <c r="AM5" s="2" cm="1">
        <f t="array" ref="AM5">RHOGREEK($B5,100,0.01,AM$2,0.1)</f>
        <v>14.036448956486058</v>
      </c>
      <c r="AN5" s="2" cm="1">
        <f t="array" ref="AN5">RHOGREEK($B5,100,0.01,AN$2,0.1)</f>
        <v>15.224340317565105</v>
      </c>
      <c r="AO5" s="2" cm="1">
        <f t="array" ref="AO5">RHOGREEK($B5,100,0.01,AO$2,0.1)</f>
        <v>16.458013854639415</v>
      </c>
      <c r="AP5" s="2" cm="1">
        <f t="array" ref="AP5">RHOGREEK($B5,100,0.01,AP$2,0.1)</f>
        <v>17.736667658110342</v>
      </c>
      <c r="AQ5" s="2" cm="1">
        <f t="array" ref="AQ5">RHOGREEK($B5,100,0.01,AQ$2,0.1)</f>
        <v>19.05948713843263</v>
      </c>
      <c r="AR5" s="2" cm="1">
        <f t="array" ref="AR5">RHOGREEK($B5,100,0.01,AR$2,0.1)</f>
        <v>20.425649522458588</v>
      </c>
      <c r="AS5" s="2" cm="1">
        <f t="array" ref="AS5">RHOGREEK($B5,100,0.01,AS$2,0.1)</f>
        <v>21.834327708702851</v>
      </c>
      <c r="AT5" s="2" cm="1">
        <f t="array" ref="AT5">RHOGREEK($B5,100,0.01,AT$2,0.1)</f>
        <v>23.284693562401394</v>
      </c>
      <c r="AU5" s="2" cm="1">
        <f t="array" ref="AU5">RHOGREEK($B5,100,0.01,AU$2,0.1)</f>
        <v>24.775920721674325</v>
      </c>
      <c r="AV5" s="2" cm="1">
        <f t="array" ref="AV5">RHOGREEK($B5,100,0.01,AV$2,0.1)</f>
        <v>26.307186977523788</v>
      </c>
      <c r="AW5" s="2" cm="1">
        <f t="array" ref="AW5">RHOGREEK($B5,100,0.01,AW$2,0.1)</f>
        <v>27.877676282746112</v>
      </c>
      <c r="AX5" s="2" cm="1">
        <f t="array" ref="AX5">RHOGREEK($B5,100,0.01,AX$2,0.1)</f>
        <v>29.486580438050275</v>
      </c>
      <c r="AY5" s="2" cm="1">
        <f t="array" ref="AY5">RHOGREEK($B5,100,0.01,AY$2,0.1)</f>
        <v>31.133100497670622</v>
      </c>
      <c r="AZ5" s="2" cm="1">
        <f t="array" ref="AZ5">RHOGREEK($B5,100,0.01,AZ$2,0.1)</f>
        <v>32.816447931472723</v>
      </c>
    </row>
    <row r="6" spans="1:52" x14ac:dyDescent="0.3">
      <c r="A6" s="2"/>
      <c r="B6" s="2">
        <v>75</v>
      </c>
      <c r="C6" s="2" cm="1">
        <f t="array" ref="C6">RHOGREEK($B6,100,0.01,C$2,0.1)</f>
        <v>5.3493516241294035E-19</v>
      </c>
      <c r="D6" s="2" cm="1">
        <f t="array" ref="D6">RHOGREEK($B6,100,0.01,D$2,0.1)</f>
        <v>1.4484262281308254E-9</v>
      </c>
      <c r="E6" s="2" cm="1">
        <f t="array" ref="E6">RHOGREEK($B6,100,0.01,E$2,0.1)</f>
        <v>2.6052631871411126E-6</v>
      </c>
      <c r="F6" s="2" cm="1">
        <f t="array" ref="F6">RHOGREEK($B6,100,0.01,F$2,0.1)</f>
        <v>1.2492523960331802E-4</v>
      </c>
      <c r="G6" s="2" cm="1">
        <f t="array" ref="G6">RHOGREEK($B6,100,0.01,G$2,0.1)</f>
        <v>1.369378385478035E-3</v>
      </c>
      <c r="H6" s="2" cm="1">
        <f t="array" ref="H6">RHOGREEK($B6,100,0.01,H$2,0.1)</f>
        <v>7.0864177060534416E-3</v>
      </c>
      <c r="I6" s="2" cm="1">
        <f t="array" ref="I6">RHOGREEK($B6,100,0.01,I$2,0.1)</f>
        <v>2.3711237792182871E-2</v>
      </c>
      <c r="J6" s="2" cm="1">
        <f t="array" ref="J6">RHOGREEK($B6,100,0.01,J$2,0.1)</f>
        <v>6.0144636736595404E-2</v>
      </c>
      <c r="K6" s="2" cm="1">
        <f t="array" ref="K6">RHOGREEK($B6,100,0.01,K$2,0.1)</f>
        <v>0.12646643565367435</v>
      </c>
      <c r="L6" s="2" cm="1">
        <f t="array" ref="L6">RHOGREEK($B6,100,0.01,L$2,0.1)</f>
        <v>0.23272427909089094</v>
      </c>
      <c r="M6" s="2" cm="1">
        <f t="array" ref="M6">RHOGREEK($B6,100,0.01,M$2,0.1)</f>
        <v>0.38810439629546334</v>
      </c>
      <c r="N6" s="2" cm="1">
        <f t="array" ref="N6">RHOGREEK($B6,100,0.01,N$2,0.1)</f>
        <v>0.60049123759214074</v>
      </c>
      <c r="O6" s="2" cm="1">
        <f t="array" ref="O6">RHOGREEK($B6,100,0.01,O$2,0.1)</f>
        <v>0.87631514431364654</v>
      </c>
      <c r="P6" s="2" cm="1">
        <f t="array" ref="P6">RHOGREEK($B6,100,0.01,P$2,0.1)</f>
        <v>1.2205796483744511</v>
      </c>
      <c r="Q6" s="2" cm="1">
        <f t="array" ref="Q6">RHOGREEK($B6,100,0.01,Q$2,0.1)</f>
        <v>1.6369853077301846</v>
      </c>
      <c r="R6" s="2" cm="1">
        <f t="array" ref="R6">RHOGREEK($B6,100,0.01,R$2,0.1)</f>
        <v>2.1280953139942409</v>
      </c>
      <c r="S6" s="2" cm="1">
        <f t="array" ref="S6">RHOGREEK($B6,100,0.01,S$2,0.1)</f>
        <v>2.6955102326255509</v>
      </c>
      <c r="T6" s="2" cm="1">
        <f t="array" ref="T6">RHOGREEK($B6,100,0.01,T$2,0.1)</f>
        <v>3.3400342025449636</v>
      </c>
      <c r="U6" s="2" cm="1">
        <f t="array" ref="U6">RHOGREEK($B6,100,0.01,U$2,0.1)</f>
        <v>4.061824236299219</v>
      </c>
      <c r="V6" s="2" cm="1">
        <f t="array" ref="V6">RHOGREEK($B6,100,0.01,V$2,0.1)</f>
        <v>4.8605196983075727</v>
      </c>
      <c r="W6" s="2" cm="1">
        <f t="array" ref="W6">RHOGREEK($B6,100,0.01,W$2,0.1)</f>
        <v>5.7353520079670091</v>
      </c>
      <c r="X6" s="2" cm="1">
        <f t="array" ref="X6">RHOGREEK($B6,100,0.01,X$2,0.1)</f>
        <v>6.6852360921627945</v>
      </c>
      <c r="Y6" s="2" cm="1">
        <f t="array" ref="Y6">RHOGREEK($B6,100,0.01,Y$2,0.1)</f>
        <v>7.7088457265179562</v>
      </c>
      <c r="Z6" s="2" cm="1">
        <f t="array" ref="Z6">RHOGREEK($B6,100,0.01,Z$2,0.1)</f>
        <v>8.8046750437203833</v>
      </c>
      <c r="AA6" s="2" cm="1">
        <f t="array" ref="AA6">RHOGREEK($B6,100,0.01,AA$2,0.1)</f>
        <v>9.9710883811358446</v>
      </c>
      <c r="AB6" s="2" cm="1">
        <f t="array" ref="AB6">RHOGREEK($B6,100,0.01,AB$2,0.1)</f>
        <v>11.206360421788077</v>
      </c>
      <c r="AC6" s="2" cm="1">
        <f t="array" ref="AC6">RHOGREEK($B6,100,0.01,AC$2,0.1)</f>
        <v>12.508708326759269</v>
      </c>
      <c r="AD6" s="2" cm="1">
        <f t="array" ref="AD6">RHOGREEK($B6,100,0.01,AD$2,0.1)</f>
        <v>13.876317302312282</v>
      </c>
      <c r="AE6" s="2" cm="1">
        <f t="array" ref="AE6">RHOGREEK($B6,100,0.01,AE$2,0.1)</f>
        <v>15.307360810556968</v>
      </c>
      <c r="AF6" s="2" cm="1">
        <f t="array" ref="AF6">RHOGREEK($B6,100,0.01,AF$2,0.1)</f>
        <v>16.800016425945085</v>
      </c>
      <c r="AG6" s="2" cm="1">
        <f t="array" ref="AG6">RHOGREEK($B6,100,0.01,AG$2,0.1)</f>
        <v>18.352478162832103</v>
      </c>
      <c r="AH6" s="2" cm="1">
        <f t="array" ref="AH6">RHOGREEK($B6,100,0.01,AH$2,0.1)</f>
        <v>19.962965950250236</v>
      </c>
      <c r="AI6" s="2" cm="1">
        <f t="array" ref="AI6">RHOGREEK($B6,100,0.01,AI$2,0.1)</f>
        <v>21.629732805976417</v>
      </c>
      <c r="AJ6" s="2" cm="1">
        <f t="array" ref="AJ6">RHOGREEK($B6,100,0.01,AJ$2,0.1)</f>
        <v>23.35107015958922</v>
      </c>
      <c r="AK6" s="2" cm="1">
        <f t="array" ref="AK6">RHOGREEK($B6,100,0.01,AK$2,0.1)</f>
        <v>25.125311690182439</v>
      </c>
      <c r="AL6" s="2" cm="1">
        <f t="array" ref="AL6">RHOGREEK($B6,100,0.01,AL$2,0.1)</f>
        <v>26.95083597571141</v>
      </c>
      <c r="AM6" s="2" cm="1">
        <f t="array" ref="AM6">RHOGREEK($B6,100,0.01,AM$2,0.1)</f>
        <v>28.826068194938056</v>
      </c>
      <c r="AN6" s="2" cm="1">
        <f t="array" ref="AN6">RHOGREEK($B6,100,0.01,AN$2,0.1)</f>
        <v>30.749481077349138</v>
      </c>
      <c r="AO6" s="2" cm="1">
        <f t="array" ref="AO6">RHOGREEK($B6,100,0.01,AO$2,0.1)</f>
        <v>32.719595259348701</v>
      </c>
      <c r="AP6" s="2" cm="1">
        <f t="array" ref="AP6">RHOGREEK($B6,100,0.01,AP$2,0.1)</f>
        <v>34.734979174896125</v>
      </c>
      <c r="AQ6" s="2" cm="1">
        <f t="array" ref="AQ6">RHOGREEK($B6,100,0.01,AQ$2,0.1)</f>
        <v>36.79424858428002</v>
      </c>
      <c r="AR6" s="2" cm="1">
        <f t="array" ref="AR6">RHOGREEK($B6,100,0.01,AR$2,0.1)</f>
        <v>38.896065824827964</v>
      </c>
      <c r="AS6" s="2" cm="1">
        <f t="array" ref="AS6">RHOGREEK($B6,100,0.01,AS$2,0.1)</f>
        <v>41.039138851187879</v>
      </c>
      <c r="AT6" s="2" cm="1">
        <f t="array" ref="AT6">RHOGREEK($B6,100,0.01,AT$2,0.1)</f>
        <v>43.222220119680777</v>
      </c>
      <c r="AU6" s="2" cm="1">
        <f t="array" ref="AU6">RHOGREEK($B6,100,0.01,AU$2,0.1)</f>
        <v>45.4441053605427</v>
      </c>
      <c r="AV6" s="2" cm="1">
        <f t="array" ref="AV6">RHOGREEK($B6,100,0.01,AV$2,0.1)</f>
        <v>47.703632273193314</v>
      </c>
      <c r="AW6" s="2" cm="1">
        <f t="array" ref="AW6">RHOGREEK($B6,100,0.01,AW$2,0.1)</f>
        <v>49.999679172603848</v>
      </c>
      <c r="AX6" s="2" cm="1">
        <f t="array" ref="AX6">RHOGREEK($B6,100,0.01,AX$2,0.1)</f>
        <v>52.331163609098802</v>
      </c>
      <c r="AY6" s="2" cm="1">
        <f t="array" ref="AY6">RHOGREEK($B6,100,0.01,AY$2,0.1)</f>
        <v>54.697040979257068</v>
      </c>
      <c r="AZ6" s="2" cm="1">
        <f t="array" ref="AZ6">RHOGREEK($B6,100,0.01,AZ$2,0.1)</f>
        <v>57.09630314178446</v>
      </c>
    </row>
    <row r="7" spans="1:52" x14ac:dyDescent="0.3">
      <c r="A7" s="2"/>
      <c r="B7" s="2">
        <v>80</v>
      </c>
      <c r="C7" s="2" cm="1">
        <f t="array" ref="C7">RHOGREEK($B7,100,0.01,C$2,0.1)</f>
        <v>9.5606229748062578E-12</v>
      </c>
      <c r="D7" s="2" cm="1">
        <f t="array" ref="D7">RHOGREEK($B7,100,0.01,D$2,0.1)</f>
        <v>6.7762571900260926E-6</v>
      </c>
      <c r="E7" s="2" cm="1">
        <f t="array" ref="E7">RHOGREEK($B7,100,0.01,E$2,0.1)</f>
        <v>7.770392227479003E-4</v>
      </c>
      <c r="F7" s="2" cm="1">
        <f t="array" ref="F7">RHOGREEK($B7,100,0.01,F$2,0.1)</f>
        <v>9.3874067121779217E-3</v>
      </c>
      <c r="G7" s="2" cm="1">
        <f t="array" ref="G7">RHOGREEK($B7,100,0.01,G$2,0.1)</f>
        <v>4.4930628022144238E-2</v>
      </c>
      <c r="H7" s="2" cm="1">
        <f t="array" ref="H7">RHOGREEK($B7,100,0.01,H$2,0.1)</f>
        <v>0.1336727208702719</v>
      </c>
      <c r="I7" s="2" cm="1">
        <f t="array" ref="I7">RHOGREEK($B7,100,0.01,I$2,0.1)</f>
        <v>0.30094142404680285</v>
      </c>
      <c r="J7" s="2" cm="1">
        <f t="array" ref="J7">RHOGREEK($B7,100,0.01,J$2,0.1)</f>
        <v>0.56671524536186413</v>
      </c>
      <c r="K7" s="2" cm="1">
        <f t="array" ref="K7">RHOGREEK($B7,100,0.01,K$2,0.1)</f>
        <v>0.9446978835784493</v>
      </c>
      <c r="L7" s="2" cm="1">
        <f t="array" ref="L7">RHOGREEK($B7,100,0.01,L$2,0.1)</f>
        <v>1.4430579922614029</v>
      </c>
      <c r="M7" s="2" cm="1">
        <f t="array" ref="M7">RHOGREEK($B7,100,0.01,M$2,0.1)</f>
        <v>2.0656481781473288</v>
      </c>
      <c r="N7" s="2" cm="1">
        <f t="array" ref="N7">RHOGREEK($B7,100,0.01,N$2,0.1)</f>
        <v>2.8131792536209694</v>
      </c>
      <c r="O7" s="2" cm="1">
        <f t="array" ref="O7">RHOGREEK($B7,100,0.01,O$2,0.1)</f>
        <v>3.6841811838965999</v>
      </c>
      <c r="P7" s="2" cm="1">
        <f t="array" ref="P7">RHOGREEK($B7,100,0.01,P$2,0.1)</f>
        <v>4.675732739404399</v>
      </c>
      <c r="Q7" s="2" cm="1">
        <f t="array" ref="Q7">RHOGREEK($B7,100,0.01,Q$2,0.1)</f>
        <v>5.783993341671116</v>
      </c>
      <c r="R7" s="2" cm="1">
        <f t="array" ref="R7">RHOGREEK($B7,100,0.01,R$2,0.1)</f>
        <v>7.0045809586170433</v>
      </c>
      <c r="S7" s="2" cm="1">
        <f t="array" ref="S7">RHOGREEK($B7,100,0.01,S$2,0.1)</f>
        <v>8.3328356303707221</v>
      </c>
      <c r="T7" s="2" cm="1">
        <f t="array" ref="T7">RHOGREEK($B7,100,0.01,T$2,0.1)</f>
        <v>9.7640001695819105</v>
      </c>
      <c r="U7" s="2" cm="1">
        <f t="array" ref="U7">RHOGREEK($B7,100,0.01,U$2,0.1)</f>
        <v>11.293341777081549</v>
      </c>
      <c r="V7" s="2" cm="1">
        <f t="array" ref="V7">RHOGREEK($B7,100,0.01,V$2,0.1)</f>
        <v>12.916231918414772</v>
      </c>
      <c r="W7" s="2" cm="1">
        <f t="array" ref="W7">RHOGREEK($B7,100,0.01,W$2,0.1)</f>
        <v>14.628196930560366</v>
      </c>
      <c r="X7" s="2" cm="1">
        <f t="array" ref="X7">RHOGREEK($B7,100,0.01,X$2,0.1)</f>
        <v>16.424948242294629</v>
      </c>
      <c r="Y7" s="2" cm="1">
        <f t="array" ref="Y7">RHOGREEK($B7,100,0.01,Y$2,0.1)</f>
        <v>18.30239850492568</v>
      </c>
      <c r="Z7" s="2" cm="1">
        <f t="array" ref="Z7">RHOGREEK($B7,100,0.01,Z$2,0.1)</f>
        <v>20.256668083167686</v>
      </c>
      <c r="AA7" s="2" cm="1">
        <f t="array" ref="AA7">RHOGREEK($B7,100,0.01,AA$2,0.1)</f>
        <v>22.284085043999276</v>
      </c>
      <c r="AB7" s="2" cm="1">
        <f t="array" ref="AB7">RHOGREEK($B7,100,0.01,AB$2,0.1)</f>
        <v>24.381180851577515</v>
      </c>
      <c r="AC7" s="2" cm="1">
        <f t="array" ref="AC7">RHOGREEK($B7,100,0.01,AC$2,0.1)</f>
        <v>26.544683317745278</v>
      </c>
      <c r="AD7" s="2" cm="1">
        <f t="array" ref="AD7">RHOGREEK($B7,100,0.01,AD$2,0.1)</f>
        <v>28.771507891152154</v>
      </c>
      <c r="AE7" s="2" cm="1">
        <f t="array" ref="AE7">RHOGREEK($B7,100,0.01,AE$2,0.1)</f>
        <v>31.058748037356036</v>
      </c>
      <c r="AF7" s="2" cm="1">
        <f t="array" ref="AF7">RHOGREEK($B7,100,0.01,AF$2,0.1)</f>
        <v>33.403665227840925</v>
      </c>
      <c r="AG7" s="2" cm="1">
        <f t="array" ref="AG7">RHOGREEK($B7,100,0.01,AG$2,0.1)</f>
        <v>35.803678889703647</v>
      </c>
      <c r="AH7" s="2" cm="1">
        <f t="array" ref="AH7">RHOGREEK($B7,100,0.01,AH$2,0.1)</f>
        <v>38.25635655007747</v>
      </c>
      <c r="AI7" s="2" cm="1">
        <f t="array" ref="AI7">RHOGREEK($B7,100,0.01,AI$2,0.1)</f>
        <v>40.759404326207054</v>
      </c>
      <c r="AJ7" s="2" cm="1">
        <f t="array" ref="AJ7">RHOGREEK($B7,100,0.01,AJ$2,0.1)</f>
        <v>43.310657853558261</v>
      </c>
      <c r="AK7" s="2" cm="1">
        <f t="array" ref="AK7">RHOGREEK($B7,100,0.01,AK$2,0.1)</f>
        <v>45.908073703398983</v>
      </c>
      <c r="AL7" s="2" cm="1">
        <f t="array" ref="AL7">RHOGREEK($B7,100,0.01,AL$2,0.1)</f>
        <v>48.549721312902768</v>
      </c>
      <c r="AM7" s="2" cm="1">
        <f t="array" ref="AM7">RHOGREEK($B7,100,0.01,AM$2,0.1)</f>
        <v>51.233775431414777</v>
      </c>
      <c r="AN7" s="2" cm="1">
        <f t="array" ref="AN7">RHOGREEK($B7,100,0.01,AN$2,0.1)</f>
        <v>53.958509073514655</v>
      </c>
      <c r="AO7" s="2" cm="1">
        <f t="array" ref="AO7">RHOGREEK($B7,100,0.01,AO$2,0.1)</f>
        <v>56.722286961059396</v>
      </c>
      <c r="AP7" s="2" cm="1">
        <f t="array" ref="AP7">RHOGREEK($B7,100,0.01,AP$2,0.1)</f>
        <v>59.523559431171982</v>
      </c>
      <c r="AQ7" s="2" cm="1">
        <f t="array" ref="AQ7">RHOGREEK($B7,100,0.01,AQ$2,0.1)</f>
        <v>62.360856784196322</v>
      </c>
      <c r="AR7" s="2" cm="1">
        <f t="array" ref="AR7">RHOGREEK($B7,100,0.01,AR$2,0.1)</f>
        <v>65.232784044283335</v>
      </c>
      <c r="AS7" s="2" cm="1">
        <f t="array" ref="AS7">RHOGREEK($B7,100,0.01,AS$2,0.1)</f>
        <v>68.138016105005917</v>
      </c>
      <c r="AT7" s="2" cm="1">
        <f t="array" ref="AT7">RHOGREEK($B7,100,0.01,AT$2,0.1)</f>
        <v>71.075293232873165</v>
      </c>
      <c r="AU7" s="2" cm="1">
        <f t="array" ref="AU7">RHOGREEK($B7,100,0.01,AU$2,0.1)</f>
        <v>74.043416902564601</v>
      </c>
      <c r="AV7" s="2" cm="1">
        <f t="array" ref="AV7">RHOGREEK($B7,100,0.01,AV$2,0.1)</f>
        <v>77.041245938957246</v>
      </c>
      <c r="AW7" s="2" cm="1">
        <f t="array" ref="AW7">RHOGREEK($B7,100,0.01,AW$2,0.1)</f>
        <v>80.067692942439692</v>
      </c>
      <c r="AX7" s="2" cm="1">
        <f t="array" ref="AX7">RHOGREEK($B7,100,0.01,AX$2,0.1)</f>
        <v>83.12172097550949</v>
      </c>
      <c r="AY7" s="2" cm="1">
        <f t="array" ref="AY7">RHOGREEK($B7,100,0.01,AY$2,0.1)</f>
        <v>86.202340490170457</v>
      </c>
      <c r="AZ7" s="2" cm="1">
        <f t="array" ref="AZ7">RHOGREEK($B7,100,0.01,AZ$2,0.1)</f>
        <v>89.308606477141765</v>
      </c>
    </row>
    <row r="8" spans="1:52" x14ac:dyDescent="0.3">
      <c r="A8" s="2"/>
      <c r="B8" s="2">
        <v>85</v>
      </c>
      <c r="C8" s="2" cm="1">
        <f t="array" ref="C8">RHOGREEK($B8,100,0.01,C$2,0.1)</f>
        <v>1.4981715104281291E-6</v>
      </c>
      <c r="D8" s="2" cm="1">
        <f t="array" ref="D8">RHOGREEK($B8,100,0.01,D$2,0.1)</f>
        <v>3.0362011070892117E-3</v>
      </c>
      <c r="E8" s="2" cm="1">
        <f t="array" ref="E8">RHOGREEK($B8,100,0.01,E$2,0.1)</f>
        <v>4.911764080257626E-2</v>
      </c>
      <c r="F8" s="2" cm="1">
        <f t="array" ref="F8">RHOGREEK($B8,100,0.01,F$2,0.1)</f>
        <v>0.22206863454671427</v>
      </c>
      <c r="G8" s="2" cm="1">
        <f t="array" ref="G8">RHOGREEK($B8,100,0.01,G$2,0.1)</f>
        <v>0.58793072579454853</v>
      </c>
      <c r="H8" s="2" cm="1">
        <f t="array" ref="H8">RHOGREEK($B8,100,0.01,H$2,0.1)</f>
        <v>1.1766528591399643</v>
      </c>
      <c r="I8" s="2" cm="1">
        <f t="array" ref="I8">RHOGREEK($B8,100,0.01,I$2,0.1)</f>
        <v>1.9932210842367935</v>
      </c>
      <c r="J8" s="2" cm="1">
        <f t="array" ref="J8">RHOGREEK($B8,100,0.01,J$2,0.1)</f>
        <v>3.0294875417979763</v>
      </c>
      <c r="K8" s="2" cm="1">
        <f t="array" ref="K8">RHOGREEK($B8,100,0.01,K$2,0.1)</f>
        <v>4.2714832976975066</v>
      </c>
      <c r="L8" s="2" cm="1">
        <f t="array" ref="L8">RHOGREEK($B8,100,0.01,L$2,0.1)</f>
        <v>5.7033185664748594</v>
      </c>
      <c r="M8" s="2" cm="1">
        <f t="array" ref="M8">RHOGREEK($B8,100,0.01,M$2,0.1)</f>
        <v>7.3091144177247163</v>
      </c>
      <c r="N8" s="2" cm="1">
        <f t="array" ref="N8">RHOGREEK($B8,100,0.01,N$2,0.1)</f>
        <v>9.0738882817964956</v>
      </c>
      <c r="O8" s="2" cm="1">
        <f t="array" ref="O8">RHOGREEK($B8,100,0.01,O$2,0.1)</f>
        <v>10.983903071993208</v>
      </c>
      <c r="P8" s="2" cm="1">
        <f t="array" ref="P8">RHOGREEK($B8,100,0.01,P$2,0.1)</f>
        <v>13.026749202016585</v>
      </c>
      <c r="Q8" s="2" cm="1">
        <f t="array" ref="Q8">RHOGREEK($B8,100,0.01,Q$2,0.1)</f>
        <v>15.191299405983859</v>
      </c>
      <c r="R8" s="2" cm="1">
        <f t="array" ref="R8">RHOGREEK($B8,100,0.01,R$2,0.1)</f>
        <v>17.467608343775023</v>
      </c>
      <c r="S8" s="2" cm="1">
        <f t="array" ref="S8">RHOGREEK($B8,100,0.01,S$2,0.1)</f>
        <v>19.846793498137263</v>
      </c>
      <c r="T8" s="2" cm="1">
        <f t="array" ref="T8">RHOGREEK($B8,100,0.01,T$2,0.1)</f>
        <v>22.320915341633452</v>
      </c>
      <c r="U8" s="2" cm="1">
        <f t="array" ref="U8">RHOGREEK($B8,100,0.01,U$2,0.1)</f>
        <v>24.882865089804053</v>
      </c>
      <c r="V8" s="2" cm="1">
        <f t="array" ref="V8">RHOGREEK($B8,100,0.01,V$2,0.1)</f>
        <v>27.526263359416991</v>
      </c>
      <c r="W8" s="2" cm="1">
        <f t="array" ref="W8">RHOGREEK($B8,100,0.01,W$2,0.1)</f>
        <v>30.245370518893292</v>
      </c>
      <c r="X8" s="2" cm="1">
        <f t="array" ref="X8">RHOGREEK($B8,100,0.01,X$2,0.1)</f>
        <v>33.035008291587481</v>
      </c>
      <c r="Y8" s="2" cm="1">
        <f t="array" ref="Y8">RHOGREEK($B8,100,0.01,Y$2,0.1)</f>
        <v>35.890491633902336</v>
      </c>
      <c r="Z8" s="2" cm="1">
        <f t="array" ref="Z8">RHOGREEK($B8,100,0.01,Z$2,0.1)</f>
        <v>38.807569728316444</v>
      </c>
      <c r="AA8" s="2" cm="1">
        <f t="array" ref="AA8">RHOGREEK($B8,100,0.01,AA$2,0.1)</f>
        <v>41.782374928542495</v>
      </c>
      <c r="AB8" s="2" cm="1">
        <f t="array" ref="AB8">RHOGREEK($B8,100,0.01,AB$2,0.1)</f>
        <v>44.811378575018018</v>
      </c>
      <c r="AC8" s="2" cm="1">
        <f t="array" ref="AC8">RHOGREEK($B8,100,0.01,AC$2,0.1)</f>
        <v>47.891352713359602</v>
      </c>
      <c r="AD8" s="2" cm="1">
        <f t="array" ref="AD8">RHOGREEK($B8,100,0.01,AD$2,0.1)</f>
        <v>51.019336870281187</v>
      </c>
      <c r="AE8" s="2" cm="1">
        <f t="array" ref="AE8">RHOGREEK($B8,100,0.01,AE$2,0.1)</f>
        <v>54.19260915803104</v>
      </c>
      <c r="AF8" s="2" cm="1">
        <f t="array" ref="AF8">RHOGREEK($B8,100,0.01,AF$2,0.1)</f>
        <v>57.40866108402416</v>
      </c>
      <c r="AG8" s="2" cm="1">
        <f t="array" ref="AG8">RHOGREEK($B8,100,0.01,AG$2,0.1)</f>
        <v>60.665175535188844</v>
      </c>
      <c r="AH8" s="2" cm="1">
        <f t="array" ref="AH8">RHOGREEK($B8,100,0.01,AH$2,0.1)</f>
        <v>63.960007486673945</v>
      </c>
      <c r="AI8" s="2" cm="1">
        <f t="array" ref="AI8">RHOGREEK($B8,100,0.01,AI$2,0.1)</f>
        <v>67.291167052944616</v>
      </c>
      <c r="AJ8" s="2" cm="1">
        <f t="array" ref="AJ8">RHOGREEK($B8,100,0.01,AJ$2,0.1)</f>
        <v>70.656804557247739</v>
      </c>
      <c r="AK8" s="2" cm="1">
        <f t="array" ref="AK8">RHOGREEK($B8,100,0.01,AK$2,0.1)</f>
        <v>74.055197344348599</v>
      </c>
      <c r="AL8" s="2" cm="1">
        <f t="array" ref="AL8">RHOGREEK($B8,100,0.01,AL$2,0.1)</f>
        <v>77.484738102645622</v>
      </c>
      <c r="AM8" s="2" cm="1">
        <f t="array" ref="AM8">RHOGREEK($B8,100,0.01,AM$2,0.1)</f>
        <v>80.943924496451942</v>
      </c>
      <c r="AN8" s="2" cm="1">
        <f t="array" ref="AN8">RHOGREEK($B8,100,0.01,AN$2,0.1)</f>
        <v>84.431349938425427</v>
      </c>
      <c r="AO8" s="2" cm="1">
        <f t="array" ref="AO8">RHOGREEK($B8,100,0.01,AO$2,0.1)</f>
        <v>87.945695356724357</v>
      </c>
      <c r="AP8" s="2" cm="1">
        <f t="array" ref="AP8">RHOGREEK($B8,100,0.01,AP$2,0.1)</f>
        <v>91.485721832214878</v>
      </c>
      <c r="AQ8" s="2" cm="1">
        <f t="array" ref="AQ8">RHOGREEK($B8,100,0.01,AQ$2,0.1)</f>
        <v>95.05026399858609</v>
      </c>
      <c r="AR8" s="2" cm="1">
        <f t="array" ref="AR8">RHOGREEK($B8,100,0.01,AR$2,0.1)</f>
        <v>98.638224113072027</v>
      </c>
      <c r="AS8" s="2" cm="1">
        <f t="array" ref="AS8">RHOGREEK($B8,100,0.01,AS$2,0.1)</f>
        <v>102.24856671806972</v>
      </c>
      <c r="AT8" s="2" cm="1">
        <f t="array" ref="AT8">RHOGREEK($B8,100,0.01,AT$2,0.1)</f>
        <v>105.88031382464841</v>
      </c>
      <c r="AU8" s="2" cm="1">
        <f t="array" ref="AU8">RHOGREEK($B8,100,0.01,AU$2,0.1)</f>
        <v>109.53254055806552</v>
      </c>
      <c r="AV8" s="2" cm="1">
        <f t="array" ref="AV8">RHOGREEK($B8,100,0.01,AV$2,0.1)</f>
        <v>113.20437121319867</v>
      </c>
      <c r="AW8" s="2" cm="1">
        <f t="array" ref="AW8">RHOGREEK($B8,100,0.01,AW$2,0.1)</f>
        <v>116.89497567447067</v>
      </c>
      <c r="AX8" s="2" cm="1">
        <f t="array" ref="AX8">RHOGREEK($B8,100,0.01,AX$2,0.1)</f>
        <v>120.6035661605715</v>
      </c>
      <c r="AY8" s="2" cm="1">
        <f t="array" ref="AY8">RHOGREEK($B8,100,0.01,AY$2,0.1)</f>
        <v>124.32939425920281</v>
      </c>
      <c r="AZ8" s="2" cm="1">
        <f t="array" ref="AZ8">RHOGREEK($B8,100,0.01,AZ$2,0.1)</f>
        <v>128.07174822131722</v>
      </c>
    </row>
    <row r="9" spans="1:52" x14ac:dyDescent="0.3">
      <c r="A9" s="2"/>
      <c r="B9" s="2">
        <v>90</v>
      </c>
      <c r="C9" s="2" cm="1">
        <f t="array" ref="C9">RHOGREEK($B9,100,0.01,C$2,0.1)</f>
        <v>4.5615435801455795E-3</v>
      </c>
      <c r="D9" s="2" cm="1">
        <f t="array" ref="D9">RHOGREEK($B9,100,0.01,D$2,0.1)</f>
        <v>0.19578943327318749</v>
      </c>
      <c r="E9" s="2" cm="1">
        <f t="array" ref="E9">RHOGREEK($B9,100,0.01,E$2,0.1)</f>
        <v>0.86635170446754073</v>
      </c>
      <c r="F9" s="2" cm="1">
        <f t="array" ref="F9">RHOGREEK($B9,100,0.01,F$2,0.1)</f>
        <v>2.0358699772475939</v>
      </c>
      <c r="G9" s="2" cm="1">
        <f t="array" ref="G9">RHOGREEK($B9,100,0.01,G$2,0.1)</f>
        <v>3.6258596069978881</v>
      </c>
      <c r="H9" s="2" cm="1">
        <f t="array" ref="H9">RHOGREEK($B9,100,0.01,H$2,0.1)</f>
        <v>5.5569135148285937</v>
      </c>
      <c r="I9" s="2" cm="1">
        <f t="array" ref="I9">RHOGREEK($B9,100,0.01,I$2,0.1)</f>
        <v>7.7653949825830564</v>
      </c>
      <c r="J9" s="2" cm="1">
        <f t="array" ref="J9">RHOGREEK($B9,100,0.01,J$2,0.1)</f>
        <v>10.20250757483633</v>
      </c>
      <c r="K9" s="2" cm="1">
        <f t="array" ref="K9">RHOGREEK($B9,100,0.01,K$2,0.1)</f>
        <v>12.830859013377557</v>
      </c>
      <c r="L9" s="2" cm="1">
        <f t="array" ref="L9">RHOGREEK($B9,100,0.01,L$2,0.1)</f>
        <v>15.621450219614411</v>
      </c>
      <c r="M9" s="2" cm="1">
        <f t="array" ref="M9">RHOGREEK($B9,100,0.01,M$2,0.1)</f>
        <v>18.551441602648566</v>
      </c>
      <c r="N9" s="2" cm="1">
        <f t="array" ref="N9">RHOGREEK($B9,100,0.01,N$2,0.1)</f>
        <v>21.60256011974769</v>
      </c>
      <c r="O9" s="2" cm="1">
        <f t="array" ref="O9">RHOGREEK($B9,100,0.01,O$2,0.1)</f>
        <v>24.759967609706329</v>
      </c>
      <c r="P9" s="2" cm="1">
        <f t="array" ref="P9">RHOGREEK($B9,100,0.01,P$2,0.1)</f>
        <v>28.011449733850053</v>
      </c>
      <c r="Q9" s="2" cm="1">
        <f t="array" ref="Q9">RHOGREEK($B9,100,0.01,Q$2,0.1)</f>
        <v>31.346826860026795</v>
      </c>
      <c r="R9" s="2" cm="1">
        <f t="array" ref="R9">RHOGREEK($B9,100,0.01,R$2,0.1)</f>
        <v>34.757519780574192</v>
      </c>
      <c r="S9" s="2" cm="1">
        <f t="array" ref="S9">RHOGREEK($B9,100,0.01,S$2,0.1)</f>
        <v>38.236224793998034</v>
      </c>
      <c r="T9" s="2" cm="1">
        <f t="array" ref="T9">RHOGREEK($B9,100,0.01,T$2,0.1)</f>
        <v>41.776667126608203</v>
      </c>
      <c r="U9" s="2" cm="1">
        <f t="array" ref="U9">RHOGREEK($B9,100,0.01,U$2,0.1)</f>
        <v>45.373411281805581</v>
      </c>
      <c r="V9" s="2" cm="1">
        <f t="array" ref="V9">RHOGREEK($B9,100,0.01,V$2,0.1)</f>
        <v>49.021713340295129</v>
      </c>
      <c r="W9" s="2" cm="1">
        <f t="array" ref="W9">RHOGREEK($B9,100,0.01,W$2,0.1)</f>
        <v>52.717404590242744</v>
      </c>
      <c r="X9" s="2" cm="1">
        <f t="array" ref="X9">RHOGREEK($B9,100,0.01,X$2,0.1)</f>
        <v>56.45679885191722</v>
      </c>
      <c r="Y9" s="2" cm="1">
        <f t="array" ref="Y9">RHOGREEK($B9,100,0.01,Y$2,0.1)</f>
        <v>60.236617934984793</v>
      </c>
      <c r="Z9" s="2" cm="1">
        <f t="array" ref="Z9">RHOGREEK($B9,100,0.01,Z$2,0.1)</f>
        <v>64.053931126047743</v>
      </c>
      <c r="AA9" s="2" cm="1">
        <f t="array" ref="AA9">RHOGREEK($B9,100,0.01,AA$2,0.1)</f>
        <v>67.906105644466791</v>
      </c>
      <c r="AB9" s="2" cm="1">
        <f t="array" ref="AB9">RHOGREEK($B9,100,0.01,AB$2,0.1)</f>
        <v>71.790765755474567</v>
      </c>
      <c r="AC9" s="2" cm="1">
        <f t="array" ref="AC9">RHOGREEK($B9,100,0.01,AC$2,0.1)</f>
        <v>75.705758778023394</v>
      </c>
      <c r="AD9" s="2" cm="1">
        <f t="array" ref="AD9">RHOGREEK($B9,100,0.01,AD$2,0.1)</f>
        <v>79.649126629821197</v>
      </c>
      <c r="AE9" s="2" cm="1">
        <f t="array" ref="AE9">RHOGREEK($B9,100,0.01,AE$2,0.1)</f>
        <v>83.619081854267364</v>
      </c>
      <c r="AF9" s="2" cm="1">
        <f t="array" ref="AF9">RHOGREEK($B9,100,0.01,AF$2,0.1)</f>
        <v>87.613987301824253</v>
      </c>
      <c r="AG9" s="2" cm="1">
        <f t="array" ref="AG9">RHOGREEK($B9,100,0.01,AG$2,0.1)</f>
        <v>91.632338811697437</v>
      </c>
      <c r="AH9" s="2" cm="1">
        <f t="array" ref="AH9">RHOGREEK($B9,100,0.01,AH$2,0.1)</f>
        <v>95.672750372750443</v>
      </c>
      <c r="AI9" s="2" cm="1">
        <f t="array" ref="AI9">RHOGREEK($B9,100,0.01,AI$2,0.1)</f>
        <v>99.733941345562343</v>
      </c>
      <c r="AJ9" s="2" cm="1">
        <f t="array" ref="AJ9">RHOGREEK($B9,100,0.01,AJ$2,0.1)</f>
        <v>103.81472540788224</v>
      </c>
      <c r="AK9" s="2" cm="1">
        <f t="array" ref="AK9">RHOGREEK($B9,100,0.01,AK$2,0.1)</f>
        <v>107.91400094887774</v>
      </c>
      <c r="AL9" s="2" cm="1">
        <f t="array" ref="AL9">RHOGREEK($B9,100,0.01,AL$2,0.1)</f>
        <v>112.03074268755957</v>
      </c>
      <c r="AM9" s="2" cm="1">
        <f t="array" ref="AM9">RHOGREEK($B9,100,0.01,AM$2,0.1)</f>
        <v>116.1639943305896</v>
      </c>
      <c r="AN9" s="2" cm="1">
        <f t="array" ref="AN9">RHOGREEK($B9,100,0.01,AN$2,0.1)</f>
        <v>120.31286211661642</v>
      </c>
      <c r="AO9" s="2" cm="1">
        <f t="array" ref="AO9">RHOGREEK($B9,100,0.01,AO$2,0.1)</f>
        <v>124.47650912004556</v>
      </c>
      <c r="AP9" s="2" cm="1">
        <f t="array" ref="AP9">RHOGREEK($B9,100,0.01,AP$2,0.1)</f>
        <v>128.65415020805312</v>
      </c>
      <c r="AQ9" s="2" cm="1">
        <f t="array" ref="AQ9">RHOGREEK($B9,100,0.01,AQ$2,0.1)</f>
        <v>132.84504756170207</v>
      </c>
      <c r="AR9" s="2" cm="1">
        <f t="array" ref="AR9">RHOGREEK($B9,100,0.01,AR$2,0.1)</f>
        <v>137.04850668600039</v>
      </c>
      <c r="AS9" s="2" cm="1">
        <f t="array" ref="AS9">RHOGREEK($B9,100,0.01,AS$2,0.1)</f>
        <v>141.26387284525973</v>
      </c>
      <c r="AT9" s="2" cm="1">
        <f t="array" ref="AT9">RHOGREEK($B9,100,0.01,AT$2,0.1)</f>
        <v>145.49052786965026</v>
      </c>
      <c r="AU9" s="2" cm="1">
        <f t="array" ref="AU9">RHOGREEK($B9,100,0.01,AU$2,0.1)</f>
        <v>149.72788728677628</v>
      </c>
      <c r="AV9" s="2" cm="1">
        <f t="array" ref="AV9">RHOGREEK($B9,100,0.01,AV$2,0.1)</f>
        <v>153.97539773872199</v>
      </c>
      <c r="AW9" s="2" cm="1">
        <f t="array" ref="AW9">RHOGREEK($B9,100,0.01,AW$2,0.1)</f>
        <v>158.23253465056942</v>
      </c>
      <c r="AX9" s="2" cm="1">
        <f t="array" ref="AX9">RHOGREEK($B9,100,0.01,AX$2,0.1)</f>
        <v>162.49880012106442</v>
      </c>
      <c r="AY9" s="2" cm="1">
        <f t="array" ref="AY9">RHOGREEK($B9,100,0.01,AY$2,0.1)</f>
        <v>166.77372101006213</v>
      </c>
      <c r="AZ9" s="2" cm="1">
        <f t="array" ref="AZ9">RHOGREEK($B9,100,0.01,AZ$2,0.1)</f>
        <v>171.05684720072716</v>
      </c>
    </row>
    <row r="10" spans="1:52" x14ac:dyDescent="0.3">
      <c r="A10" s="2"/>
      <c r="B10" s="2">
        <v>95</v>
      </c>
      <c r="C10" s="2" cm="1">
        <f t="array" ref="C10">RHOGREEK($B10,100,0.01,C$2,0.1)</f>
        <v>0.54058155808872665</v>
      </c>
      <c r="D10" s="2" cm="1">
        <f t="array" ref="D10">RHOGREEK($B10,100,0.01,D$2,0.1)</f>
        <v>2.6024085650062809</v>
      </c>
      <c r="E10" s="2" cm="1">
        <f t="array" ref="E10">RHOGREEK($B10,100,0.01,E$2,0.1)</f>
        <v>5.43315979275153</v>
      </c>
      <c r="F10" s="2" cm="1">
        <f t="array" ref="F10">RHOGREEK($B10,100,0.01,F$2,0.1)</f>
        <v>8.6801463209930212</v>
      </c>
      <c r="G10" s="2" cm="1">
        <f t="array" ref="G10">RHOGREEK($B10,100,0.01,G$2,0.1)</f>
        <v>12.193085930105974</v>
      </c>
      <c r="H10" s="2" cm="1">
        <f t="array" ref="H10">RHOGREEK($B10,100,0.01,H$2,0.1)</f>
        <v>15.893745368596147</v>
      </c>
      <c r="I10" s="2" cm="1">
        <f t="array" ref="I10">RHOGREEK($B10,100,0.01,I$2,0.1)</f>
        <v>19.735680124144064</v>
      </c>
      <c r="J10" s="2" cm="1">
        <f t="array" ref="J10">RHOGREEK($B10,100,0.01,J$2,0.1)</f>
        <v>23.688743774384434</v>
      </c>
      <c r="K10" s="2" cm="1">
        <f t="array" ref="K10">RHOGREEK($B10,100,0.01,K$2,0.1)</f>
        <v>27.732073358297111</v>
      </c>
      <c r="L10" s="2" cm="1">
        <f t="array" ref="L10">RHOGREEK($B10,100,0.01,L$2,0.1)</f>
        <v>31.85051860836062</v>
      </c>
      <c r="M10" s="2" cm="1">
        <f t="array" ref="M10">RHOGREEK($B10,100,0.01,M$2,0.1)</f>
        <v>36.032658322021639</v>
      </c>
      <c r="N10" s="2" cm="1">
        <f t="array" ref="N10">RHOGREEK($B10,100,0.01,N$2,0.1)</f>
        <v>40.269621368417582</v>
      </c>
      <c r="O10" s="2" cm="1">
        <f t="array" ref="O10">RHOGREEK($B10,100,0.01,O$2,0.1)</f>
        <v>44.554347196701947</v>
      </c>
      <c r="P10" s="2" cm="1">
        <f t="array" ref="P10">RHOGREEK($B10,100,0.01,P$2,0.1)</f>
        <v>48.881101216853544</v>
      </c>
      <c r="Q10" s="2" cm="1">
        <f t="array" ref="Q10">RHOGREEK($B10,100,0.01,Q$2,0.1)</f>
        <v>53.24514542880906</v>
      </c>
      <c r="R10" s="2" cm="1">
        <f t="array" ref="R10">RHOGREEK($B10,100,0.01,R$2,0.1)</f>
        <v>57.642507580719979</v>
      </c>
      <c r="S10" s="2" cm="1">
        <f t="array" ref="S10">RHOGREEK($B10,100,0.01,S$2,0.1)</f>
        <v>62.069815075607217</v>
      </c>
      <c r="T10" s="2" cm="1">
        <f t="array" ref="T10">RHOGREEK($B10,100,0.01,T$2,0.1)</f>
        <v>66.524172719658381</v>
      </c>
      <c r="U10" s="2" cm="1">
        <f t="array" ref="U10">RHOGREEK($B10,100,0.01,U$2,0.1)</f>
        <v>71.003070937315215</v>
      </c>
      <c r="V10" s="2" cm="1">
        <f t="array" ref="V10">RHOGREEK($B10,100,0.01,V$2,0.1)</f>
        <v>75.504315646173964</v>
      </c>
      <c r="W10" s="2" cm="1">
        <f t="array" ref="W10">RHOGREEK($B10,100,0.01,W$2,0.1)</f>
        <v>80.025973843476606</v>
      </c>
      <c r="X10" s="2" cm="1">
        <f t="array" ref="X10">RHOGREEK($B10,100,0.01,X$2,0.1)</f>
        <v>84.566330795385213</v>
      </c>
      <c r="Y10" s="2" cm="1">
        <f t="array" ref="Y10">RHOGREEK($B10,100,0.01,Y$2,0.1)</f>
        <v>89.123855933283537</v>
      </c>
      <c r="Z10" s="2" cm="1">
        <f t="array" ref="Z10">RHOGREEK($B10,100,0.01,Z$2,0.1)</f>
        <v>93.697175379154473</v>
      </c>
      <c r="AA10" s="2" cm="1">
        <f t="array" ref="AA10">RHOGREEK($B10,100,0.01,AA$2,0.1)</f>
        <v>98.285049584461859</v>
      </c>
      <c r="AB10" s="2" cm="1">
        <f t="array" ref="AB10">RHOGREEK($B10,100,0.01,AB$2,0.1)</f>
        <v>102.88635496069831</v>
      </c>
      <c r="AC10" s="2" cm="1">
        <f t="array" ref="AC10">RHOGREEK($B10,100,0.01,AC$2,0.1)</f>
        <v>107.50006865995194</v>
      </c>
      <c r="AD10" s="2" cm="1">
        <f t="array" ref="AD10">RHOGREEK($B10,100,0.01,AD$2,0.1)</f>
        <v>112.12525586622979</v>
      </c>
      <c r="AE10" s="2" cm="1">
        <f t="array" ref="AE10">RHOGREEK($B10,100,0.01,AE$2,0.1)</f>
        <v>116.76105910646656</v>
      </c>
      <c r="AF10" s="2" cm="1">
        <f t="array" ref="AF10">RHOGREEK($B10,100,0.01,AF$2,0.1)</f>
        <v>121.40668920003029</v>
      </c>
      <c r="AG10" s="2" cm="1">
        <f t="array" ref="AG10">RHOGREEK($B10,100,0.01,AG$2,0.1)</f>
        <v>126.06141754796251</v>
      </c>
      <c r="AH10" s="2" cm="1">
        <f t="array" ref="AH10">RHOGREEK($B10,100,0.01,AH$2,0.1)</f>
        <v>130.72456952568788</v>
      </c>
      <c r="AI10" s="2" cm="1">
        <f t="array" ref="AI10">RHOGREEK($B10,100,0.01,AI$2,0.1)</f>
        <v>135.39551879079147</v>
      </c>
      <c r="AJ10" s="2" cm="1">
        <f t="array" ref="AJ10">RHOGREEK($B10,100,0.01,AJ$2,0.1)</f>
        <v>140.07368235445671</v>
      </c>
      <c r="AK10" s="2" cm="1">
        <f t="array" ref="AK10">RHOGREEK($B10,100,0.01,AK$2,0.1)</f>
        <v>144.75851629400358</v>
      </c>
      <c r="AL10" s="2" cm="1">
        <f t="array" ref="AL10">RHOGREEK($B10,100,0.01,AL$2,0.1)</f>
        <v>149.44951200663988</v>
      </c>
      <c r="AM10" s="2" cm="1">
        <f t="array" ref="AM10">RHOGREEK($B10,100,0.01,AM$2,0.1)</f>
        <v>154.14619292249651</v>
      </c>
      <c r="AN10" s="2" cm="1">
        <f t="array" ref="AN10">RHOGREEK($B10,100,0.01,AN$2,0.1)</f>
        <v>158.84811160934359</v>
      </c>
      <c r="AO10" s="2" cm="1">
        <f t="array" ref="AO10">RHOGREEK($B10,100,0.01,AO$2,0.1)</f>
        <v>163.55484721288883</v>
      </c>
      <c r="AP10" s="2" cm="1">
        <f t="array" ref="AP10">RHOGREEK($B10,100,0.01,AP$2,0.1)</f>
        <v>168.26600318585682</v>
      </c>
      <c r="AQ10" s="2" cm="1">
        <f t="array" ref="AQ10">RHOGREEK($B10,100,0.01,AQ$2,0.1)</f>
        <v>172.98120526660873</v>
      </c>
      <c r="AR10" s="2" cm="1">
        <f t="array" ref="AR10">RHOGREEK($B10,100,0.01,AR$2,0.1)</f>
        <v>177.70009967424221</v>
      </c>
      <c r="AS10" s="2" cm="1">
        <f t="array" ref="AS10">RHOGREEK($B10,100,0.01,AS$2,0.1)</f>
        <v>182.42235149219223</v>
      </c>
      <c r="AT10" s="2" cm="1">
        <f t="array" ref="AT10">RHOGREEK($B10,100,0.01,AT$2,0.1)</f>
        <v>187.14764321655366</v>
      </c>
      <c r="AU10" s="2" cm="1">
        <f t="array" ref="AU10">RHOGREEK($B10,100,0.01,AU$2,0.1)</f>
        <v>191.87567344882919</v>
      </c>
      <c r="AV10" s="2" cm="1">
        <f t="array" ref="AV10">RHOGREEK($B10,100,0.01,AV$2,0.1)</f>
        <v>196.60615571571705</v>
      </c>
      <c r="AW10" s="2" cm="1">
        <f t="array" ref="AW10">RHOGREEK($B10,100,0.01,AW$2,0.1)</f>
        <v>201.33881740098553</v>
      </c>
      <c r="AX10" s="2" cm="1">
        <f t="array" ref="AX10">RHOGREEK($B10,100,0.01,AX$2,0.1)</f>
        <v>206.07339877653141</v>
      </c>
      <c r="AY10" s="2" cm="1">
        <f t="array" ref="AY10">RHOGREEK($B10,100,0.01,AY$2,0.1)</f>
        <v>210.8096521214508</v>
      </c>
      <c r="AZ10" s="2" cm="1">
        <f t="array" ref="AZ10">RHOGREEK($B10,100,0.01,AZ$2,0.1)</f>
        <v>215.54734091941634</v>
      </c>
    </row>
    <row r="11" spans="1:52" x14ac:dyDescent="0.3">
      <c r="A11" s="2"/>
      <c r="B11" s="2">
        <v>100</v>
      </c>
      <c r="C11" s="2" cm="1">
        <f t="array" ref="C11">RHOGREEK($B11,100,0.01,C$2,0.1)</f>
        <v>5.058015139895339</v>
      </c>
      <c r="D11" s="2" cm="1">
        <f t="array" ref="D11">RHOGREEK($B11,100,0.01,D$2,0.1)</f>
        <v>10.158061093169939</v>
      </c>
      <c r="E11" s="2" cm="1">
        <f t="array" ref="E11">RHOGREEK($B11,100,0.01,E$2,0.1)</f>
        <v>15.281809298363571</v>
      </c>
      <c r="F11" s="2" cm="1">
        <f t="array" ref="F11">RHOGREEK($B11,100,0.01,F$2,0.1)</f>
        <v>20.422688060793114</v>
      </c>
      <c r="G11" s="2" cm="1">
        <f t="array" ref="G11">RHOGREEK($B11,100,0.01,G$2,0.1)</f>
        <v>25.576885410967218</v>
      </c>
      <c r="H11" s="2" cm="1">
        <f t="array" ref="H11">RHOGREEK($B11,100,0.01,H$2,0.1)</f>
        <v>30.741820985414318</v>
      </c>
      <c r="I11" s="2" cm="1">
        <f t="array" ref="I11">RHOGREEK($B11,100,0.01,I$2,0.1)</f>
        <v>35.915594909590865</v>
      </c>
      <c r="J11" s="2" cm="1">
        <f t="array" ref="J11">RHOGREEK($B11,100,0.01,J$2,0.1)</f>
        <v>41.096731210161046</v>
      </c>
      <c r="K11" s="2" cm="1">
        <f t="array" ref="K11">RHOGREEK($B11,100,0.01,K$2,0.1)</f>
        <v>46.284039504608742</v>
      </c>
      <c r="L11" s="2" cm="1">
        <f t="array" ref="L11">RHOGREEK($B11,100,0.01,L$2,0.1)</f>
        <v>51.476532828002171</v>
      </c>
      <c r="M11" s="2" cm="1">
        <f t="array" ref="M11">RHOGREEK($B11,100,0.01,M$2,0.1)</f>
        <v>56.673375273360662</v>
      </c>
      <c r="N11" s="2" cm="1">
        <f t="array" ref="N11">RHOGREEK($B11,100,0.01,N$2,0.1)</f>
        <v>61.873846813086757</v>
      </c>
      <c r="O11" s="2" cm="1">
        <f t="array" ref="O11">RHOGREEK($B11,100,0.01,O$2,0.1)</f>
        <v>67.077318658898434</v>
      </c>
      <c r="P11" s="2" cm="1">
        <f t="array" ref="P11">RHOGREEK($B11,100,0.01,P$2,0.1)</f>
        <v>72.283235412954454</v>
      </c>
      <c r="Q11" s="2" cm="1">
        <f t="array" ref="Q11">RHOGREEK($B11,100,0.01,Q$2,0.1)</f>
        <v>77.491101774469016</v>
      </c>
      <c r="R11" s="2" cm="1">
        <f t="array" ref="R11">RHOGREEK($B11,100,0.01,R$2,0.1)</f>
        <v>82.700472405547103</v>
      </c>
      <c r="S11" s="2" cm="1">
        <f t="array" ref="S11">RHOGREEK($B11,100,0.01,S$2,0.1)</f>
        <v>87.91094405034633</v>
      </c>
      <c r="T11" s="2" cm="1">
        <f t="array" ref="T11">RHOGREEK($B11,100,0.01,T$2,0.1)</f>
        <v>93.122149300533636</v>
      </c>
      <c r="U11" s="2" cm="1">
        <f t="array" ref="U11">RHOGREEK($B11,100,0.01,U$2,0.1)</f>
        <v>98.33375158883058</v>
      </c>
      <c r="V11" s="2" cm="1">
        <f t="array" ref="V11">RHOGREEK($B11,100,0.01,V$2,0.1)</f>
        <v>103.54544111550688</v>
      </c>
      <c r="W11" s="2" cm="1">
        <f t="array" ref="W11">RHOGREEK($B11,100,0.01,W$2,0.1)</f>
        <v>108.75693149508366</v>
      </c>
      <c r="X11" s="2" cm="1">
        <f t="array" ref="X11">RHOGREEK($B11,100,0.01,X$2,0.1)</f>
        <v>113.96795696701273</v>
      </c>
      <c r="Y11" s="2" cm="1">
        <f t="array" ref="Y11">RHOGREEK($B11,100,0.01,Y$2,0.1)</f>
        <v>119.17827005366833</v>
      </c>
      <c r="Z11" s="2" cm="1">
        <f t="array" ref="Z11">RHOGREEK($B11,100,0.01,Z$2,0.1)</f>
        <v>124.38763957722479</v>
      </c>
      <c r="AA11" s="2" cm="1">
        <f t="array" ref="AA11">RHOGREEK($B11,100,0.01,AA$2,0.1)</f>
        <v>129.59584896748729</v>
      </c>
      <c r="AB11" s="2" cm="1">
        <f t="array" ref="AB11">RHOGREEK($B11,100,0.01,AB$2,0.1)</f>
        <v>134.80269480784693</v>
      </c>
      <c r="AC11" s="2" cm="1">
        <f t="array" ref="AC11">RHOGREEK($B11,100,0.01,AC$2,0.1)</f>
        <v>140.0079855778157</v>
      </c>
      <c r="AD11" s="2" cm="1">
        <f t="array" ref="AD11">RHOGREEK($B11,100,0.01,AD$2,0.1)</f>
        <v>145.21154055913817</v>
      </c>
      <c r="AE11" s="2" cm="1">
        <f t="array" ref="AE11">RHOGREEK($B11,100,0.01,AE$2,0.1)</f>
        <v>150.41318887901511</v>
      </c>
      <c r="AF11" s="2" cm="1">
        <f t="array" ref="AF11">RHOGREEK($B11,100,0.01,AF$2,0.1)</f>
        <v>155.6127686690331</v>
      </c>
      <c r="AG11" s="2" cm="1">
        <f t="array" ref="AG11">RHOGREEK($B11,100,0.01,AG$2,0.1)</f>
        <v>160.81012632234922</v>
      </c>
      <c r="AH11" s="2" cm="1">
        <f t="array" ref="AH11">RHOGREEK($B11,100,0.01,AH$2,0.1)</f>
        <v>166.00511583479678</v>
      </c>
      <c r="AI11" s="2" cm="1">
        <f t="array" ref="AI11">RHOGREEK($B11,100,0.01,AI$2,0.1)</f>
        <v>171.19759821805795</v>
      </c>
      <c r="AJ11" s="2" cm="1">
        <f t="array" ref="AJ11">RHOGREEK($B11,100,0.01,AJ$2,0.1)</f>
        <v>176.38744097503726</v>
      </c>
      <c r="AK11" s="2" cm="1">
        <f t="array" ref="AK11">RHOGREEK($B11,100,0.01,AK$2,0.1)</f>
        <v>181.57451762917427</v>
      </c>
      <c r="AL11" s="2" cm="1">
        <f t="array" ref="AL11">RHOGREEK($B11,100,0.01,AL$2,0.1)</f>
        <v>186.75870730074001</v>
      </c>
      <c r="AM11" s="2" cm="1">
        <f t="array" ref="AM11">RHOGREEK($B11,100,0.01,AM$2,0.1)</f>
        <v>191.93989432422811</v>
      </c>
      <c r="AN11" s="2" cm="1">
        <f t="array" ref="AN11">RHOGREEK($B11,100,0.01,AN$2,0.1)</f>
        <v>197.11796790183189</v>
      </c>
      <c r="AO11" s="2" cm="1">
        <f t="array" ref="AO11">RHOGREEK($B11,100,0.01,AO$2,0.1)</f>
        <v>202.292821788727</v>
      </c>
      <c r="AP11" s="2" cm="1">
        <f t="array" ref="AP11">RHOGREEK($B11,100,0.01,AP$2,0.1)</f>
        <v>207.46435400648329</v>
      </c>
      <c r="AQ11" s="2" cm="1">
        <f t="array" ref="AQ11">RHOGREEK($B11,100,0.01,AQ$2,0.1)</f>
        <v>212.6324665814397</v>
      </c>
      <c r="AR11" s="2" cm="1">
        <f t="array" ref="AR11">RHOGREEK($B11,100,0.01,AR$2,0.1)</f>
        <v>217.79706530529927</v>
      </c>
      <c r="AS11" s="2" cm="1">
        <f t="array" ref="AS11">RHOGREEK($B11,100,0.01,AS$2,0.1)</f>
        <v>222.95805951556363</v>
      </c>
      <c r="AT11" s="2" cm="1">
        <f t="array" ref="AT11">RHOGREEK($B11,100,0.01,AT$2,0.1)</f>
        <v>228.11536189373049</v>
      </c>
      <c r="AU11" s="2" cm="1">
        <f t="array" ref="AU11">RHOGREEK($B11,100,0.01,AU$2,0.1)</f>
        <v>233.26888827943822</v>
      </c>
      <c r="AV11" s="2" cm="1">
        <f t="array" ref="AV11">RHOGREEK($B11,100,0.01,AV$2,0.1)</f>
        <v>238.41855749896408</v>
      </c>
      <c r="AW11" s="2" cm="1">
        <f t="array" ref="AW11">RHOGREEK($B11,100,0.01,AW$2,0.1)</f>
        <v>243.56429120667363</v>
      </c>
      <c r="AX11" s="2" cm="1">
        <f t="array" ref="AX11">RHOGREEK($B11,100,0.01,AX$2,0.1)</f>
        <v>248.70601373818192</v>
      </c>
      <c r="AY11" s="2" cm="1">
        <f t="array" ref="AY11">RHOGREEK($B11,100,0.01,AY$2,0.1)</f>
        <v>253.84365197413229</v>
      </c>
      <c r="AZ11" s="2" cm="1">
        <f t="array" ref="AZ11">RHOGREEK($B11,100,0.01,AZ$2,0.1)</f>
        <v>258.97713521361754</v>
      </c>
    </row>
    <row r="12" spans="1:52" x14ac:dyDescent="0.3">
      <c r="A12" s="2"/>
      <c r="B12" s="2">
        <v>105</v>
      </c>
      <c r="C12" s="2" cm="1">
        <f t="array" ref="C12">RHOGREEK($B12,100,0.01,C$2,0.1)</f>
        <v>9.3952533892679782</v>
      </c>
      <c r="D12" s="2" cm="1">
        <f t="array" ref="D12">RHOGREEK($B12,100,0.01,D$2,0.1)</f>
        <v>17.309729794666577</v>
      </c>
      <c r="E12" s="2" cm="1">
        <f t="array" ref="E12">RHOGREEK($B12,100,0.01,E$2,0.1)</f>
        <v>24.548285319545805</v>
      </c>
      <c r="F12" s="2" cm="1">
        <f t="array" ref="F12">RHOGREEK($B12,100,0.01,F$2,0.1)</f>
        <v>31.435240865969416</v>
      </c>
      <c r="G12" s="2" cm="1">
        <f t="array" ref="G12">RHOGREEK($B12,100,0.01,G$2,0.1)</f>
        <v>38.103111573428784</v>
      </c>
      <c r="H12" s="2" cm="1">
        <f t="array" ref="H12">RHOGREEK($B12,100,0.01,H$2,0.1)</f>
        <v>44.619116273382176</v>
      </c>
      <c r="I12" s="2" cm="1">
        <f t="array" ref="I12">RHOGREEK($B12,100,0.01,I$2,0.1)</f>
        <v>51.022305279995166</v>
      </c>
      <c r="J12" s="2" cm="1">
        <f t="array" ref="J12">RHOGREEK($B12,100,0.01,J$2,0.1)</f>
        <v>57.337518442883209</v>
      </c>
      <c r="K12" s="2" cm="1">
        <f t="array" ref="K12">RHOGREEK($B12,100,0.01,K$2,0.1)</f>
        <v>63.581611101087553</v>
      </c>
      <c r="L12" s="2" cm="1">
        <f t="array" ref="L12">RHOGREEK($B12,100,0.01,L$2,0.1)</f>
        <v>69.766586400827933</v>
      </c>
      <c r="M12" s="2" cm="1">
        <f t="array" ref="M12">RHOGREEK($B12,100,0.01,M$2,0.1)</f>
        <v>75.901317872612935</v>
      </c>
      <c r="N12" s="2" cm="1">
        <f t="array" ref="N12">RHOGREEK($B12,100,0.01,N$2,0.1)</f>
        <v>81.992563863199877</v>
      </c>
      <c r="O12" s="2" cm="1">
        <f t="array" ref="O12">RHOGREEK($B12,100,0.01,O$2,0.1)</f>
        <v>88.045598275260218</v>
      </c>
      <c r="P12" s="2" cm="1">
        <f t="array" ref="P12">RHOGREEK($B12,100,0.01,P$2,0.1)</f>
        <v>94.064620434835177</v>
      </c>
      <c r="Q12" s="2" cm="1">
        <f t="array" ref="Q12">RHOGREEK($B12,100,0.01,Q$2,0.1)</f>
        <v>100.05303135383159</v>
      </c>
      <c r="R12" s="2" cm="1">
        <f t="array" ref="R12">RHOGREEK($B12,100,0.01,R$2,0.1)</f>
        <v>106.01362576536958</v>
      </c>
      <c r="S12" s="2" cm="1">
        <f t="array" ref="S12">RHOGREEK($B12,100,0.01,S$2,0.1)</f>
        <v>111.94872916953845</v>
      </c>
      <c r="T12" s="2" cm="1">
        <f t="array" ref="T12">RHOGREEK($B12,100,0.01,T$2,0.1)</f>
        <v>117.86029788377679</v>
      </c>
      <c r="U12" s="2" cm="1">
        <f t="array" ref="U12">RHOGREEK($B12,100,0.01,U$2,0.1)</f>
        <v>123.74999354720055</v>
      </c>
      <c r="V12" s="2" cm="1">
        <f t="array" ref="V12">RHOGREEK($B12,100,0.01,V$2,0.1)</f>
        <v>129.61923957799161</v>
      </c>
      <c r="W12" s="2" cm="1">
        <f t="array" ref="W12">RHOGREEK($B12,100,0.01,W$2,0.1)</f>
        <v>135.46926462226523</v>
      </c>
      <c r="X12" s="2" cm="1">
        <f t="array" ref="X12">RHOGREEK($B12,100,0.01,X$2,0.1)</f>
        <v>141.30113645674271</v>
      </c>
      <c r="Y12" s="2" cm="1">
        <f t="array" ref="Y12">RHOGREEK($B12,100,0.01,Y$2,0.1)</f>
        <v>147.11578877280286</v>
      </c>
      <c r="Z12" s="2" cm="1">
        <f t="array" ref="Z12">RHOGREEK($B12,100,0.01,Z$2,0.1)</f>
        <v>152.9140425749641</v>
      </c>
      <c r="AA12" s="2" cm="1">
        <f t="array" ref="AA12">RHOGREEK($B12,100,0.01,AA$2,0.1)</f>
        <v>158.6966234513369</v>
      </c>
      <c r="AB12" s="2" cm="1">
        <f t="array" ref="AB12">RHOGREEK($B12,100,0.01,AB$2,0.1)</f>
        <v>164.46417564211978</v>
      </c>
      <c r="AC12" s="2" cm="1">
        <f t="array" ref="AC12">RHOGREEK($B12,100,0.01,AC$2,0.1)</f>
        <v>170.21727359735291</v>
      </c>
      <c r="AD12" s="2" cm="1">
        <f t="array" ref="AD12">RHOGREEK($B12,100,0.01,AD$2,0.1)</f>
        <v>175.95643154623713</v>
      </c>
      <c r="AE12" s="2" cm="1">
        <f t="array" ref="AE12">RHOGREEK($B12,100,0.01,AE$2,0.1)</f>
        <v>181.68211147718196</v>
      </c>
      <c r="AF12" s="2" cm="1">
        <f t="array" ref="AF12">RHOGREEK($B12,100,0.01,AF$2,0.1)</f>
        <v>187.39472983683123</v>
      </c>
      <c r="AG12" s="2" cm="1">
        <f t="array" ref="AG12">RHOGREEK($B12,100,0.01,AG$2,0.1)</f>
        <v>193.0946631884114</v>
      </c>
      <c r="AH12" s="2" cm="1">
        <f t="array" ref="AH12">RHOGREEK($B12,100,0.01,AH$2,0.1)</f>
        <v>198.78225301848516</v>
      </c>
      <c r="AI12" s="2" cm="1">
        <f t="array" ref="AI12">RHOGREEK($B12,100,0.01,AI$2,0.1)</f>
        <v>204.45780984210276</v>
      </c>
      <c r="AJ12" s="2" cm="1">
        <f t="array" ref="AJ12">RHOGREEK($B12,100,0.01,AJ$2,0.1)</f>
        <v>210.12161672626294</v>
      </c>
      <c r="AK12" s="2" cm="1">
        <f t="array" ref="AK12">RHOGREEK($B12,100,0.01,AK$2,0.1)</f>
        <v>215.77393232823982</v>
      </c>
      <c r="AL12" s="2" cm="1">
        <f t="array" ref="AL12">RHOGREEK($B12,100,0.01,AL$2,0.1)</f>
        <v>221.4149935270581</v>
      </c>
      <c r="AM12" s="2" cm="1">
        <f t="array" ref="AM12">RHOGREEK($B12,100,0.01,AM$2,0.1)</f>
        <v>227.04501771198491</v>
      </c>
      <c r="AN12" s="2" cm="1">
        <f t="array" ref="AN12">RHOGREEK($B12,100,0.01,AN$2,0.1)</f>
        <v>232.66420478046194</v>
      </c>
      <c r="AO12" s="2" cm="1">
        <f t="array" ref="AO12">RHOGREEK($B12,100,0.01,AO$2,0.1)</f>
        <v>238.27273888874839</v>
      </c>
      <c r="AP12" s="2" cm="1">
        <f t="array" ref="AP12">RHOGREEK($B12,100,0.01,AP$2,0.1)</f>
        <v>243.87078999118199</v>
      </c>
      <c r="AQ12" s="2" cm="1">
        <f t="array" ref="AQ12">RHOGREEK($B12,100,0.01,AQ$2,0.1)</f>
        <v>249.45851519800561</v>
      </c>
      <c r="AR12" s="2" cm="1">
        <f t="array" ref="AR12">RHOGREEK($B12,100,0.01,AR$2,0.1)</f>
        <v>255.03605997685312</v>
      </c>
      <c r="AS12" s="2" cm="1">
        <f t="array" ref="AS12">RHOGREEK($B12,100,0.01,AS$2,0.1)</f>
        <v>260.60355921901862</v>
      </c>
      <c r="AT12" s="2" cm="1">
        <f t="array" ref="AT12">RHOGREEK($B12,100,0.01,AT$2,0.1)</f>
        <v>266.16113818836629</v>
      </c>
      <c r="AU12" s="2" cm="1">
        <f t="array" ref="AU12">RHOGREEK($B12,100,0.01,AU$2,0.1)</f>
        <v>271.70891336803828</v>
      </c>
      <c r="AV12" s="2" cm="1">
        <f t="array" ref="AV12">RHOGREEK($B12,100,0.01,AV$2,0.1)</f>
        <v>277.24699321787733</v>
      </c>
      <c r="AW12" s="2" cm="1">
        <f t="array" ref="AW12">RHOGREEK($B12,100,0.01,AW$2,0.1)</f>
        <v>282.77547885360877</v>
      </c>
      <c r="AX12" s="2" cm="1">
        <f t="array" ref="AX12">RHOGREEK($B12,100,0.01,AX$2,0.1)</f>
        <v>288.29446465726465</v>
      </c>
      <c r="AY12" s="2" cm="1">
        <f t="array" ref="AY12">RHOGREEK($B12,100,0.01,AY$2,0.1)</f>
        <v>293.80403882701302</v>
      </c>
      <c r="AZ12" s="2" cm="1">
        <f t="array" ref="AZ12">RHOGREEK($B12,100,0.01,AZ$2,0.1)</f>
        <v>299.30428387344614</v>
      </c>
    </row>
    <row r="13" spans="1:52" x14ac:dyDescent="0.3">
      <c r="A13" s="2"/>
      <c r="B13" s="2">
        <v>110</v>
      </c>
      <c r="C13" s="2" cm="1">
        <f t="array" ref="C13">RHOGREEK($B13,100,0.01,C$2,0.1)</f>
        <v>9.9777807903598905</v>
      </c>
      <c r="D13" s="2" cm="1">
        <f t="array" ref="D13">RHOGREEK($B13,100,0.01,D$2,0.1)</f>
        <v>19.647918755774999</v>
      </c>
      <c r="E13" s="2" cm="1">
        <f t="array" ref="E13">RHOGREEK($B13,100,0.01,E$2,0.1)</f>
        <v>28.756443180563217</v>
      </c>
      <c r="F13" s="2" cm="1">
        <f t="array" ref="F13">RHOGREEK($B13,100,0.01,F$2,0.1)</f>
        <v>37.372216345157355</v>
      </c>
      <c r="G13" s="2" cm="1">
        <f t="array" ref="G13">RHOGREEK($B13,100,0.01,G$2,0.1)</f>
        <v>45.606650497595851</v>
      </c>
      <c r="H13" s="2" cm="1">
        <f t="array" ref="H13">RHOGREEK($B13,100,0.01,H$2,0.1)</f>
        <v>53.546438342331996</v>
      </c>
      <c r="I13" s="2" cm="1">
        <f t="array" ref="I13">RHOGREEK($B13,100,0.01,I$2,0.1)</f>
        <v>61.253729163278898</v>
      </c>
      <c r="J13" s="2" cm="1">
        <f t="array" ref="J13">RHOGREEK($B13,100,0.01,J$2,0.1)</f>
        <v>68.773188516542405</v>
      </c>
      <c r="K13" s="2" cm="1">
        <f t="array" ref="K13">RHOGREEK($B13,100,0.01,K$2,0.1)</f>
        <v>76.137581768653789</v>
      </c>
      <c r="L13" s="2" cm="1">
        <f t="array" ref="L13">RHOGREEK($B13,100,0.01,L$2,0.1)</f>
        <v>83.371514981554569</v>
      </c>
      <c r="M13" s="2" cm="1">
        <f t="array" ref="M13">RHOGREEK($B13,100,0.01,M$2,0.1)</f>
        <v>90.49388362270237</v>
      </c>
      <c r="N13" s="2" cm="1">
        <f t="array" ref="N13">RHOGREEK($B13,100,0.01,N$2,0.1)</f>
        <v>97.519492763107351</v>
      </c>
      <c r="O13" s="2" cm="1">
        <f t="array" ref="O13">RHOGREEK($B13,100,0.01,O$2,0.1)</f>
        <v>104.46015116314872</v>
      </c>
      <c r="P13" s="2" cm="1">
        <f t="array" ref="P13">RHOGREEK($B13,100,0.01,P$2,0.1)</f>
        <v>111.3254268899247</v>
      </c>
      <c r="Q13" s="2" cm="1">
        <f t="array" ref="Q13">RHOGREEK($B13,100,0.01,Q$2,0.1)</f>
        <v>118.12318076708145</v>
      </c>
      <c r="R13" s="2" cm="1">
        <f t="array" ref="R13">RHOGREEK($B13,100,0.01,R$2,0.1)</f>
        <v>124.85995079285036</v>
      </c>
      <c r="S13" s="2" cm="1">
        <f t="array" ref="S13">RHOGREEK($B13,100,0.01,S$2,0.1)</f>
        <v>131.5412344329294</v>
      </c>
      <c r="T13" s="2" cm="1">
        <f t="array" ref="T13">RHOGREEK($B13,100,0.01,T$2,0.1)</f>
        <v>138.17169950956233</v>
      </c>
      <c r="U13" s="2" cm="1">
        <f t="array" ref="U13">RHOGREEK($B13,100,0.01,U$2,0.1)</f>
        <v>144.75534422625546</v>
      </c>
      <c r="V13" s="2" cm="1">
        <f t="array" ref="V13">RHOGREEK($B13,100,0.01,V$2,0.1)</f>
        <v>151.29562033151717</v>
      </c>
      <c r="W13" s="2" cm="1">
        <f t="array" ref="W13">RHOGREEK($B13,100,0.01,W$2,0.1)</f>
        <v>157.7955291451475</v>
      </c>
      <c r="X13" s="2" cm="1">
        <f t="array" ref="X13">RHOGREEK($B13,100,0.01,X$2,0.1)</f>
        <v>164.25769731446573</v>
      </c>
      <c r="Y13" s="2" cm="1">
        <f t="array" ref="Y13">RHOGREEK($B13,100,0.01,Y$2,0.1)</f>
        <v>170.68443722750231</v>
      </c>
      <c r="Z13" s="2" cm="1">
        <f t="array" ref="Z13">RHOGREEK($B13,100,0.01,Z$2,0.1)</f>
        <v>177.07779566979389</v>
      </c>
      <c r="AA13" s="2" cm="1">
        <f t="array" ref="AA13">RHOGREEK($B13,100,0.01,AA$2,0.1)</f>
        <v>183.43959337099159</v>
      </c>
      <c r="AB13" s="2" cm="1">
        <f t="array" ref="AB13">RHOGREEK($B13,100,0.01,AB$2,0.1)</f>
        <v>189.77145741807803</v>
      </c>
      <c r="AC13" s="2" cm="1">
        <f t="array" ref="AC13">RHOGREEK($B13,100,0.01,AC$2,0.1)</f>
        <v>196.07484802903451</v>
      </c>
      <c r="AD13" s="2" cm="1">
        <f t="array" ref="AD13">RHOGREEK($B13,100,0.01,AD$2,0.1)</f>
        <v>202.35108082798749</v>
      </c>
      <c r="AE13" s="2" cm="1">
        <f t="array" ref="AE13">RHOGREEK($B13,100,0.01,AE$2,0.1)</f>
        <v>208.60134550210071</v>
      </c>
      <c r="AF13" s="2" cm="1">
        <f t="array" ref="AF13">RHOGREEK($B13,100,0.01,AF$2,0.1)</f>
        <v>214.82672152563941</v>
      </c>
      <c r="AG13" s="2" cm="1">
        <f t="array" ref="AG13">RHOGREEK($B13,100,0.01,AG$2,0.1)</f>
        <v>221.02819148956908</v>
      </c>
      <c r="AH13" s="2" cm="1">
        <f t="array" ref="AH13">RHOGREEK($B13,100,0.01,AH$2,0.1)</f>
        <v>227.20665246298174</v>
      </c>
      <c r="AI13" s="2" cm="1">
        <f t="array" ref="AI13">RHOGREEK($B13,100,0.01,AI$2,0.1)</f>
        <v>233.36292572647773</v>
      </c>
      <c r="AJ13" s="2" cm="1">
        <f t="array" ref="AJ13">RHOGREEK($B13,100,0.01,AJ$2,0.1)</f>
        <v>239.49776515082863</v>
      </c>
      <c r="AK13" s="2" cm="1">
        <f t="array" ref="AK13">RHOGREEK($B13,100,0.01,AK$2,0.1)</f>
        <v>245.61186444203841</v>
      </c>
      <c r="AL13" s="2" cm="1">
        <f t="array" ref="AL13">RHOGREEK($B13,100,0.01,AL$2,0.1)</f>
        <v>251.705863432825</v>
      </c>
      <c r="AM13" s="2" cm="1">
        <f t="array" ref="AM13">RHOGREEK($B13,100,0.01,AM$2,0.1)</f>
        <v>257.7803535679584</v>
      </c>
      <c r="AN13" s="2" cm="1">
        <f t="array" ref="AN13">RHOGREEK($B13,100,0.01,AN$2,0.1)</f>
        <v>263.835882704889</v>
      </c>
      <c r="AO13" s="2" cm="1">
        <f t="array" ref="AO13">RHOGREEK($B13,100,0.01,AO$2,0.1)</f>
        <v>269.87295933021778</v>
      </c>
      <c r="AP13" s="2" cm="1">
        <f t="array" ref="AP13">RHOGREEK($B13,100,0.01,AP$2,0.1)</f>
        <v>275.89205627569038</v>
      </c>
      <c r="AQ13" s="2" cm="1">
        <f t="array" ref="AQ13">RHOGREEK($B13,100,0.01,AQ$2,0.1)</f>
        <v>281.89361400369228</v>
      </c>
      <c r="AR13" s="2" cm="1">
        <f t="array" ref="AR13">RHOGREEK($B13,100,0.01,AR$2,0.1)</f>
        <v>287.87804352102916</v>
      </c>
      <c r="AS13" s="2" cm="1">
        <f t="array" ref="AS13">RHOGREEK($B13,100,0.01,AS$2,0.1)</f>
        <v>293.84572897058848</v>
      </c>
      <c r="AT13" s="2" cm="1">
        <f t="array" ref="AT13">RHOGREEK($B13,100,0.01,AT$2,0.1)</f>
        <v>299.79702994289931</v>
      </c>
      <c r="AU13" s="2" cm="1">
        <f t="array" ref="AU13">RHOGREEK($B13,100,0.01,AU$2,0.1)</f>
        <v>305.73228354332537</v>
      </c>
      <c r="AV13" s="2" cm="1">
        <f t="array" ref="AV13">RHOGREEK($B13,100,0.01,AV$2,0.1)</f>
        <v>311.65180624540056</v>
      </c>
      <c r="AW13" s="2" cm="1">
        <f t="array" ref="AW13">RHOGREEK($B13,100,0.01,AW$2,0.1)</f>
        <v>317.55589555644559</v>
      </c>
      <c r="AX13" s="2" cm="1">
        <f t="array" ref="AX13">RHOGREEK($B13,100,0.01,AX$2,0.1)</f>
        <v>323.44483151793651</v>
      </c>
      <c r="AY13" s="2" cm="1">
        <f t="array" ref="AY13">RHOGREEK($B13,100,0.01,AY$2,0.1)</f>
        <v>329.31887806001129</v>
      </c>
      <c r="AZ13" s="2" cm="1">
        <f t="array" ref="AZ13">RHOGREEK($B13,100,0.01,AZ$2,0.1)</f>
        <v>335.17828422688223</v>
      </c>
    </row>
    <row r="14" spans="1:52" x14ac:dyDescent="0.3">
      <c r="A14" s="2"/>
      <c r="B14" s="2">
        <v>115</v>
      </c>
      <c r="C14" s="2" cm="1">
        <f t="array" ref="C14">RHOGREEK($B14,100,0.01,C$2,0.1)</f>
        <v>9.9899591088745563</v>
      </c>
      <c r="D14" s="2" cm="1">
        <f t="array" ref="D14">RHOGREEK($B14,100,0.01,D$2,0.1)</f>
        <v>19.943607403579602</v>
      </c>
      <c r="E14" s="2" cm="1">
        <f t="array" ref="E14">RHOGREEK($B14,100,0.01,E$2,0.1)</f>
        <v>29.76198354061744</v>
      </c>
      <c r="F14" s="2" cm="1">
        <f t="array" ref="F14">RHOGREEK($B14,100,0.01,F$2,0.1)</f>
        <v>39.342380536091405</v>
      </c>
      <c r="G14" s="2" cm="1">
        <f t="array" ref="G14">RHOGREEK($B14,100,0.01,G$2,0.1)</f>
        <v>48.65034468115244</v>
      </c>
      <c r="H14" s="2" cm="1">
        <f t="array" ref="H14">RHOGREEK($B14,100,0.01,H$2,0.1)</f>
        <v>57.693143792728847</v>
      </c>
      <c r="I14" s="2" cm="1">
        <f t="array" ref="I14">RHOGREEK($B14,100,0.01,I$2,0.1)</f>
        <v>66.49351340148327</v>
      </c>
      <c r="J14" s="2" cm="1">
        <f t="array" ref="J14">RHOGREEK($B14,100,0.01,J$2,0.1)</f>
        <v>75.077492898362266</v>
      </c>
      <c r="K14" s="2" cm="1">
        <f t="array" ref="K14">RHOGREEK($B14,100,0.01,K$2,0.1)</f>
        <v>83.469784716418218</v>
      </c>
      <c r="L14" s="2" cm="1">
        <f t="array" ref="L14">RHOGREEK($B14,100,0.01,L$2,0.1)</f>
        <v>91.692301259484651</v>
      </c>
      <c r="M14" s="2" cm="1">
        <f t="array" ref="M14">RHOGREEK($B14,100,0.01,M$2,0.1)</f>
        <v>99.763960192975091</v>
      </c>
      <c r="N14" s="2" cm="1">
        <f t="array" ref="N14">RHOGREEK($B14,100,0.01,N$2,0.1)</f>
        <v>107.70092695410678</v>
      </c>
      <c r="O14" s="2" cm="1">
        <f t="array" ref="O14">RHOGREEK($B14,100,0.01,O$2,0.1)</f>
        <v>115.51698329249261</v>
      </c>
      <c r="P14" s="2" cm="1">
        <f t="array" ref="P14">RHOGREEK($B14,100,0.01,P$2,0.1)</f>
        <v>123.22389832733194</v>
      </c>
      <c r="Q14" s="2" cm="1">
        <f t="array" ref="Q14">RHOGREEK($B14,100,0.01,Q$2,0.1)</f>
        <v>130.83175948672312</v>
      </c>
      <c r="R14" s="2" cm="1">
        <f t="array" ref="R14">RHOGREEK($B14,100,0.01,R$2,0.1)</f>
        <v>138.34925321145454</v>
      </c>
      <c r="S14" s="2" cm="1">
        <f t="array" ref="S14">RHOGREEK($B14,100,0.01,S$2,0.1)</f>
        <v>145.7838976872894</v>
      </c>
      <c r="T14" s="2" cm="1">
        <f t="array" ref="T14">RHOGREEK($B14,100,0.01,T$2,0.1)</f>
        <v>153.14223390260432</v>
      </c>
      <c r="U14" s="2" cm="1">
        <f t="array" ref="U14">RHOGREEK($B14,100,0.01,U$2,0.1)</f>
        <v>160.4299819930861</v>
      </c>
      <c r="V14" s="2" cm="1">
        <f t="array" ref="V14">RHOGREEK($B14,100,0.01,V$2,0.1)</f>
        <v>167.65216924491807</v>
      </c>
      <c r="W14" s="2" cm="1">
        <f t="array" ref="W14">RHOGREEK($B14,100,0.01,W$2,0.1)</f>
        <v>174.8132351677971</v>
      </c>
      <c r="X14" s="2" cm="1">
        <f t="array" ref="X14">RHOGREEK($B14,100,0.01,X$2,0.1)</f>
        <v>181.91711807450289</v>
      </c>
      <c r="Y14" s="2" cm="1">
        <f t="array" ref="Y14">RHOGREEK($B14,100,0.01,Y$2,0.1)</f>
        <v>188.96732674177534</v>
      </c>
      <c r="Z14" s="2" cm="1">
        <f t="array" ref="Z14">RHOGREEK($B14,100,0.01,Z$2,0.1)</f>
        <v>195.96700000924588</v>
      </c>
      <c r="AA14" s="2" cm="1">
        <f t="array" ref="AA14">RHOGREEK($B14,100,0.01,AA$2,0.1)</f>
        <v>202.91895659256247</v>
      </c>
      <c r="AB14" s="2" cm="1">
        <f t="array" ref="AB14">RHOGREEK($B14,100,0.01,AB$2,0.1)</f>
        <v>209.82573692441005</v>
      </c>
      <c r="AC14" s="2" cm="1">
        <f t="array" ref="AC14">RHOGREEK($B14,100,0.01,AC$2,0.1)</f>
        <v>216.68963847149726</v>
      </c>
      <c r="AD14" s="2" cm="1">
        <f t="array" ref="AD14">RHOGREEK($B14,100,0.01,AD$2,0.1)</f>
        <v>223.51274568727791</v>
      </c>
      <c r="AE14" s="2" cm="1">
        <f t="array" ref="AE14">RHOGREEK($B14,100,0.01,AE$2,0.1)</f>
        <v>230.29695553284594</v>
      </c>
      <c r="AF14" s="2" cm="1">
        <f t="array" ref="AF14">RHOGREEK($B14,100,0.01,AF$2,0.1)</f>
        <v>237.04399931886562</v>
      </c>
      <c r="AG14" s="2" cm="1">
        <f t="array" ref="AG14">RHOGREEK($B14,100,0.01,AG$2,0.1)</f>
        <v>243.75546147914227</v>
      </c>
      <c r="AH14" s="2" cm="1">
        <f t="array" ref="AH14">RHOGREEK($B14,100,0.01,AH$2,0.1)</f>
        <v>250.43279577333564</v>
      </c>
      <c r="AI14" s="2" cm="1">
        <f t="array" ref="AI14">RHOGREEK($B14,100,0.01,AI$2,0.1)</f>
        <v>257.07733932603912</v>
      </c>
      <c r="AJ14" s="2" cm="1">
        <f t="array" ref="AJ14">RHOGREEK($B14,100,0.01,AJ$2,0.1)</f>
        <v>263.69032483707826</v>
      </c>
      <c r="AK14" s="2" cm="1">
        <f t="array" ref="AK14">RHOGREEK($B14,100,0.01,AK$2,0.1)</f>
        <v>270.27289123961106</v>
      </c>
      <c r="AL14" s="2" cm="1">
        <f t="array" ref="AL14">RHOGREEK($B14,100,0.01,AL$2,0.1)</f>
        <v>276.82609303549077</v>
      </c>
      <c r="AM14" s="2" cm="1">
        <f t="array" ref="AM14">RHOGREEK($B14,100,0.01,AM$2,0.1)</f>
        <v>283.3509084990697</v>
      </c>
      <c r="AN14" s="2" cm="1">
        <f t="array" ref="AN14">RHOGREEK($B14,100,0.01,AN$2,0.1)</f>
        <v>289.84824690939593</v>
      </c>
      <c r="AO14" s="2" cm="1">
        <f t="array" ref="AO14">RHOGREEK($B14,100,0.01,AO$2,0.1)</f>
        <v>296.31895494515879</v>
      </c>
      <c r="AP14" s="2" cm="1">
        <f t="array" ref="AP14">RHOGREEK($B14,100,0.01,AP$2,0.1)</f>
        <v>302.76382235568667</v>
      </c>
      <c r="AQ14" s="2" cm="1">
        <f t="array" ref="AQ14">RHOGREEK($B14,100,0.01,AQ$2,0.1)</f>
        <v>309.18358700390155</v>
      </c>
      <c r="AR14" s="2" cm="1">
        <f t="array" ref="AR14">RHOGREEK($B14,100,0.01,AR$2,0.1)</f>
        <v>315.57893936270199</v>
      </c>
      <c r="AS14" s="2" cm="1">
        <f t="array" ref="AS14">RHOGREEK($B14,100,0.01,AS$2,0.1)</f>
        <v>321.95052653423022</v>
      </c>
      <c r="AT14" s="2" cm="1">
        <f t="array" ref="AT14">RHOGREEK($B14,100,0.01,AT$2,0.1)</f>
        <v>328.29895585143157</v>
      </c>
      <c r="AU14" s="2" cm="1">
        <f t="array" ref="AU14">RHOGREEK($B14,100,0.01,AU$2,0.1)</f>
        <v>334.62479811289057</v>
      </c>
      <c r="AV14" s="2" cm="1">
        <f t="array" ref="AV14">RHOGREEK($B14,100,0.01,AV$2,0.1)</f>
        <v>340.928590494829</v>
      </c>
      <c r="AW14" s="2" cm="1">
        <f t="array" ref="AW14">RHOGREEK($B14,100,0.01,AW$2,0.1)</f>
        <v>347.21083917816321</v>
      </c>
      <c r="AX14" s="2" cm="1">
        <f t="array" ref="AX14">RHOGREEK($B14,100,0.01,AX$2,0.1)</f>
        <v>353.47202172343441</v>
      </c>
      <c r="AY14" s="2" cm="1">
        <f t="array" ref="AY14">RHOGREEK($B14,100,0.01,AY$2,0.1)</f>
        <v>359.71258922211047</v>
      </c>
      <c r="AZ14" s="2" cm="1">
        <f t="array" ref="AZ14">RHOGREEK($B14,100,0.01,AZ$2,0.1)</f>
        <v>365.93296824907293</v>
      </c>
    </row>
    <row r="15" spans="1:52" x14ac:dyDescent="0.3">
      <c r="A15" s="2"/>
      <c r="B15" s="2">
        <v>120</v>
      </c>
      <c r="C15" s="2" cm="1">
        <f t="array" ref="C15">RHOGREEK($B15,100,0.01,C$2,0.1)</f>
        <v>9.9900049613135682</v>
      </c>
      <c r="D15" s="2" cm="1">
        <f t="array" ref="D15">RHOGREEK($B15,100,0.01,D$2,0.1)</f>
        <v>19.959626211406121</v>
      </c>
      <c r="E15" s="2" cm="1">
        <f t="array" ref="E15">RHOGREEK($B15,100,0.01,E$2,0.1)</f>
        <v>29.898313191089134</v>
      </c>
      <c r="F15" s="2" cm="1">
        <f t="array" ref="F15">RHOGREEK($B15,100,0.01,F$2,0.1)</f>
        <v>39.769324894937874</v>
      </c>
      <c r="G15" s="2" cm="1">
        <f t="array" ref="G15">RHOGREEK($B15,100,0.01,G$2,0.1)</f>
        <v>49.527868282183348</v>
      </c>
      <c r="H15" s="2" cm="1">
        <f t="array" ref="H15">RHOGREEK($B15,100,0.01,H$2,0.1)</f>
        <v>59.142047882605844</v>
      </c>
      <c r="I15" s="2" cm="1">
        <f t="array" ref="I15">RHOGREEK($B15,100,0.01,I$2,0.1)</f>
        <v>68.595842929360387</v>
      </c>
      <c r="J15" s="2" cm="1">
        <f t="array" ref="J15">RHOGREEK($B15,100,0.01,J$2,0.1)</f>
        <v>77.884877360331075</v>
      </c>
      <c r="K15" s="2" cm="1">
        <f t="array" ref="K15">RHOGREEK($B15,100,0.01,K$2,0.1)</f>
        <v>87.011875244291346</v>
      </c>
      <c r="L15" s="2" cm="1">
        <f t="array" ref="L15">RHOGREEK($B15,100,0.01,L$2,0.1)</f>
        <v>95.983419426964204</v>
      </c>
      <c r="M15" s="2" cm="1">
        <f t="array" ref="M15">RHOGREEK($B15,100,0.01,M$2,0.1)</f>
        <v>104.8079249837991</v>
      </c>
      <c r="N15" s="2" cm="1">
        <f t="array" ref="N15">RHOGREEK($B15,100,0.01,N$2,0.1)</f>
        <v>113.49445000422928</v>
      </c>
      <c r="O15" s="2" cm="1">
        <f t="array" ref="O15">RHOGREEK($B15,100,0.01,O$2,0.1)</f>
        <v>122.05202916045715</v>
      </c>
      <c r="P15" s="2" cm="1">
        <f t="array" ref="P15">RHOGREEK($B15,100,0.01,P$2,0.1)</f>
        <v>130.48931999199021</v>
      </c>
      <c r="Q15" s="2" cm="1">
        <f t="array" ref="Q15">RHOGREEK($B15,100,0.01,Q$2,0.1)</f>
        <v>138.81443186796324</v>
      </c>
      <c r="R15" s="2" cm="1">
        <f t="array" ref="R15">RHOGREEK($B15,100,0.01,R$2,0.1)</f>
        <v>147.03485959189177</v>
      </c>
      <c r="S15" s="2" cm="1">
        <f t="array" ref="S15">RHOGREEK($B15,100,0.01,S$2,0.1)</f>
        <v>155.15747546725433</v>
      </c>
      <c r="T15" s="2" cm="1">
        <f t="array" ref="T15">RHOGREEK($B15,100,0.01,T$2,0.1)</f>
        <v>163.1885527068724</v>
      </c>
      <c r="U15" s="2" cm="1">
        <f t="array" ref="U15">RHOGREEK($B15,100,0.01,U$2,0.1)</f>
        <v>171.13380438333465</v>
      </c>
      <c r="V15" s="2" cm="1">
        <f t="array" ref="V15">RHOGREEK($B15,100,0.01,V$2,0.1)</f>
        <v>178.99842881670318</v>
      </c>
      <c r="W15" s="2" cm="1">
        <f t="array" ref="W15">RHOGREEK($B15,100,0.01,W$2,0.1)</f>
        <v>186.78715625985623</v>
      </c>
      <c r="X15" s="2" cm="1">
        <f t="array" ref="X15">RHOGREEK($B15,100,0.01,X$2,0.1)</f>
        <v>194.50429408419612</v>
      </c>
      <c r="Y15" s="2" cm="1">
        <f t="array" ref="Y15">RHOGREEK($B15,100,0.01,Y$2,0.1)</f>
        <v>202.15376904636801</v>
      </c>
      <c r="Z15" s="2" cm="1">
        <f t="array" ref="Z15">RHOGREEK($B15,100,0.01,Z$2,0.1)</f>
        <v>209.73916601922721</v>
      </c>
      <c r="AA15" s="2" cm="1">
        <f t="array" ref="AA15">RHOGREEK($B15,100,0.01,AA$2,0.1)</f>
        <v>217.26376302903927</v>
      </c>
      <c r="AB15" s="2" cm="1">
        <f t="array" ref="AB15">RHOGREEK($B15,100,0.01,AB$2,0.1)</f>
        <v>224.73056269424802</v>
      </c>
      <c r="AC15" s="2" cm="1">
        <f t="array" ref="AC15">RHOGREEK($B15,100,0.01,AC$2,0.1)</f>
        <v>232.14232029231573</v>
      </c>
      <c r="AD15" s="2" cm="1">
        <f t="array" ref="AD15">RHOGREEK($B15,100,0.01,AD$2,0.1)</f>
        <v>239.5015687403415</v>
      </c>
      <c r="AE15" s="2" cm="1">
        <f t="array" ref="AE15">RHOGREEK($B15,100,0.01,AE$2,0.1)</f>
        <v>246.81064079274051</v>
      </c>
      <c r="AF15" s="2" cm="1">
        <f t="array" ref="AF15">RHOGREEK($B15,100,0.01,AF$2,0.1)</f>
        <v>254.07168875355401</v>
      </c>
      <c r="AG15" s="2" cm="1">
        <f t="array" ref="AG15">RHOGREEK($B15,100,0.01,AG$2,0.1)</f>
        <v>261.28670198297237</v>
      </c>
      <c r="AH15" s="2" cm="1">
        <f t="array" ref="AH15">RHOGREEK($B15,100,0.01,AH$2,0.1)</f>
        <v>268.45752245395101</v>
      </c>
      <c r="AI15" s="2" cm="1">
        <f t="array" ref="AI15">RHOGREEK($B15,100,0.01,AI$2,0.1)</f>
        <v>275.58585858921401</v>
      </c>
      <c r="AJ15" s="2" cm="1">
        <f t="array" ref="AJ15">RHOGREEK($B15,100,0.01,AJ$2,0.1)</f>
        <v>282.67329758364542</v>
      </c>
      <c r="AK15" s="2" cm="1">
        <f t="array" ref="AK15">RHOGREEK($B15,100,0.01,AK$2,0.1)</f>
        <v>289.72131639321873</v>
      </c>
      <c r="AL15" s="2" cm="1">
        <f t="array" ref="AL15">RHOGREEK($B15,100,0.01,AL$2,0.1)</f>
        <v>296.73129154977681</v>
      </c>
      <c r="AM15" s="2" cm="1">
        <f t="array" ref="AM15">RHOGREEK($B15,100,0.01,AM$2,0.1)</f>
        <v>303.70450794133433</v>
      </c>
      <c r="AN15" s="2" cm="1">
        <f t="array" ref="AN15">RHOGREEK($B15,100,0.01,AN$2,0.1)</f>
        <v>310.64216668013319</v>
      </c>
      <c r="AO15" s="2" cm="1">
        <f t="array" ref="AO15">RHOGREEK($B15,100,0.01,AO$2,0.1)</f>
        <v>317.54539216531737</v>
      </c>
      <c r="AP15" s="2" cm="1">
        <f t="array" ref="AP15">RHOGREEK($B15,100,0.01,AP$2,0.1)</f>
        <v>324.41523843363723</v>
      </c>
      <c r="AQ15" s="2" cm="1">
        <f t="array" ref="AQ15">RHOGREEK($B15,100,0.01,AQ$2,0.1)</f>
        <v>331.25269487984775</v>
      </c>
      <c r="AR15" s="2" cm="1">
        <f t="array" ref="AR15">RHOGREEK($B15,100,0.01,AR$2,0.1)</f>
        <v>338.05869141824218</v>
      </c>
      <c r="AS15" s="2" cm="1">
        <f t="array" ref="AS15">RHOGREEK($B15,100,0.01,AS$2,0.1)</f>
        <v>344.83410314787307</v>
      </c>
      <c r="AT15" s="2" cm="1">
        <f t="array" ref="AT15">RHOGREEK($B15,100,0.01,AT$2,0.1)</f>
        <v>351.57975457628885</v>
      </c>
      <c r="AU15" s="2" cm="1">
        <f t="array" ref="AU15">RHOGREEK($B15,100,0.01,AU$2,0.1)</f>
        <v>358.29642344990708</v>
      </c>
      <c r="AV15" s="2" cm="1">
        <f t="array" ref="AV15">RHOGREEK($B15,100,0.01,AV$2,0.1)</f>
        <v>364.98484423331274</v>
      </c>
      <c r="AW15" s="2" cm="1">
        <f t="array" ref="AW15">RHOGREEK($B15,100,0.01,AW$2,0.1)</f>
        <v>371.64571127470248</v>
      </c>
      <c r="AX15" s="2" cm="1">
        <f t="array" ref="AX15">RHOGREEK($B15,100,0.01,AX$2,0.1)</f>
        <v>378.2796816902819</v>
      </c>
      <c r="AY15" s="2" cm="1">
        <f t="array" ref="AY15">RHOGREEK($B15,100,0.01,AY$2,0.1)</f>
        <v>384.88737799658065</v>
      </c>
      <c r="AZ15" s="2" cm="1">
        <f t="array" ref="AZ15">RHOGREEK($B15,100,0.01,AZ$2,0.1)</f>
        <v>391.4693905162963</v>
      </c>
    </row>
    <row r="16" spans="1:52" x14ac:dyDescent="0.3">
      <c r="A16" s="2"/>
      <c r="B16" s="2">
        <v>125</v>
      </c>
      <c r="C16" s="2" cm="1">
        <f t="array" ref="C16">RHOGREEK($B16,100,0.01,C$2,0.1)</f>
        <v>9.9900049983261354</v>
      </c>
      <c r="D16" s="2" cm="1">
        <f t="array" ref="D16">RHOGREEK($B16,100,0.01,D$2,0.1)</f>
        <v>19.960034597449699</v>
      </c>
      <c r="E16" s="2" cm="1">
        <f t="array" ref="E16">RHOGREEK($B16,100,0.01,E$2,0.1)</f>
        <v>29.909520753459066</v>
      </c>
      <c r="F16" s="2" cm="1">
        <f t="array" ref="F16">RHOGREEK($B16,100,0.01,F$2,0.1)</f>
        <v>39.832927362661074</v>
      </c>
      <c r="G16" s="2" cm="1">
        <f t="array" ref="G16">RHOGREEK($B16,100,0.01,G$2,0.1)</f>
        <v>49.715365396356191</v>
      </c>
      <c r="H16" s="2" cm="1">
        <f t="array" ref="H16">RHOGREEK($B16,100,0.01,H$2,0.1)</f>
        <v>59.536529236320234</v>
      </c>
      <c r="I16" s="2" cm="1">
        <f t="array" ref="I16">RHOGREEK($B16,100,0.01,I$2,0.1)</f>
        <v>69.277091810376731</v>
      </c>
      <c r="J16" s="2" cm="1">
        <f t="array" ref="J16">RHOGREEK($B16,100,0.01,J$2,0.1)</f>
        <v>78.922100210084167</v>
      </c>
      <c r="K16" s="2" cm="1">
        <f t="array" ref="K16">RHOGREEK($B16,100,0.01,K$2,0.1)</f>
        <v>88.46161416674056</v>
      </c>
      <c r="L16" s="2" cm="1">
        <f t="array" ref="L16">RHOGREEK($B16,100,0.01,L$2,0.1)</f>
        <v>97.890054170176697</v>
      </c>
      <c r="M16" s="2" cm="1">
        <f t="array" ref="M16">RHOGREEK($B16,100,0.01,M$2,0.1)</f>
        <v>107.20519793282695</v>
      </c>
      <c r="N16" s="2" cm="1">
        <f t="array" ref="N16">RHOGREEK($B16,100,0.01,N$2,0.1)</f>
        <v>116.40723237865194</v>
      </c>
      <c r="O16" s="2" cm="1">
        <f t="array" ref="O16">RHOGREEK($B16,100,0.01,O$2,0.1)</f>
        <v>125.49798718037577</v>
      </c>
      <c r="P16" s="2" cm="1">
        <f t="array" ref="P16">RHOGREEK($B16,100,0.01,P$2,0.1)</f>
        <v>134.480358692523</v>
      </c>
      <c r="Q16" s="2" cm="1">
        <f t="array" ref="Q16">RHOGREEK($B16,100,0.01,Q$2,0.1)</f>
        <v>143.35789428027172</v>
      </c>
      <c r="R16" s="2" cm="1">
        <f t="array" ref="R16">RHOGREEK($B16,100,0.01,R$2,0.1)</f>
        <v>152.13450021331076</v>
      </c>
      <c r="S16" s="2" cm="1">
        <f t="array" ref="S16">RHOGREEK($B16,100,0.01,S$2,0.1)</f>
        <v>160.81424057510438</v>
      </c>
      <c r="T16" s="2" cm="1">
        <f t="array" ref="T16">RHOGREEK($B16,100,0.01,T$2,0.1)</f>
        <v>169.40120155448972</v>
      </c>
      <c r="U16" s="2" cm="1">
        <f t="array" ref="U16">RHOGREEK($B16,100,0.01,U$2,0.1)</f>
        <v>177.89940199420136</v>
      </c>
      <c r="V16" s="2" cm="1">
        <f t="array" ref="V16">RHOGREEK($B16,100,0.01,V$2,0.1)</f>
        <v>186.31273632495481</v>
      </c>
      <c r="W16" s="2" cm="1">
        <f t="array" ref="W16">RHOGREEK($B16,100,0.01,W$2,0.1)</f>
        <v>194.64493998089617</v>
      </c>
      <c r="X16" s="2" cm="1">
        <f t="array" ref="X16">RHOGREEK($B16,100,0.01,X$2,0.1)</f>
        <v>202.89957028784823</v>
      </c>
      <c r="Y16" s="2" cm="1">
        <f t="array" ref="Y16">RHOGREEK($B16,100,0.01,Y$2,0.1)</f>
        <v>211.07999789126612</v>
      </c>
      <c r="Z16" s="2" cm="1">
        <f t="array" ref="Z16">RHOGREEK($B16,100,0.01,Z$2,0.1)</f>
        <v>219.18940526400118</v>
      </c>
      <c r="AA16" s="2" cm="1">
        <f t="array" ref="AA16">RHOGREEK($B16,100,0.01,AA$2,0.1)</f>
        <v>227.23078987440402</v>
      </c>
      <c r="AB16" s="2" cm="1">
        <f t="array" ref="AB16">RHOGREEK($B16,100,0.01,AB$2,0.1)</f>
        <v>235.20697032837697</v>
      </c>
      <c r="AC16" s="2" cm="1">
        <f t="array" ref="AC16">RHOGREEK($B16,100,0.01,AC$2,0.1)</f>
        <v>243.12059431505554</v>
      </c>
      <c r="AD16" s="2" cm="1">
        <f t="array" ref="AD16">RHOGREEK($B16,100,0.01,AD$2,0.1)</f>
        <v>250.97414754901831</v>
      </c>
      <c r="AE16" s="2" cm="1">
        <f t="array" ref="AE16">RHOGREEK($B16,100,0.01,AE$2,0.1)</f>
        <v>258.76996315752956</v>
      </c>
      <c r="AF16" s="2" cm="1">
        <f t="array" ref="AF16">RHOGREEK($B16,100,0.01,AF$2,0.1)</f>
        <v>266.51023114110524</v>
      </c>
      <c r="AG16" s="2" cm="1">
        <f t="array" ref="AG16">RHOGREEK($B16,100,0.01,AG$2,0.1)</f>
        <v>274.19700766198787</v>
      </c>
      <c r="AH16" s="2" cm="1">
        <f t="array" ref="AH16">RHOGREEK($B16,100,0.01,AH$2,0.1)</f>
        <v>281.83222400361853</v>
      </c>
      <c r="AI16" s="2" cm="1">
        <f t="array" ref="AI16">RHOGREEK($B16,100,0.01,AI$2,0.1)</f>
        <v>289.41769510595344</v>
      </c>
      <c r="AJ16" s="2" cm="1">
        <f t="array" ref="AJ16">RHOGREEK($B16,100,0.01,AJ$2,0.1)</f>
        <v>296.95512762429644</v>
      </c>
      <c r="AK16" s="2" cm="1">
        <f t="array" ref="AK16">RHOGREEK($B16,100,0.01,AK$2,0.1)</f>
        <v>304.44612748871583</v>
      </c>
      <c r="AL16" s="2" cm="1">
        <f t="array" ref="AL16">RHOGREEK($B16,100,0.01,AL$2,0.1)</f>
        <v>311.89220696101336</v>
      </c>
      <c r="AM16" s="2" cm="1">
        <f t="array" ref="AM16">RHOGREEK($B16,100,0.01,AM$2,0.1)</f>
        <v>319.29479119937855</v>
      </c>
      <c r="AN16" s="2" cm="1">
        <f t="array" ref="AN16">RHOGREEK($B16,100,0.01,AN$2,0.1)</f>
        <v>326.65522434929477</v>
      </c>
      <c r="AO16" s="2" cm="1">
        <f t="array" ref="AO16">RHOGREEK($B16,100,0.01,AO$2,0.1)</f>
        <v>333.9747751843617</v>
      </c>
      <c r="AP16" s="2" cm="1">
        <f t="array" ref="AP16">RHOGREEK($B16,100,0.01,AP$2,0.1)</f>
        <v>341.25464232347827</v>
      </c>
      <c r="AQ16" s="2" cm="1">
        <f t="array" ref="AQ16">RHOGREEK($B16,100,0.01,AQ$2,0.1)</f>
        <v>348.49595905201443</v>
      </c>
      <c r="AR16" s="2" cm="1">
        <f t="array" ref="AR16">RHOGREEK($B16,100,0.01,AR$2,0.1)</f>
        <v>355.69979777469274</v>
      </c>
      <c r="AS16" s="2" cm="1">
        <f t="array" ref="AS16">RHOGREEK($B16,100,0.01,AS$2,0.1)</f>
        <v>362.86717412727745</v>
      </c>
      <c r="AT16" s="2" cm="1">
        <f t="array" ref="AT16">RHOGREEK($B16,100,0.01,AT$2,0.1)</f>
        <v>369.99905077308472</v>
      </c>
      <c r="AU16" s="2" cm="1">
        <f t="array" ref="AU16">RHOGREEK($B16,100,0.01,AU$2,0.1)</f>
        <v>377.09634090896373</v>
      </c>
      <c r="AV16" s="2" cm="1">
        <f t="array" ref="AV16">RHOGREEK($B16,100,0.01,AV$2,0.1)</f>
        <v>384.1599115038884</v>
      </c>
      <c r="AW16" s="2" cm="1">
        <f t="array" ref="AW16">RHOGREEK($B16,100,0.01,AW$2,0.1)</f>
        <v>391.19058629172673</v>
      </c>
      <c r="AX16" s="2" cm="1">
        <f t="array" ref="AX16">RHOGREEK($B16,100,0.01,AX$2,0.1)</f>
        <v>398.18914853817938</v>
      </c>
      <c r="AY16" s="2" cm="1">
        <f t="array" ref="AY16">RHOGREEK($B16,100,0.01,AY$2,0.1)</f>
        <v>405.15634360035017</v>
      </c>
      <c r="AZ16" s="2" cm="1">
        <f t="array" ref="AZ16">RHOGREEK($B16,100,0.01,AZ$2,0.1)</f>
        <v>412.0928812959383</v>
      </c>
    </row>
    <row r="17" spans="1:52" x14ac:dyDescent="0.3">
      <c r="A17" s="2"/>
      <c r="B17" s="2">
        <v>130</v>
      </c>
      <c r="C17" s="2" cm="1">
        <f t="array" ref="C17">RHOGREEK($B17,100,0.01,C$2,0.1)</f>
        <v>9.9900049983337507</v>
      </c>
      <c r="D17" s="2" cm="1">
        <f t="array" ref="D17">RHOGREEK($B17,100,0.01,D$2,0.1)</f>
        <v>19.960039934571281</v>
      </c>
      <c r="E17" s="2" cm="1">
        <f t="array" ref="E17">RHOGREEK($B17,100,0.01,E$2,0.1)</f>
        <v>29.9101131230621</v>
      </c>
      <c r="F17" s="2" cm="1">
        <f t="array" ref="F17">RHOGREEK($B17,100,0.01,F$2,0.1)</f>
        <v>39.839738796252952</v>
      </c>
      <c r="G17" s="2" cm="1">
        <f t="array" ref="G17">RHOGREEK($B17,100,0.01,G$2,0.1)</f>
        <v>49.746149929550427</v>
      </c>
      <c r="H17" s="2" cm="1">
        <f t="array" ref="H17">RHOGREEK($B17,100,0.01,H$2,0.1)</f>
        <v>59.62280065616843</v>
      </c>
      <c r="I17" s="2" cm="1">
        <f t="array" ref="I17">RHOGREEK($B17,100,0.01,I$2,0.1)</f>
        <v>69.46011400519069</v>
      </c>
      <c r="J17" s="2" cm="1">
        <f t="array" ref="J17">RHOGREEK($B17,100,0.01,J$2,0.1)</f>
        <v>79.247439679380363</v>
      </c>
      <c r="K17" s="2" cm="1">
        <f t="array" ref="K17">RHOGREEK($B17,100,0.01,K$2,0.1)</f>
        <v>88.974743056024764</v>
      </c>
      <c r="L17" s="2" cm="1">
        <f t="array" ref="L17">RHOGREEK($B17,100,0.01,L$2,0.1)</f>
        <v>98.633554504316649</v>
      </c>
      <c r="M17" s="2" cm="1">
        <f t="array" ref="M17">RHOGREEK($B17,100,0.01,M$2,0.1)</f>
        <v>108.21730125118323</v>
      </c>
      <c r="N17" s="2" cm="1">
        <f t="array" ref="N17">RHOGREEK($B17,100,0.01,N$2,0.1)</f>
        <v>117.72126744711964</v>
      </c>
      <c r="O17" s="2" cm="1">
        <f t="array" ref="O17">RHOGREEK($B17,100,0.01,O$2,0.1)</f>
        <v>127.14237633409796</v>
      </c>
      <c r="P17" s="2" cm="1">
        <f t="array" ref="P17">RHOGREEK($B17,100,0.01,P$2,0.1)</f>
        <v>136.47891281773553</v>
      </c>
      <c r="Q17" s="2" cm="1">
        <f t="array" ref="Q17">RHOGREEK($B17,100,0.01,Q$2,0.1)</f>
        <v>145.73024832862447</v>
      </c>
      <c r="R17" s="2" cm="1">
        <f t="array" ref="R17">RHOGREEK($B17,100,0.01,R$2,0.1)</f>
        <v>154.89659554219622</v>
      </c>
      <c r="S17" s="2" cm="1">
        <f t="array" ref="S17">RHOGREEK($B17,100,0.01,S$2,0.1)</f>
        <v>163.97880190741543</v>
      </c>
      <c r="T17" s="2" cm="1">
        <f t="array" ref="T17">RHOGREEK($B17,100,0.01,T$2,0.1)</f>
        <v>172.97818178160512</v>
      </c>
      <c r="U17" s="2" cm="1">
        <f t="array" ref="U17">RHOGREEK($B17,100,0.01,U$2,0.1)</f>
        <v>181.89638303856756</v>
      </c>
      <c r="V17" s="2" cm="1">
        <f t="array" ref="V17">RHOGREEK($B17,100,0.01,V$2,0.1)</f>
        <v>190.73528277688422</v>
      </c>
      <c r="W17" s="2" cm="1">
        <f t="array" ref="W17">RHOGREEK($B17,100,0.01,W$2,0.1)</f>
        <v>199.49690679660884</v>
      </c>
      <c r="X17" s="2" cm="1">
        <f t="array" ref="X17">RHOGREEK($B17,100,0.01,X$2,0.1)</f>
        <v>208.18336809180934</v>
      </c>
      <c r="Y17" s="2" cm="1">
        <f t="array" ref="Y17">RHOGREEK($B17,100,0.01,Y$2,0.1)</f>
        <v>216.79682035035285</v>
      </c>
      <c r="Z17" s="2" cm="1">
        <f t="array" ref="Z17">RHOGREEK($B17,100,0.01,Z$2,0.1)</f>
        <v>225.33942318630289</v>
      </c>
      <c r="AA17" s="2" cm="1">
        <f t="array" ref="AA17">RHOGREEK($B17,100,0.01,AA$2,0.1)</f>
        <v>233.81331648222823</v>
      </c>
      <c r="AB17" s="2" cm="1">
        <f t="array" ref="AB17">RHOGREEK($B17,100,0.01,AB$2,0.1)</f>
        <v>242.22060176730145</v>
      </c>
      <c r="AC17" s="2" cm="1">
        <f t="array" ref="AC17">RHOGREEK($B17,100,0.01,AC$2,0.1)</f>
        <v>250.56332900445381</v>
      </c>
      <c r="AD17" s="2" cm="1">
        <f t="array" ref="AD17">RHOGREEK($B17,100,0.01,AD$2,0.1)</f>
        <v>258.843487517771</v>
      </c>
      <c r="AE17" s="2" cm="1">
        <f t="array" ref="AE17">RHOGREEK($B17,100,0.01,AE$2,0.1)</f>
        <v>267.06300007417781</v>
      </c>
      <c r="AF17" s="2" cm="1">
        <f t="array" ref="AF17">RHOGREEK($B17,100,0.01,AF$2,0.1)</f>
        <v>275.2237193552665</v>
      </c>
      <c r="AG17" s="2" cm="1">
        <f t="array" ref="AG17">RHOGREEK($B17,100,0.01,AG$2,0.1)</f>
        <v>283.32742622819154</v>
      </c>
      <c r="AH17" s="2" cm="1">
        <f t="array" ref="AH17">RHOGREEK($B17,100,0.01,AH$2,0.1)</f>
        <v>291.3758293591614</v>
      </c>
      <c r="AI17" s="2" cm="1">
        <f t="array" ref="AI17">RHOGREEK($B17,100,0.01,AI$2,0.1)</f>
        <v>299.37056581757048</v>
      </c>
      <c r="AJ17" s="2" cm="1">
        <f t="array" ref="AJ17">RHOGREEK($B17,100,0.01,AJ$2,0.1)</f>
        <v>307.31320239986786</v>
      </c>
      <c r="AK17" s="2" cm="1">
        <f t="array" ref="AK17">RHOGREEK($B17,100,0.01,AK$2,0.1)</f>
        <v>315.20523746509099</v>
      </c>
      <c r="AL17" s="2" cm="1">
        <f t="array" ref="AL17">RHOGREEK($B17,100,0.01,AL$2,0.1)</f>
        <v>323.04810312268842</v>
      </c>
      <c r="AM17" s="2" cm="1">
        <f t="array" ref="AM17">RHOGREEK($B17,100,0.01,AM$2,0.1)</f>
        <v>330.84316765099356</v>
      </c>
      <c r="AN17" s="2" cm="1">
        <f t="array" ref="AN17">RHOGREEK($B17,100,0.01,AN$2,0.1)</f>
        <v>338.59173805395221</v>
      </c>
      <c r="AO17" s="2" cm="1">
        <f t="array" ref="AO17">RHOGREEK($B17,100,0.01,AO$2,0.1)</f>
        <v>346.29506268636118</v>
      </c>
      <c r="AP17" s="2" cm="1">
        <f t="array" ref="AP17">RHOGREEK($B17,100,0.01,AP$2,0.1)</f>
        <v>353.95433389541921</v>
      </c>
      <c r="AQ17" s="2" cm="1">
        <f t="array" ref="AQ17">RHOGREEK($B17,100,0.01,AQ$2,0.1)</f>
        <v>361.57069063996221</v>
      </c>
      <c r="AR17" s="2" cm="1">
        <f t="array" ref="AR17">RHOGREEK($B17,100,0.01,AR$2,0.1)</f>
        <v>369.1452210592438</v>
      </c>
      <c r="AS17" s="2" cm="1">
        <f t="array" ref="AS17">RHOGREEK($B17,100,0.01,AS$2,0.1)</f>
        <v>376.67896497120944</v>
      </c>
      <c r="AT17" s="2" cm="1">
        <f t="array" ref="AT17">RHOGREEK($B17,100,0.01,AT$2,0.1)</f>
        <v>384.17291628643591</v>
      </c>
      <c r="AU17" s="2" cm="1">
        <f t="array" ref="AU17">RHOGREEK($B17,100,0.01,AU$2,0.1)</f>
        <v>391.6280253286709</v>
      </c>
      <c r="AV17" s="2" cm="1">
        <f t="array" ref="AV17">RHOGREEK($B17,100,0.01,AV$2,0.1)</f>
        <v>399.04520105654916</v>
      </c>
      <c r="AW17" s="2" cm="1">
        <f t="array" ref="AW17">RHOGREEK($B17,100,0.01,AW$2,0.1)</f>
        <v>406.42531318380895</v>
      </c>
      <c r="AX17" s="2" cm="1">
        <f t="array" ref="AX17">RHOGREEK($B17,100,0.01,AX$2,0.1)</f>
        <v>413.7691941974054</v>
      </c>
      <c r="AY17" s="2" cm="1">
        <f t="array" ref="AY17">RHOGREEK($B17,100,0.01,AY$2,0.1)</f>
        <v>421.07764127444881</v>
      </c>
      <c r="AZ17" s="2" cm="1">
        <f t="array" ref="AZ17">RHOGREEK($B17,100,0.01,AZ$2,0.1)</f>
        <v>428.35141810001801</v>
      </c>
    </row>
    <row r="18" spans="1:52" x14ac:dyDescent="0.3">
      <c r="A18" s="2"/>
      <c r="B18" s="2">
        <v>135</v>
      </c>
      <c r="C18" s="2" cm="1">
        <f t="array" ref="C18">RHOGREEK($B18,100,0.01,C$2,0.1)</f>
        <v>9.9900049983337507</v>
      </c>
      <c r="D18" s="2" cm="1">
        <f t="array" ref="D18">RHOGREEK($B18,100,0.01,D$2,0.1)</f>
        <v>19.960039973180685</v>
      </c>
      <c r="E18" s="2" cm="1">
        <f t="array" ref="E18">RHOGREEK($B18,100,0.01,E$2,0.1)</f>
        <v>29.910134317755116</v>
      </c>
      <c r="F18" s="2" cm="1">
        <f t="array" ref="F18">RHOGREEK($B18,100,0.01,F$2,0.1)</f>
        <v>39.840284075736406</v>
      </c>
      <c r="G18" s="2" cm="1">
        <f t="array" ref="G18">RHOGREEK($B18,100,0.01,G$2,0.1)</f>
        <v>49.750157959169577</v>
      </c>
      <c r="H18" s="2" cm="1">
        <f t="array" ref="H18">RHOGREEK($B18,100,0.01,H$2,0.1)</f>
        <v>59.638360220830648</v>
      </c>
      <c r="I18" s="2" cm="1">
        <f t="array" ref="I18">RHOGREEK($B18,100,0.01,I$2,0.1)</f>
        <v>69.50181337283162</v>
      </c>
      <c r="J18" s="2" cm="1">
        <f t="array" ref="J18">RHOGREEK($B18,100,0.01,J$2,0.1)</f>
        <v>79.335812906789954</v>
      </c>
      <c r="K18" s="2" cm="1">
        <f t="array" ref="K18">RHOGREEK($B18,100,0.01,K$2,0.1)</f>
        <v>89.134605998743837</v>
      </c>
      <c r="L18" s="2" cm="1">
        <f t="array" ref="L18">RHOGREEK($B18,100,0.01,L$2,0.1)</f>
        <v>98.892095075464468</v>
      </c>
      <c r="M18" s="2" cm="1">
        <f t="array" ref="M18">RHOGREEK($B18,100,0.01,M$2,0.1)</f>
        <v>108.60241265305523</v>
      </c>
      <c r="N18" s="2" cm="1">
        <f t="array" ref="N18">RHOGREEK($B18,100,0.01,N$2,0.1)</f>
        <v>118.26029281472681</v>
      </c>
      <c r="O18" s="2" cm="1">
        <f t="array" ref="O18">RHOGREEK($B18,100,0.01,O$2,0.1)</f>
        <v>127.86126040227073</v>
      </c>
      <c r="P18" s="2" cm="1">
        <f t="array" ref="P18">RHOGREEK($B18,100,0.01,P$2,0.1)</f>
        <v>137.40168860108676</v>
      </c>
      <c r="Q18" s="2" cm="1">
        <f t="array" ref="Q18">RHOGREEK($B18,100,0.01,Q$2,0.1)</f>
        <v>146.87877380429489</v>
      </c>
      <c r="R18" s="2" cm="1">
        <f t="array" ref="R18">RHOGREEK($B18,100,0.01,R$2,0.1)</f>
        <v>156.29046494839491</v>
      </c>
      <c r="S18" s="2" cm="1">
        <f t="array" ref="S18">RHOGREEK($B18,100,0.01,S$2,0.1)</f>
        <v>165.63537237118749</v>
      </c>
      <c r="T18" s="2" cm="1">
        <f t="array" ref="T18">RHOGREEK($B18,100,0.01,T$2,0.1)</f>
        <v>174.91267166721966</v>
      </c>
      <c r="U18" s="2" cm="1">
        <f t="array" ref="U18">RHOGREEK($B18,100,0.01,U$2,0.1)</f>
        <v>184.12201133274453</v>
      </c>
      <c r="V18" s="2" cm="1">
        <f t="array" ref="V18">RHOGREEK($B18,100,0.01,V$2,0.1)</f>
        <v>193.26342865983207</v>
      </c>
      <c r="W18" s="2" cm="1">
        <f t="array" ref="W18">RHOGREEK($B18,100,0.01,W$2,0.1)</f>
        <v>202.33727568624585</v>
      </c>
      <c r="X18" s="2" cm="1">
        <f t="array" ref="X18">RHOGREEK($B18,100,0.01,X$2,0.1)</f>
        <v>211.34415547224782</v>
      </c>
      <c r="Y18" s="2" cm="1">
        <f t="array" ref="Y18">RHOGREEK($B18,100,0.01,Y$2,0.1)</f>
        <v>220.28486814913882</v>
      </c>
      <c r="Z18" s="2" cm="1">
        <f t="array" ref="Z18">RHOGREEK($B18,100,0.01,Z$2,0.1)</f>
        <v>229.1603657906625</v>
      </c>
      <c r="AA18" s="2" cm="1">
        <f t="array" ref="AA18">RHOGREEK($B18,100,0.01,AA$2,0.1)</f>
        <v>237.97171501843155</v>
      </c>
      <c r="AB18" s="2" cm="1">
        <f t="array" ref="AB18">RHOGREEK($B18,100,0.01,AB$2,0.1)</f>
        <v>246.72006625407823</v>
      </c>
      <c r="AC18" s="2" cm="1">
        <f t="array" ref="AC18">RHOGREEK($B18,100,0.01,AC$2,0.1)</f>
        <v>255.40662860547243</v>
      </c>
      <c r="AD18" s="2" cm="1">
        <f t="array" ref="AD18">RHOGREEK($B18,100,0.01,AD$2,0.1)</f>
        <v>264.03264948156618</v>
      </c>
      <c r="AE18" s="2" cm="1">
        <f t="array" ref="AE18">RHOGREEK($B18,100,0.01,AE$2,0.1)</f>
        <v>272.59939814704433</v>
      </c>
      <c r="AF18" s="2" cm="1">
        <f t="array" ref="AF18">RHOGREEK($B18,100,0.01,AF$2,0.1)</f>
        <v>281.10815254143625</v>
      </c>
      <c r="AG18" s="2" cm="1">
        <f t="array" ref="AG18">RHOGREEK($B18,100,0.01,AG$2,0.1)</f>
        <v>289.56018879144011</v>
      </c>
      <c r="AH18" s="2" cm="1">
        <f t="array" ref="AH18">RHOGREEK($B18,100,0.01,AH$2,0.1)</f>
        <v>297.95677293738339</v>
      </c>
      <c r="AI18" s="2" cm="1">
        <f t="array" ref="AI18">RHOGREEK($B18,100,0.01,AI$2,0.1)</f>
        <v>306.29915447451936</v>
      </c>
      <c r="AJ18" s="2" cm="1">
        <f t="array" ref="AJ18">RHOGREEK($B18,100,0.01,AJ$2,0.1)</f>
        <v>314.58856137783846</v>
      </c>
      <c r="AK18" s="2" cm="1">
        <f t="array" ref="AK18">RHOGREEK($B18,100,0.01,AK$2,0.1)</f>
        <v>322.8261963363891</v>
      </c>
      <c r="AL18" s="2" cm="1">
        <f t="array" ref="AL18">RHOGREEK($B18,100,0.01,AL$2,0.1)</f>
        <v>331.01323397105392</v>
      </c>
      <c r="AM18" s="2" cm="1">
        <f t="array" ref="AM18">RHOGREEK($B18,100,0.01,AM$2,0.1)</f>
        <v>339.1508188496349</v>
      </c>
      <c r="AN18" s="2" cm="1">
        <f t="array" ref="AN18">RHOGREEK($B18,100,0.01,AN$2,0.1)</f>
        <v>347.24006414618191</v>
      </c>
      <c r="AO18" s="2" cm="1">
        <f t="array" ref="AO18">RHOGREEK($B18,100,0.01,AO$2,0.1)</f>
        <v>355.28205081884573</v>
      </c>
      <c r="AP18" s="2" cm="1">
        <f t="array" ref="AP18">RHOGREEK($B18,100,0.01,AP$2,0.1)</f>
        <v>363.27782720310546</v>
      </c>
      <c r="AQ18" s="2" cm="1">
        <f t="array" ref="AQ18">RHOGREEK($B18,100,0.01,AQ$2,0.1)</f>
        <v>371.22840893581429</v>
      </c>
      <c r="AR18" s="2" cm="1">
        <f t="array" ref="AR18">RHOGREEK($B18,100,0.01,AR$2,0.1)</f>
        <v>379.13477914081972</v>
      </c>
      <c r="AS18" s="2" cm="1">
        <f t="array" ref="AS18">RHOGREEK($B18,100,0.01,AS$2,0.1)</f>
        <v>386.99788881951292</v>
      </c>
      <c r="AT18" s="2" cm="1">
        <f t="array" ref="AT18">RHOGREEK($B18,100,0.01,AT$2,0.1)</f>
        <v>394.81865740002831</v>
      </c>
      <c r="AU18" s="2" cm="1">
        <f t="array" ref="AU18">RHOGREEK($B18,100,0.01,AU$2,0.1)</f>
        <v>402.59797340733911</v>
      </c>
      <c r="AV18" s="2" cm="1">
        <f t="array" ref="AV18">RHOGREEK($B18,100,0.01,AV$2,0.1)</f>
        <v>410.33669522350522</v>
      </c>
      <c r="AW18" s="2" cm="1">
        <f t="array" ref="AW18">RHOGREEK($B18,100,0.01,AW$2,0.1)</f>
        <v>418.03565191309798</v>
      </c>
      <c r="AX18" s="2" cm="1">
        <f t="array" ref="AX18">RHOGREEK($B18,100,0.01,AX$2,0.1)</f>
        <v>425.69564409356559</v>
      </c>
      <c r="AY18" s="2" cm="1">
        <f t="array" ref="AY18">RHOGREEK($B18,100,0.01,AY$2,0.1)</f>
        <v>433.31744483420289</v>
      </c>
      <c r="AZ18" s="2" cm="1">
        <f t="array" ref="AZ18">RHOGREEK($B18,100,0.01,AZ$2,0.1)</f>
        <v>440.9018005705932</v>
      </c>
    </row>
    <row r="19" spans="1:52" x14ac:dyDescent="0.3">
      <c r="A19" s="2"/>
      <c r="B19" s="2">
        <v>140</v>
      </c>
      <c r="C19" s="2" cm="1">
        <f t="array" ref="C19">RHOGREEK($B19,100,0.01,C$2,0.1)</f>
        <v>9.9900049983337507</v>
      </c>
      <c r="D19" s="2" cm="1">
        <f t="array" ref="D19">RHOGREEK($B19,100,0.01,D$2,0.1)</f>
        <v>19.960039973346216</v>
      </c>
      <c r="E19" s="2" cm="1">
        <f t="array" ref="E19">RHOGREEK($B19,100,0.01,E$2,0.1)</f>
        <v>29.910134854920656</v>
      </c>
      <c r="F19" s="2" cm="1">
        <f t="array" ref="F19">RHOGREEK($B19,100,0.01,F$2,0.1)</f>
        <v>39.840317838234114</v>
      </c>
      <c r="G19" s="2" cm="1">
        <f t="array" ref="G19">RHOGREEK($B19,100,0.01,G$2,0.1)</f>
        <v>49.750583249072633</v>
      </c>
      <c r="H19" s="2" cm="1">
        <f t="array" ref="H19">RHOGREEK($B19,100,0.01,H$2,0.1)</f>
        <v>59.640728082054494</v>
      </c>
      <c r="I19" s="2" cm="1">
        <f t="array" ref="I19">RHOGREEK($B19,100,0.01,I$2,0.1)</f>
        <v>69.510030433566868</v>
      </c>
      <c r="J19" s="2" cm="1">
        <f t="array" ref="J19">RHOGREEK($B19,100,0.01,J$2,0.1)</f>
        <v>79.356962372848685</v>
      </c>
      <c r="K19" s="2" cm="1">
        <f t="array" ref="K19">RHOGREEK($B19,100,0.01,K$2,0.1)</f>
        <v>89.179120674511395</v>
      </c>
      <c r="L19" s="2" cm="1">
        <f t="array" ref="L19">RHOGREEK($B19,100,0.01,L$2,0.1)</f>
        <v>98.973377492216599</v>
      </c>
      <c r="M19" s="2" cm="1">
        <f t="array" ref="M19">RHOGREEK($B19,100,0.01,M$2,0.1)</f>
        <v>108.73614755043158</v>
      </c>
      <c r="N19" s="2" cm="1">
        <f t="array" ref="N19">RHOGREEK($B19,100,0.01,N$2,0.1)</f>
        <v>118.46367048047372</v>
      </c>
      <c r="O19" s="2" cm="1">
        <f t="array" ref="O19">RHOGREEK($B19,100,0.01,O$2,0.1)</f>
        <v>128.15224911917079</v>
      </c>
      <c r="P19" s="2" cm="1">
        <f t="array" ref="P19">RHOGREEK($B19,100,0.01,P$2,0.1)</f>
        <v>137.79842271530339</v>
      </c>
      <c r="Q19" s="2" cm="1">
        <f t="array" ref="Q19">RHOGREEK($B19,100,0.01,Q$2,0.1)</f>
        <v>147.39907659768198</v>
      </c>
      <c r="R19" s="2" cm="1">
        <f t="array" ref="R19">RHOGREEK($B19,100,0.01,R$2,0.1)</f>
        <v>156.95149965222538</v>
      </c>
      <c r="S19" s="2" cm="1">
        <f t="array" ref="S19">RHOGREEK($B19,100,0.01,S$2,0.1)</f>
        <v>166.45340320104805</v>
      </c>
      <c r="T19" s="2" cm="1">
        <f t="array" ref="T19">RHOGREEK($B19,100,0.01,T$2,0.1)</f>
        <v>175.90291358445975</v>
      </c>
      <c r="U19" s="2" cm="1">
        <f t="array" ref="U19">RHOGREEK($B19,100,0.01,U$2,0.1)</f>
        <v>185.29854824722784</v>
      </c>
      <c r="V19" s="2" cm="1">
        <f t="array" ref="V19">RHOGREEK($B19,100,0.01,V$2,0.1)</f>
        <v>194.63918255910062</v>
      </c>
      <c r="W19" s="2" cm="1">
        <f t="array" ref="W19">RHOGREEK($B19,100,0.01,W$2,0.1)</f>
        <v>203.92401240801641</v>
      </c>
      <c r="X19" s="2" cm="1">
        <f t="array" ref="X19">RHOGREEK($B19,100,0.01,X$2,0.1)</f>
        <v>213.15251590366563</v>
      </c>
      <c r="Y19" s="2" cm="1">
        <f t="array" ref="Y19">RHOGREEK($B19,100,0.01,Y$2,0.1)</f>
        <v>222.32441628354246</v>
      </c>
      <c r="Z19" s="2" cm="1">
        <f t="array" ref="Z19">RHOGREEK($B19,100,0.01,Z$2,0.1)</f>
        <v>231.43964723887424</v>
      </c>
      <c r="AA19" s="2" cm="1">
        <f t="array" ref="AA19">RHOGREEK($B19,100,0.01,AA$2,0.1)</f>
        <v>240.49832128467136</v>
      </c>
      <c r="AB19" s="2" cm="1">
        <f t="array" ref="AB19">RHOGREEK($B19,100,0.01,AB$2,0.1)</f>
        <v>249.50070140959323</v>
      </c>
      <c r="AC19" s="2" cm="1">
        <f t="array" ref="AC19">RHOGREEK($B19,100,0.01,AC$2,0.1)</f>
        <v>258.44717599676341</v>
      </c>
      <c r="AD19" s="2" cm="1">
        <f t="array" ref="AD19">RHOGREEK($B19,100,0.01,AD$2,0.1)</f>
        <v>267.33823686086112</v>
      </c>
      <c r="AE19" s="2" cm="1">
        <f t="array" ref="AE19">RHOGREEK($B19,100,0.01,AE$2,0.1)</f>
        <v>276.17446016713512</v>
      </c>
      <c r="AF19" s="2" cm="1">
        <f t="array" ref="AF19">RHOGREEK($B19,100,0.01,AF$2,0.1)</f>
        <v>284.95648996149049</v>
      </c>
      <c r="AG19" s="2" cm="1">
        <f t="array" ref="AG19">RHOGREEK($B19,100,0.01,AG$2,0.1)</f>
        <v>293.68502403165076</v>
      </c>
      <c r="AH19" s="2" cm="1">
        <f t="array" ref="AH19">RHOGREEK($B19,100,0.01,AH$2,0.1)</f>
        <v>302.36080182686925</v>
      </c>
      <c r="AI19" s="2" cm="1">
        <f t="array" ref="AI19">RHOGREEK($B19,100,0.01,AI$2,0.1)</f>
        <v>310.98459418060128</v>
      </c>
      <c r="AJ19" s="2" cm="1">
        <f t="array" ref="AJ19">RHOGREEK($B19,100,0.01,AJ$2,0.1)</f>
        <v>319.55719460228505</v>
      </c>
      <c r="AK19" s="2" cm="1">
        <f t="array" ref="AK19">RHOGREEK($B19,100,0.01,AK$2,0.1)</f>
        <v>328.07941192792595</v>
      </c>
      <c r="AL19" s="2" cm="1">
        <f t="array" ref="AL19">RHOGREEK($B19,100,0.01,AL$2,0.1)</f>
        <v>336.55206414270913</v>
      </c>
      <c r="AM19" s="2" cm="1">
        <f t="array" ref="AM19">RHOGREEK($B19,100,0.01,AM$2,0.1)</f>
        <v>344.97597321128177</v>
      </c>
      <c r="AN19" s="2" cm="1">
        <f t="array" ref="AN19">RHOGREEK($B19,100,0.01,AN$2,0.1)</f>
        <v>353.35196077208514</v>
      </c>
      <c r="AO19" s="2" cm="1">
        <f t="array" ref="AO19">RHOGREEK($B19,100,0.01,AO$2,0.1)</f>
        <v>361.68084457090015</v>
      </c>
      <c r="AP19" s="2" cm="1">
        <f t="array" ref="AP19">RHOGREEK($B19,100,0.01,AP$2,0.1)</f>
        <v>369.9634355255414</v>
      </c>
      <c r="AQ19" s="2" cm="1">
        <f t="array" ref="AQ19">RHOGREEK($B19,100,0.01,AQ$2,0.1)</f>
        <v>378.20053532845185</v>
      </c>
      <c r="AR19" s="2" cm="1">
        <f t="array" ref="AR19">RHOGREEK($B19,100,0.01,AR$2,0.1)</f>
        <v>386.39293450693356</v>
      </c>
      <c r="AS19" s="2" cm="1">
        <f t="array" ref="AS19">RHOGREEK($B19,100,0.01,AS$2,0.1)</f>
        <v>394.54141087206159</v>
      </c>
      <c r="AT19" s="2" cm="1">
        <f t="array" ref="AT19">RHOGREEK($B19,100,0.01,AT$2,0.1)</f>
        <v>402.64672829713663</v>
      </c>
      <c r="AU19" s="2" cm="1">
        <f t="array" ref="AU19">RHOGREEK($B19,100,0.01,AU$2,0.1)</f>
        <v>410.70963577500794</v>
      </c>
      <c r="AV19" s="2" cm="1">
        <f t="array" ref="AV19">RHOGREEK($B19,100,0.01,AV$2,0.1)</f>
        <v>418.73086671090476</v>
      </c>
      <c r="AW19" s="2" cm="1">
        <f t="array" ref="AW19">RHOGREEK($B19,100,0.01,AW$2,0.1)</f>
        <v>426.71113841369765</v>
      </c>
      <c r="AX19" s="2" cm="1">
        <f t="array" ref="AX19">RHOGREEK($B19,100,0.01,AX$2,0.1)</f>
        <v>434.65115175390474</v>
      </c>
      <c r="AY19" s="2" cm="1">
        <f t="array" ref="AY19">RHOGREEK($B19,100,0.01,AY$2,0.1)</f>
        <v>442.55159096139226</v>
      </c>
      <c r="AZ19" s="2" cm="1">
        <f t="array" ref="AZ19">RHOGREEK($B19,100,0.01,AZ$2,0.1)</f>
        <v>450.41312353967965</v>
      </c>
    </row>
    <row r="20" spans="1:52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</row>
    <row r="21" spans="1:52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</row>
    <row r="22" spans="1:52" x14ac:dyDescent="0.3">
      <c r="A22" s="2" t="s">
        <v>14</v>
      </c>
      <c r="B22" s="2"/>
      <c r="C22" s="2" t="s">
        <v>12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</row>
    <row r="23" spans="1:52" x14ac:dyDescent="0.3">
      <c r="A23" s="2"/>
      <c r="B23" s="2"/>
      <c r="C23" s="2">
        <v>0.1</v>
      </c>
      <c r="D23" s="2">
        <v>0.2</v>
      </c>
      <c r="E23" s="2">
        <v>0.3</v>
      </c>
      <c r="F23" s="2">
        <v>0.4</v>
      </c>
      <c r="G23" s="2">
        <v>0.5</v>
      </c>
      <c r="H23" s="2">
        <v>0.6</v>
      </c>
      <c r="I23" s="2">
        <v>0.7</v>
      </c>
      <c r="J23" s="2">
        <v>0.8</v>
      </c>
      <c r="K23" s="2">
        <v>0.9</v>
      </c>
      <c r="L23" s="2">
        <v>1</v>
      </c>
      <c r="M23" s="2">
        <v>1.1000000000000001</v>
      </c>
      <c r="N23" s="2">
        <v>1.2</v>
      </c>
      <c r="O23" s="2">
        <v>1.3</v>
      </c>
      <c r="P23" s="2">
        <v>1.4</v>
      </c>
      <c r="Q23" s="2">
        <v>1.5</v>
      </c>
      <c r="R23" s="2">
        <v>1.6</v>
      </c>
      <c r="S23" s="2">
        <v>1.7</v>
      </c>
      <c r="T23" s="2">
        <v>1.8</v>
      </c>
      <c r="U23" s="2">
        <v>1.9</v>
      </c>
      <c r="V23" s="2">
        <v>2</v>
      </c>
      <c r="W23" s="2">
        <v>2.1</v>
      </c>
      <c r="X23" s="2">
        <v>2.2000000000000002</v>
      </c>
      <c r="Y23" s="2">
        <v>2.2999999999999998</v>
      </c>
      <c r="Z23" s="2">
        <v>2.4</v>
      </c>
      <c r="AA23" s="2">
        <v>2.5</v>
      </c>
      <c r="AB23" s="2">
        <v>2.6</v>
      </c>
      <c r="AC23" s="2">
        <v>2.7</v>
      </c>
      <c r="AD23" s="2">
        <v>2.8</v>
      </c>
      <c r="AE23" s="2">
        <v>2.9</v>
      </c>
      <c r="AF23" s="2">
        <v>3</v>
      </c>
      <c r="AG23" s="2">
        <v>3.1</v>
      </c>
      <c r="AH23" s="2">
        <v>3.2</v>
      </c>
      <c r="AI23" s="2">
        <v>3.3</v>
      </c>
      <c r="AJ23" s="2">
        <v>3.4</v>
      </c>
      <c r="AK23" s="2">
        <v>3.5</v>
      </c>
      <c r="AL23" s="2">
        <v>3.6</v>
      </c>
      <c r="AM23" s="2">
        <v>3.7</v>
      </c>
      <c r="AN23" s="2">
        <v>3.8</v>
      </c>
      <c r="AO23" s="2">
        <v>3.9</v>
      </c>
      <c r="AP23" s="2">
        <v>4</v>
      </c>
      <c r="AQ23" s="2">
        <v>4.0999999999999996</v>
      </c>
      <c r="AR23" s="2">
        <v>4.2</v>
      </c>
      <c r="AS23" s="2">
        <v>4.3</v>
      </c>
      <c r="AT23" s="2">
        <v>4.4000000000000004</v>
      </c>
      <c r="AU23" s="2">
        <v>4.5</v>
      </c>
      <c r="AV23" s="2">
        <v>4.5999999999999996</v>
      </c>
      <c r="AW23" s="2">
        <v>4.7</v>
      </c>
      <c r="AX23" s="2">
        <v>4.8</v>
      </c>
      <c r="AY23" s="2">
        <v>4.9000000000000004</v>
      </c>
      <c r="AZ23" s="2">
        <v>5</v>
      </c>
    </row>
    <row r="24" spans="1:52" x14ac:dyDescent="0.3">
      <c r="A24" s="2" t="s">
        <v>11</v>
      </c>
      <c r="B24" s="2">
        <v>60</v>
      </c>
      <c r="C24" s="2" cm="1">
        <f t="array" ref="C24">RHOGREEK($B24,100,0.01,C$23,0.2)</f>
        <v>2.9155373317769574E-15</v>
      </c>
      <c r="D24" s="2" cm="1">
        <f t="array" ref="D24">RHOGREEK($B24,100,0.01,D$23,0.2)</f>
        <v>9.814499677392361E-8</v>
      </c>
      <c r="E24" s="2" cm="1">
        <f t="array" ref="E24">RHOGREEK($B24,100,0.01,E$23,0.2)</f>
        <v>4.0745379654173805E-5</v>
      </c>
      <c r="F24" s="2" cm="1">
        <f t="array" ref="F24">RHOGREEK($B24,100,0.01,F$23,0.2)</f>
        <v>9.3629247971002433E-4</v>
      </c>
      <c r="G24" s="2" cm="1">
        <f t="array" ref="G24">RHOGREEK($B24,100,0.01,G$23,0.2)</f>
        <v>6.5886799235162358E-3</v>
      </c>
      <c r="H24" s="2" cm="1">
        <f t="array" ref="H24">RHOGREEK($B24,100,0.01,H$23,0.2)</f>
        <v>2.5336754690401933E-2</v>
      </c>
      <c r="I24" s="2" cm="1">
        <f t="array" ref="I24">RHOGREEK($B24,100,0.01,I$23,0.2)</f>
        <v>6.8496313647903914E-2</v>
      </c>
      <c r="J24" s="2" cm="1">
        <f t="array" ref="J24">RHOGREEK($B24,100,0.01,J$23,0.2)</f>
        <v>0.14792299832123143</v>
      </c>
      <c r="K24" s="2" cm="1">
        <f t="array" ref="K24">RHOGREEK($B24,100,0.01,K$23,0.2)</f>
        <v>0.27423139001812402</v>
      </c>
      <c r="L24" s="2" cm="1">
        <f t="array" ref="L24">RHOGREEK($B24,100,0.01,L$23,0.2)</f>
        <v>0.45595912570109315</v>
      </c>
      <c r="M24" s="2" cm="1">
        <f t="array" ref="M24">RHOGREEK($B24,100,0.01,M$23,0.2)</f>
        <v>0.69939887226545272</v>
      </c>
      <c r="N24" s="2" cm="1">
        <f t="array" ref="N24">RHOGREEK($B24,100,0.01,N$23,0.2)</f>
        <v>1.0087824315352159</v>
      </c>
      <c r="O24" s="2" cm="1">
        <f t="array" ref="O24">RHOGREEK($B24,100,0.01,O$23,0.2)</f>
        <v>1.3866044634997214</v>
      </c>
      <c r="P24" s="2" cm="1">
        <f t="array" ref="P24">RHOGREEK($B24,100,0.01,P$23,0.2)</f>
        <v>1.8339701091103287</v>
      </c>
      <c r="Q24" s="2" cm="1">
        <f t="array" ref="Q24">RHOGREEK($B24,100,0.01,Q$23,0.2)</f>
        <v>2.3509130878638138</v>
      </c>
      <c r="R24" s="2" cm="1">
        <f t="array" ref="R24">RHOGREEK($B24,100,0.01,R$23,0.2)</f>
        <v>2.9366650634722555</v>
      </c>
      <c r="S24" s="2" cm="1">
        <f t="array" ref="S24">RHOGREEK($B24,100,0.01,S$23,0.2)</f>
        <v>3.5898738827278036</v>
      </c>
      <c r="T24" s="2" cm="1">
        <f t="array" ref="T24">RHOGREEK($B24,100,0.01,T$23,0.2)</f>
        <v>4.3087755407227988</v>
      </c>
      <c r="U24" s="2" cm="1">
        <f t="array" ref="U24">RHOGREEK($B24,100,0.01,U$23,0.2)</f>
        <v>5.0913271269724083</v>
      </c>
      <c r="V24" s="2" cm="1">
        <f t="array" ref="V24">RHOGREEK($B24,100,0.01,V$23,0.2)</f>
        <v>5.9353081456012875</v>
      </c>
      <c r="W24" s="2" cm="1">
        <f t="array" ref="W24">RHOGREEK($B24,100,0.01,W$23,0.2)</f>
        <v>6.8383968104267918</v>
      </c>
      <c r="X24" s="2" cm="1">
        <f t="array" ref="X24">RHOGREEK($B24,100,0.01,X$23,0.2)</f>
        <v>7.7982268414141789</v>
      </c>
      <c r="Y24" s="2" cm="1">
        <f t="array" ref="Y24">RHOGREEK($B24,100,0.01,Y$23,0.2)</f>
        <v>8.812429226081429</v>
      </c>
      <c r="Z24" s="2" cm="1">
        <f t="array" ref="Z24">RHOGREEK($B24,100,0.01,Z$23,0.2)</f>
        <v>9.8786624738498556</v>
      </c>
      <c r="AA24" s="2" cm="1">
        <f t="array" ref="AA24">RHOGREEK($B24,100,0.01,AA$23,0.2)</f>
        <v>10.994634114355723</v>
      </c>
      <c r="AB24" s="2" cm="1">
        <f t="array" ref="AB24">RHOGREEK($B24,100,0.01,AB$23,0.2)</f>
        <v>12.158115566326206</v>
      </c>
      <c r="AC24" s="2" cm="1">
        <f t="array" ref="AC24">RHOGREEK($B24,100,0.01,AC$23,0.2)</f>
        <v>13.366952011649122</v>
      </c>
      <c r="AD24" s="2" cm="1">
        <f t="array" ref="AD24">RHOGREEK($B24,100,0.01,AD$23,0.2)</f>
        <v>14.619068526368022</v>
      </c>
      <c r="AE24" s="2" cm="1">
        <f t="array" ref="AE24">RHOGREEK($B24,100,0.01,AE$23,0.2)</f>
        <v>15.912473424609976</v>
      </c>
      <c r="AF24" s="2" cm="1">
        <f t="array" ref="AF24">RHOGREEK($B24,100,0.01,AF$23,0.2)</f>
        <v>17.245259544138371</v>
      </c>
      <c r="AG24" s="2" cm="1">
        <f t="array" ref="AG24">RHOGREEK($B24,100,0.01,AG$23,0.2)</f>
        <v>18.615604027989718</v>
      </c>
      <c r="AH24" s="2" cm="1">
        <f t="array" ref="AH24">RHOGREEK($B24,100,0.01,AH$23,0.2)</f>
        <v>20.021767023319956</v>
      </c>
      <c r="AI24" s="2" cm="1">
        <f t="array" ref="AI24">RHOGREEK($B24,100,0.01,AI$23,0.2)</f>
        <v>21.46208961663482</v>
      </c>
      <c r="AJ24" s="2" cm="1">
        <f t="array" ref="AJ24">RHOGREEK($B24,100,0.01,AJ$23,0.2)</f>
        <v>22.934991246651169</v>
      </c>
      <c r="AK24" s="2" cm="1">
        <f t="array" ref="AK24">RHOGREEK($B24,100,0.01,AK$23,0.2)</f>
        <v>24.438966776477276</v>
      </c>
      <c r="AL24" s="2" cm="1">
        <f t="array" ref="AL24">RHOGREEK($B24,100,0.01,AL$23,0.2)</f>
        <v>25.972583361284826</v>
      </c>
      <c r="AM24" s="2" cm="1">
        <f t="array" ref="AM24">RHOGREEK($B24,100,0.01,AM$23,0.2)</f>
        <v>27.53447721286674</v>
      </c>
      <c r="AN24" s="2" cm="1">
        <f t="array" ref="AN24">RHOGREEK($B24,100,0.01,AN$23,0.2)</f>
        <v>29.123350335915344</v>
      </c>
      <c r="AO24" s="2" cm="1">
        <f t="array" ref="AO24">RHOGREEK($B24,100,0.01,AO$23,0.2)</f>
        <v>30.73796729058547</v>
      </c>
      <c r="AP24" s="2" cm="1">
        <f t="array" ref="AP24">RHOGREEK($B24,100,0.01,AP$23,0.2)</f>
        <v>32.377152020462432</v>
      </c>
      <c r="AQ24" s="2" cm="1">
        <f t="array" ref="AQ24">RHOGREEK($B24,100,0.01,AQ$23,0.2)</f>
        <v>34.039784773308142</v>
      </c>
      <c r="AR24" s="2" cm="1">
        <f t="array" ref="AR24">RHOGREEK($B24,100,0.01,AR$23,0.2)</f>
        <v>35.724799133053466</v>
      </c>
      <c r="AS24" s="2" cm="1">
        <f t="array" ref="AS24">RHOGREEK($B24,100,0.01,AS$23,0.2)</f>
        <v>37.431179174779366</v>
      </c>
      <c r="AT24" s="2" cm="1">
        <f t="array" ref="AT24">RHOGREEK($B24,100,0.01,AT$23,0.2)</f>
        <v>39.157956749381754</v>
      </c>
      <c r="AU24" s="2" cm="1">
        <f t="array" ref="AU24">RHOGREEK($B24,100,0.01,AU$23,0.2)</f>
        <v>40.904208900851842</v>
      </c>
      <c r="AV24" s="2" cm="1">
        <f t="array" ref="AV24">RHOGREEK($B24,100,0.01,AV$23,0.2)</f>
        <v>42.669055416331112</v>
      </c>
      <c r="AW24" s="2" cm="1">
        <f t="array" ref="AW24">RHOGREEK($B24,100,0.01,AW$23,0.2)</f>
        <v>44.451656507082653</v>
      </c>
      <c r="AX24" s="2" cm="1">
        <f t="array" ref="AX24">RHOGREEK($B24,100,0.01,AX$23,0.2)</f>
        <v>46.251210617084467</v>
      </c>
      <c r="AY24" s="2" cm="1">
        <f t="array" ref="AY24">RHOGREEK($B24,100,0.01,AY$23,0.2)</f>
        <v>48.066952354956179</v>
      </c>
      <c r="AZ24" s="2" cm="1">
        <f t="array" ref="AZ24">RHOGREEK($B24,100,0.01,AZ$23,0.2)</f>
        <v>49.898150544272617</v>
      </c>
    </row>
    <row r="25" spans="1:52" x14ac:dyDescent="0.3">
      <c r="A25" s="2"/>
      <c r="B25" s="2">
        <v>65</v>
      </c>
      <c r="C25" s="2" cm="1">
        <f t="array" ref="C25">RHOGREEK($B25,100,0.01,C$23,0.2)</f>
        <v>4.3284662987202277E-11</v>
      </c>
      <c r="D25" s="2" cm="1">
        <f t="array" ref="D25">RHOGREEK($B25,100,0.01,D$23,0.2)</f>
        <v>1.3045620291245923E-5</v>
      </c>
      <c r="E25" s="2" cm="1">
        <f t="array" ref="E25">RHOGREEK($B25,100,0.01,E$23,0.2)</f>
        <v>1.1214508890306956E-3</v>
      </c>
      <c r="F25" s="2" cm="1">
        <f t="array" ref="F25">RHOGREEK($B25,100,0.01,F$23,0.2)</f>
        <v>1.17056753256443E-2</v>
      </c>
      <c r="G25" s="2" cm="1">
        <f t="array" ref="G25">RHOGREEK($B25,100,0.01,G$23,0.2)</f>
        <v>5.124182147004356E-2</v>
      </c>
      <c r="H25" s="2" cm="1">
        <f t="array" ref="H25">RHOGREEK($B25,100,0.01,H$23,0.2)</f>
        <v>0.1434674536858371</v>
      </c>
      <c r="I25" s="2" cm="1">
        <f t="array" ref="I25">RHOGREEK($B25,100,0.01,I$23,0.2)</f>
        <v>0.30898154554743779</v>
      </c>
      <c r="J25" s="2" cm="1">
        <f t="array" ref="J25">RHOGREEK($B25,100,0.01,J$23,0.2)</f>
        <v>0.56236751489784886</v>
      </c>
      <c r="K25" s="2" cm="1">
        <f t="array" ref="K25">RHOGREEK($B25,100,0.01,K$23,0.2)</f>
        <v>0.9123152567874232</v>
      </c>
      <c r="L25" s="2" cm="1">
        <f t="array" ref="L25">RHOGREEK($B25,100,0.01,L$23,0.2)</f>
        <v>1.3628210187071792</v>
      </c>
      <c r="M25" s="2" cm="1">
        <f t="array" ref="M25">RHOGREEK($B25,100,0.01,M$23,0.2)</f>
        <v>1.9145027101937826</v>
      </c>
      <c r="N25" s="2" cm="1">
        <f t="array" ref="N25">RHOGREEK($B25,100,0.01,N$23,0.2)</f>
        <v>2.5656986373751431</v>
      </c>
      <c r="O25" s="2" cm="1">
        <f t="array" ref="O25">RHOGREEK($B25,100,0.01,O$23,0.2)</f>
        <v>3.3132920170041014</v>
      </c>
      <c r="P25" s="2" cm="1">
        <f t="array" ref="P25">RHOGREEK($B25,100,0.01,P$23,0.2)</f>
        <v>4.1532969241285462</v>
      </c>
      <c r="Q25" s="2" cm="1">
        <f t="array" ref="Q25">RHOGREEK($B25,100,0.01,Q$23,0.2)</f>
        <v>5.0812612347879424</v>
      </c>
      <c r="R25" s="2" cm="1">
        <f t="array" ref="R25">RHOGREEK($B25,100,0.01,R$23,0.2)</f>
        <v>6.092537079807343</v>
      </c>
      <c r="S25" s="2" cm="1">
        <f t="array" ref="S25">RHOGREEK($B25,100,0.01,S$23,0.2)</f>
        <v>7.1824582640566783</v>
      </c>
      <c r="T25" s="2" cm="1">
        <f t="array" ref="T25">RHOGREEK($B25,100,0.01,T$23,0.2)</f>
        <v>8.3464535103583923</v>
      </c>
      <c r="U25" s="2" cm="1">
        <f t="array" ref="U25">RHOGREEK($B25,100,0.01,U$23,0.2)</f>
        <v>9.5801159590094702</v>
      </c>
      <c r="V25" s="2" cm="1">
        <f t="array" ref="V25">RHOGREEK($B25,100,0.01,V$23,0.2)</f>
        <v>10.87924313868019</v>
      </c>
      <c r="W25" s="2" cm="1">
        <f t="array" ref="W25">RHOGREEK($B25,100,0.01,W$23,0.2)</f>
        <v>12.239857206089146</v>
      </c>
      <c r="X25" s="2" cm="1">
        <f t="array" ref="X25">RHOGREEK($B25,100,0.01,X$23,0.2)</f>
        <v>13.658212169295858</v>
      </c>
      <c r="Y25" s="2" cm="1">
        <f t="array" ref="Y25">RHOGREEK($B25,100,0.01,Y$23,0.2)</f>
        <v>15.130792679364992</v>
      </c>
      <c r="Z25" s="2" cm="1">
        <f t="array" ref="Z25">RHOGREEK($B25,100,0.01,Z$23,0.2)</f>
        <v>16.654307509990229</v>
      </c>
      <c r="AA25" s="2" cm="1">
        <f t="array" ref="AA25">RHOGREEK($B25,100,0.01,AA$23,0.2)</f>
        <v>18.225679838771018</v>
      </c>
      <c r="AB25" s="2" cm="1">
        <f t="array" ref="AB25">RHOGREEK($B25,100,0.01,AB$23,0.2)</f>
        <v>19.842035753641614</v>
      </c>
      <c r="AC25" s="2" cm="1">
        <f t="array" ref="AC25">RHOGREEK($B25,100,0.01,AC$23,0.2)</f>
        <v>21.500691934441555</v>
      </c>
      <c r="AD25" s="2" cm="1">
        <f t="array" ref="AD25">RHOGREEK($B25,100,0.01,AD$23,0.2)</f>
        <v>23.199143134884423</v>
      </c>
      <c r="AE25" s="2" cm="1">
        <f t="array" ref="AE25">RHOGREEK($B25,100,0.01,AE$23,0.2)</f>
        <v>24.935049867737622</v>
      </c>
      <c r="AF25" s="2" cm="1">
        <f t="array" ref="AF25">RHOGREEK($B25,100,0.01,AF$23,0.2)</f>
        <v>26.706226544028677</v>
      </c>
      <c r="AG25" s="2" cm="1">
        <f t="array" ref="AG25">RHOGREEK($B25,100,0.01,AG$23,0.2)</f>
        <v>28.51063021369319</v>
      </c>
      <c r="AH25" s="2" cm="1">
        <f t="array" ref="AH25">RHOGREEK($B25,100,0.01,AH$23,0.2)</f>
        <v>30.346349985246217</v>
      </c>
      <c r="AI25" s="2" cm="1">
        <f t="array" ref="AI25">RHOGREEK($B25,100,0.01,AI$23,0.2)</f>
        <v>32.211597155421607</v>
      </c>
      <c r="AJ25" s="2" cm="1">
        <f t="array" ref="AJ25">RHOGREEK($B25,100,0.01,AJ$23,0.2)</f>
        <v>34.104696049112768</v>
      </c>
      <c r="AK25" s="2" cm="1">
        <f t="array" ref="AK25">RHOGREEK($B25,100,0.01,AK$23,0.2)</f>
        <v>36.024075550383714</v>
      </c>
      <c r="AL25" s="2" cm="1">
        <f t="array" ref="AL25">RHOGREEK($B25,100,0.01,AL$23,0.2)</f>
        <v>37.968261293348284</v>
      </c>
      <c r="AM25" s="2" cm="1">
        <f t="array" ref="AM25">RHOGREEK($B25,100,0.01,AM$23,0.2)</f>
        <v>39.935868474924106</v>
      </c>
      <c r="AN25" s="2" cm="1">
        <f t="array" ref="AN25">RHOGREEK($B25,100,0.01,AN$23,0.2)</f>
        <v>41.925595248187328</v>
      </c>
      <c r="AO25" s="2" cm="1">
        <f t="array" ref="AO25">RHOGREEK($B25,100,0.01,AO$23,0.2)</f>
        <v>43.936216654106509</v>
      </c>
      <c r="AP25" s="2" cm="1">
        <f t="array" ref="AP25">RHOGREEK($B25,100,0.01,AP$23,0.2)</f>
        <v>45.966579050016698</v>
      </c>
      <c r="AQ25" s="2" cm="1">
        <f t="array" ref="AQ25">RHOGREEK($B25,100,0.01,AQ$23,0.2)</f>
        <v>48.015594994736851</v>
      </c>
      <c r="AR25" s="2" cm="1">
        <f t="array" ref="AR25">RHOGREEK($B25,100,0.01,AR$23,0.2)</f>
        <v>50.082238552351534</v>
      </c>
      <c r="AS25" s="2" cm="1">
        <f t="array" ref="AS25">RHOGREEK($B25,100,0.01,AS$23,0.2)</f>
        <v>52.165540979102438</v>
      </c>
      <c r="AT25" s="2" cm="1">
        <f t="array" ref="AT25">RHOGREEK($B25,100,0.01,AT$23,0.2)</f>
        <v>54.26458676039227</v>
      </c>
      <c r="AU25" s="2" cm="1">
        <f t="array" ref="AU25">RHOGREEK($B25,100,0.01,AU$23,0.2)</f>
        <v>56.378509967464879</v>
      </c>
      <c r="AV25" s="2" cm="1">
        <f t="array" ref="AV25">RHOGREEK($B25,100,0.01,AV$23,0.2)</f>
        <v>58.50649090582538</v>
      </c>
      <c r="AW25" s="2" cm="1">
        <f t="array" ref="AW25">RHOGREEK($B25,100,0.01,AW$23,0.2)</f>
        <v>60.647753029843891</v>
      </c>
      <c r="AX25" s="2" cm="1">
        <f t="array" ref="AX25">RHOGREEK($B25,100,0.01,AX$23,0.2)</f>
        <v>62.801560100228379</v>
      </c>
      <c r="AY25" s="2" cm="1">
        <f t="array" ref="AY25">RHOGREEK($B25,100,0.01,AY$23,0.2)</f>
        <v>64.967213563133981</v>
      </c>
      <c r="AZ25" s="2" cm="1">
        <f t="array" ref="AZ25">RHOGREEK($B25,100,0.01,AZ$23,0.2)</f>
        <v>67.144050131601475</v>
      </c>
    </row>
    <row r="26" spans="1:52" x14ac:dyDescent="0.3">
      <c r="A26" s="2"/>
      <c r="B26" s="2">
        <v>70</v>
      </c>
      <c r="C26" s="2" cm="1">
        <f t="array" ref="C26">RHOGREEK($B26,100,0.01,C$23,0.2)</f>
        <v>7.7692467200589768E-8</v>
      </c>
      <c r="D26" s="2" cm="1">
        <f t="array" ref="D26">RHOGREEK($B26,100,0.01,D$23,0.2)</f>
        <v>6.0569776566511083E-4</v>
      </c>
      <c r="E26" s="2" cm="1">
        <f t="array" ref="E26">RHOGREEK($B26,100,0.01,E$23,0.2)</f>
        <v>1.534011080390588E-2</v>
      </c>
      <c r="F26" s="2" cm="1">
        <f t="array" ref="F26">RHOGREEK($B26,100,0.01,F$23,0.2)</f>
        <v>8.6710702538517662E-2</v>
      </c>
      <c r="G26" s="2" cm="1">
        <f t="array" ref="G26">RHOGREEK($B26,100,0.01,G$23,0.2)</f>
        <v>0.26230859396038003</v>
      </c>
      <c r="H26" s="2" cm="1">
        <f t="array" ref="H26">RHOGREEK($B26,100,0.01,H$23,0.2)</f>
        <v>0.5734265004042175</v>
      </c>
      <c r="I26" s="2" cm="1">
        <f t="array" ref="I26">RHOGREEK($B26,100,0.01,I$23,0.2)</f>
        <v>1.0340638105047826</v>
      </c>
      <c r="J26" s="2" cm="1">
        <f t="array" ref="J26">RHOGREEK($B26,100,0.01,J$23,0.2)</f>
        <v>1.646394957929183</v>
      </c>
      <c r="K26" s="2" cm="1">
        <f t="array" ref="K26">RHOGREEK($B26,100,0.01,K$23,0.2)</f>
        <v>2.405785146566469</v>
      </c>
      <c r="L26" s="2" cm="1">
        <f t="array" ref="L26">RHOGREEK($B26,100,0.01,L$23,0.2)</f>
        <v>3.304136103382104</v>
      </c>
      <c r="M26" s="2" cm="1">
        <f t="array" ref="M26">RHOGREEK($B26,100,0.01,M$23,0.2)</f>
        <v>4.3318818957364229</v>
      </c>
      <c r="N26" s="2" cm="1">
        <f t="array" ref="N26">RHOGREEK($B26,100,0.01,N$23,0.2)</f>
        <v>5.4791111632357179</v>
      </c>
      <c r="O26" s="2" cm="1">
        <f t="array" ref="O26">RHOGREEK($B26,100,0.01,O$23,0.2)</f>
        <v>6.7361665658423568</v>
      </c>
      <c r="P26" s="2" cm="1">
        <f t="array" ref="P26">RHOGREEK($B26,100,0.01,P$23,0.2)</f>
        <v>8.0939423223301432</v>
      </c>
      <c r="Q26" s="2" cm="1">
        <f t="array" ref="Q26">RHOGREEK($B26,100,0.01,Q$23,0.2)</f>
        <v>9.5440112877234498</v>
      </c>
      <c r="R26" s="2" cm="1">
        <f t="array" ref="R26">RHOGREEK($B26,100,0.01,R$23,0.2)</f>
        <v>11.07865801382964</v>
      </c>
      <c r="S26" s="2" cm="1">
        <f t="array" ref="S26">RHOGREEK($B26,100,0.01,S$23,0.2)</f>
        <v>12.690861768237383</v>
      </c>
      <c r="T26" s="2" cm="1">
        <f t="array" ref="T26">RHOGREEK($B26,100,0.01,T$23,0.2)</f>
        <v>14.374254610088256</v>
      </c>
      <c r="U26" s="2" cm="1">
        <f t="array" ref="U26">RHOGREEK($B26,100,0.01,U$23,0.2)</f>
        <v>16.123068697306845</v>
      </c>
      <c r="V26" s="2" cm="1">
        <f t="array" ref="V26">RHOGREEK($B26,100,0.01,V$23,0.2)</f>
        <v>17.932080685197072</v>
      </c>
      <c r="W26" s="2" cm="1">
        <f t="array" ref="W26">RHOGREEK($B26,100,0.01,W$23,0.2)</f>
        <v>19.796557429768221</v>
      </c>
      <c r="X26" s="2" cm="1">
        <f t="array" ref="X26">RHOGREEK($B26,100,0.01,X$23,0.2)</f>
        <v>21.71220511144352</v>
      </c>
      <c r="Y26" s="2" cm="1">
        <f t="array" ref="Y26">RHOGREEK($B26,100,0.01,Y$23,0.2)</f>
        <v>23.675122699219465</v>
      </c>
      <c r="Z26" s="2" cm="1">
        <f t="array" ref="Z26">RHOGREEK($B26,100,0.01,Z$23,0.2)</f>
        <v>25.681760006467449</v>
      </c>
      <c r="AA26" s="2" cm="1">
        <f t="array" ref="AA26">RHOGREEK($B26,100,0.01,AA$23,0.2)</f>
        <v>27.728880228186494</v>
      </c>
      <c r="AB26" s="2" cm="1">
        <f t="array" ref="AB26">RHOGREEK($B26,100,0.01,AB$23,0.2)</f>
        <v>29.813526666920975</v>
      </c>
      <c r="AC26" s="2" cm="1">
        <f t="array" ref="AC26">RHOGREEK($B26,100,0.01,AC$23,0.2)</f>
        <v>31.932993274853292</v>
      </c>
      <c r="AD26" s="2" cm="1">
        <f t="array" ref="AD26">RHOGREEK($B26,100,0.01,AD$23,0.2)</f>
        <v>34.084798617924264</v>
      </c>
      <c r="AE26" s="2" cm="1">
        <f t="array" ref="AE26">RHOGREEK($B26,100,0.01,AE$23,0.2)</f>
        <v>36.266662877750207</v>
      </c>
      <c r="AF26" s="2" cm="1">
        <f t="array" ref="AF26">RHOGREEK($B26,100,0.01,AF$23,0.2)</f>
        <v>38.476487533043752</v>
      </c>
      <c r="AG26" s="2" cm="1">
        <f t="array" ref="AG26">RHOGREEK($B26,100,0.01,AG$23,0.2)</f>
        <v>40.712337395186672</v>
      </c>
      <c r="AH26" s="2" cm="1">
        <f t="array" ref="AH26">RHOGREEK($B26,100,0.01,AH$23,0.2)</f>
        <v>42.972424707413914</v>
      </c>
      <c r="AI26" s="2" cm="1">
        <f t="array" ref="AI26">RHOGREEK($B26,100,0.01,AI$23,0.2)</f>
        <v>45.255095050950594</v>
      </c>
      <c r="AJ26" s="2" cm="1">
        <f t="array" ref="AJ26">RHOGREEK($B26,100,0.01,AJ$23,0.2)</f>
        <v>47.558814832967052</v>
      </c>
      <c r="AK26" s="2" cm="1">
        <f t="array" ref="AK26">RHOGREEK($B26,100,0.01,AK$23,0.2)</f>
        <v>49.882160159760595</v>
      </c>
      <c r="AL26" s="2" cm="1">
        <f t="array" ref="AL26">RHOGREEK($B26,100,0.01,AL$23,0.2)</f>
        <v>52.223806923973669</v>
      </c>
      <c r="AM26" s="2" cm="1">
        <f t="array" ref="AM26">RHOGREEK($B26,100,0.01,AM$23,0.2)</f>
        <v>54.582521957005312</v>
      </c>
      <c r="AN26" s="2" cm="1">
        <f t="array" ref="AN26">RHOGREEK($B26,100,0.01,AN$23,0.2)</f>
        <v>56.957155117287257</v>
      </c>
      <c r="AO26" s="2" cm="1">
        <f t="array" ref="AO26">RHOGREEK($B26,100,0.01,AO$23,0.2)</f>
        <v>59.346632202049058</v>
      </c>
      <c r="AP26" s="2" cm="1">
        <f t="array" ref="AP26">RHOGREEK($B26,100,0.01,AP$23,0.2)</f>
        <v>61.749948584880109</v>
      </c>
      <c r="AQ26" s="2" cm="1">
        <f t="array" ref="AQ26">RHOGREEK($B26,100,0.01,AQ$23,0.2)</f>
        <v>64.166163494086987</v>
      </c>
      <c r="AR26" s="2" cm="1">
        <f t="array" ref="AR26">RHOGREEK($B26,100,0.01,AR$23,0.2)</f>
        <v>66.594394857805327</v>
      </c>
      <c r="AS26" s="2" cm="1">
        <f t="array" ref="AS26">RHOGREEK($B26,100,0.01,AS$23,0.2)</f>
        <v>69.033814651285141</v>
      </c>
      <c r="AT26" s="2" cm="1">
        <f t="array" ref="AT26">RHOGREEK($B26,100,0.01,AT$23,0.2)</f>
        <v>71.483644689938984</v>
      </c>
      <c r="AU26" s="2" cm="1">
        <f t="array" ref="AU26">RHOGREEK($B26,100,0.01,AU$23,0.2)</f>
        <v>73.943152818799888</v>
      </c>
      <c r="AV26" s="2" cm="1">
        <f t="array" ref="AV26">RHOGREEK($B26,100,0.01,AV$23,0.2)</f>
        <v>76.411649455140548</v>
      </c>
      <c r="AW26" s="2" cm="1">
        <f t="array" ref="AW26">RHOGREEK($B26,100,0.01,AW$23,0.2)</f>
        <v>78.888484446288842</v>
      </c>
      <c r="AX26" s="2" cm="1">
        <f t="array" ref="AX26">RHOGREEK($B26,100,0.01,AX$23,0.2)</f>
        <v>81.373044209257458</v>
      </c>
      <c r="AY26" s="2" cm="1">
        <f t="array" ref="AY26">RHOGREEK($B26,100,0.01,AY$23,0.2)</f>
        <v>83.864749122779898</v>
      </c>
      <c r="AZ26" s="2" cm="1">
        <f t="array" ref="AZ26">RHOGREEK($B26,100,0.01,AZ$23,0.2)</f>
        <v>86.363051145805372</v>
      </c>
    </row>
    <row r="27" spans="1:52" x14ac:dyDescent="0.3">
      <c r="A27" s="2"/>
      <c r="B27" s="2">
        <v>75</v>
      </c>
      <c r="C27" s="2" cm="1">
        <f t="array" ref="C27">RHOGREEK($B27,100,0.01,C$23,0.2)</f>
        <v>2.5013539023405381E-5</v>
      </c>
      <c r="D27" s="2" cm="1">
        <f t="array" ref="D27">RHOGREEK($B27,100,0.01,D$23,0.2)</f>
        <v>1.1981739309242231E-2</v>
      </c>
      <c r="E27" s="2" cm="1">
        <f t="array" ref="E27">RHOGREEK($B27,100,0.01,E$23,0.2)</f>
        <v>0.11911631216126903</v>
      </c>
      <c r="F27" s="2" cm="1">
        <f t="array" ref="F27">RHOGREEK($B27,100,0.01,F$23,0.2)</f>
        <v>0.42058365657656555</v>
      </c>
      <c r="G27" s="2" cm="1">
        <f t="array" ref="G27">RHOGREEK($B27,100,0.01,G$23,0.2)</f>
        <v>0.95750502791312686</v>
      </c>
      <c r="H27" s="2" cm="1">
        <f t="array" ref="H27">RHOGREEK($B27,100,0.01,H$23,0.2)</f>
        <v>1.7295450873604499</v>
      </c>
      <c r="I27" s="2" cm="1">
        <f t="array" ref="I27">RHOGREEK($B27,100,0.01,I$23,0.2)</f>
        <v>2.7188766452768527</v>
      </c>
      <c r="J27" s="2" cm="1">
        <f t="array" ref="J27">RHOGREEK($B27,100,0.01,J$23,0.2)</f>
        <v>3.9025965710024675</v>
      </c>
      <c r="K27" s="2" cm="1">
        <f t="array" ref="K27">RHOGREEK($B27,100,0.01,K$23,0.2)</f>
        <v>5.2579361449743303</v>
      </c>
      <c r="L27" s="2" cm="1">
        <f t="array" ref="L27">RHOGREEK($B27,100,0.01,L$23,0.2)</f>
        <v>6.7641543932963408</v>
      </c>
      <c r="M27" s="2" cm="1">
        <f t="array" ref="M27">RHOGREEK($B27,100,0.01,M$23,0.2)</f>
        <v>8.4030308717272728</v>
      </c>
      <c r="N27" s="2" cm="1">
        <f t="array" ref="N27">RHOGREEK($B27,100,0.01,N$23,0.2)</f>
        <v>10.15880318467277</v>
      </c>
      <c r="O27" s="2" cm="1">
        <f t="array" ref="O27">RHOGREEK($B27,100,0.01,O$23,0.2)</f>
        <v>12.017909874322465</v>
      </c>
      <c r="P27" s="2" cm="1">
        <f t="array" ref="P27">RHOGREEK($B27,100,0.01,P$23,0.2)</f>
        <v>13.968688572840152</v>
      </c>
      <c r="Q27" s="2" cm="1">
        <f t="array" ref="Q27">RHOGREEK($B27,100,0.01,Q$23,0.2)</f>
        <v>16.001088392431054</v>
      </c>
      <c r="R27" s="2" cm="1">
        <f t="array" ref="R27">RHOGREEK($B27,100,0.01,R$23,0.2)</f>
        <v>18.106416584304746</v>
      </c>
      <c r="S27" s="2" cm="1">
        <f t="array" ref="S27">RHOGREEK($B27,100,0.01,S$23,0.2)</f>
        <v>20.277123214968302</v>
      </c>
      <c r="T27" s="2" cm="1">
        <f t="array" ref="T27">RHOGREEK($B27,100,0.01,T$23,0.2)</f>
        <v>22.506621239391059</v>
      </c>
      <c r="U27" s="2" cm="1">
        <f t="array" ref="U27">RHOGREEK($B27,100,0.01,U$23,0.2)</f>
        <v>24.78913728352466</v>
      </c>
      <c r="V27" s="2" cm="1">
        <f t="array" ref="V27">RHOGREEK($B27,100,0.01,V$23,0.2)</f>
        <v>27.119588189475021</v>
      </c>
      <c r="W27" s="2" cm="1">
        <f t="array" ref="W27">RHOGREEK($B27,100,0.01,W$23,0.2)</f>
        <v>29.493478815840803</v>
      </c>
      <c r="X27" s="2" cm="1">
        <f t="array" ref="X27">RHOGREEK($B27,100,0.01,X$23,0.2)</f>
        <v>31.906817236753756</v>
      </c>
      <c r="Y27" s="2" cm="1">
        <f t="array" ref="Y27">RHOGREEK($B27,100,0.01,Y$23,0.2)</f>
        <v>34.356044141419865</v>
      </c>
      <c r="Z27" s="2" cm="1">
        <f t="array" ref="Z27">RHOGREEK($B27,100,0.01,Z$23,0.2)</f>
        <v>36.837973824114073</v>
      </c>
      <c r="AA27" s="2" cm="1">
        <f t="array" ref="AA27">RHOGREEK($B27,100,0.01,AA$23,0.2)</f>
        <v>39.349744651422256</v>
      </c>
      <c r="AB27" s="2" cm="1">
        <f t="array" ref="AB27">RHOGREEK($B27,100,0.01,AB$23,0.2)</f>
        <v>41.888777301333477</v>
      </c>
      <c r="AC27" s="2" cm="1">
        <f t="array" ref="AC27">RHOGREEK($B27,100,0.01,AC$23,0.2)</f>
        <v>44.452739398440251</v>
      </c>
      <c r="AD27" s="2" cm="1">
        <f t="array" ref="AD27">RHOGREEK($B27,100,0.01,AD$23,0.2)</f>
        <v>47.039515433903119</v>
      </c>
      <c r="AE27" s="2" cm="1">
        <f t="array" ref="AE27">RHOGREEK($B27,100,0.01,AE$23,0.2)</f>
        <v>49.647181070167512</v>
      </c>
      <c r="AF27" s="2" cm="1">
        <f t="array" ref="AF27">RHOGREEK($B27,100,0.01,AF$23,0.2)</f>
        <v>52.273981099216769</v>
      </c>
      <c r="AG27" s="2" cm="1">
        <f t="array" ref="AG27">RHOGREEK($B27,100,0.01,AG$23,0.2)</f>
        <v>54.918310458108792</v>
      </c>
      <c r="AH27" s="2" cm="1">
        <f t="array" ref="AH27">RHOGREEK($B27,100,0.01,AH$23,0.2)</f>
        <v>57.578697813686546</v>
      </c>
      <c r="AI27" s="2" cm="1">
        <f t="array" ref="AI27">RHOGREEK($B27,100,0.01,AI$23,0.2)</f>
        <v>60.25379131526072</v>
      </c>
      <c r="AJ27" s="2" cm="1">
        <f t="array" ref="AJ27">RHOGREEK($B27,100,0.01,AJ$23,0.2)</f>
        <v>62.942346184137541</v>
      </c>
      <c r="AK27" s="2" cm="1">
        <f t="array" ref="AK27">RHOGREEK($B27,100,0.01,AK$23,0.2)</f>
        <v>65.643213865578119</v>
      </c>
      <c r="AL27" s="2" cm="1">
        <f t="array" ref="AL27">RHOGREEK($B27,100,0.01,AL$23,0.2)</f>
        <v>68.355332514849195</v>
      </c>
      <c r="AM27" s="2" cm="1">
        <f t="array" ref="AM27">RHOGREEK($B27,100,0.01,AM$23,0.2)</f>
        <v>71.077718626603442</v>
      </c>
      <c r="AN27" s="2" cm="1">
        <f t="array" ref="AN27">RHOGREEK($B27,100,0.01,AN$23,0.2)</f>
        <v>73.809459647599155</v>
      </c>
      <c r="AO27" s="2" cm="1">
        <f t="array" ref="AO27">RHOGREEK($B27,100,0.01,AO$23,0.2)</f>
        <v>76.549707438064772</v>
      </c>
      <c r="AP27" s="2" cm="1">
        <f t="array" ref="AP27">RHOGREEK($B27,100,0.01,AP$23,0.2)</f>
        <v>79.297672467890507</v>
      </c>
      <c r="AQ27" s="2" cm="1">
        <f t="array" ref="AQ27">RHOGREEK($B27,100,0.01,AQ$23,0.2)</f>
        <v>82.052618651126167</v>
      </c>
      <c r="AR27" s="2" cm="1">
        <f t="array" ref="AR27">RHOGREEK($B27,100,0.01,AR$23,0.2)</f>
        <v>84.81385873664432</v>
      </c>
      <c r="AS27" s="2" cm="1">
        <f t="array" ref="AS27">RHOGREEK($B27,100,0.01,AS$23,0.2)</f>
        <v>87.580750184835395</v>
      </c>
      <c r="AT27" s="2" cm="1">
        <f t="array" ref="AT27">RHOGREEK($B27,100,0.01,AT$23,0.2)</f>
        <v>90.352691470252978</v>
      </c>
      <c r="AU27" s="2" cm="1">
        <f t="array" ref="AU27">RHOGREEK($B27,100,0.01,AU$23,0.2)</f>
        <v>93.129118758581356</v>
      </c>
      <c r="AV27" s="2" cm="1">
        <f t="array" ref="AV27">RHOGREEK($B27,100,0.01,AV$23,0.2)</f>
        <v>95.909502913423822</v>
      </c>
      <c r="AW27" s="2" cm="1">
        <f t="array" ref="AW27">RHOGREEK($B27,100,0.01,AW$23,0.2)</f>
        <v>98.693346794441155</v>
      </c>
      <c r="AX27" s="2" cm="1">
        <f t="array" ref="AX27">RHOGREEK($B27,100,0.01,AX$23,0.2)</f>
        <v>101.48018281348976</v>
      </c>
      <c r="AY27" s="2" cm="1">
        <f t="array" ref="AY27">RHOGREEK($B27,100,0.01,AY$23,0.2)</f>
        <v>104.26957071976643</v>
      </c>
      <c r="AZ27" s="2" cm="1">
        <f t="array" ref="AZ27">RHOGREEK($B27,100,0.01,AZ$23,0.2)</f>
        <v>107.06109558869028</v>
      </c>
    </row>
    <row r="28" spans="1:52" x14ac:dyDescent="0.3">
      <c r="A28" s="2"/>
      <c r="B28" s="2">
        <v>80</v>
      </c>
      <c r="C28" s="2" cm="1">
        <f t="array" ref="C28">RHOGREEK($B28,100,0.01,C$23,0.2)</f>
        <v>1.9684019476440347E-3</v>
      </c>
      <c r="D28" s="2" cm="1">
        <f t="array" ref="D28">RHOGREEK($B28,100,0.01,D$23,0.2)</f>
        <v>0.1180615367981647</v>
      </c>
      <c r="E28" s="2" cm="1">
        <f t="array" ref="E28">RHOGREEK($B28,100,0.01,E$23,0.2)</f>
        <v>0.58294742224800933</v>
      </c>
      <c r="F28" s="2" cm="1">
        <f t="array" ref="F28">RHOGREEK($B28,100,0.01,F$23,0.2)</f>
        <v>1.4449660567580993</v>
      </c>
      <c r="G28" s="2" cm="1">
        <f t="array" ref="G28">RHOGREEK($B28,100,0.01,G$23,0.2)</f>
        <v>2.6541221761136979</v>
      </c>
      <c r="H28" s="2" cm="1">
        <f t="array" ref="H28">RHOGREEK($B28,100,0.01,H$23,0.2)</f>
        <v>4.1483206002554978</v>
      </c>
      <c r="I28" s="2" cm="1">
        <f t="array" ref="I28">RHOGREEK($B28,100,0.01,I$23,0.2)</f>
        <v>5.8743138124230585</v>
      </c>
      <c r="J28" s="2" cm="1">
        <f t="array" ref="J28">RHOGREEK($B28,100,0.01,J$23,0.2)</f>
        <v>7.789892042713972</v>
      </c>
      <c r="K28" s="2" cm="1">
        <f t="array" ref="K28">RHOGREEK($B28,100,0.01,K$23,0.2)</f>
        <v>9.8621140558168001</v>
      </c>
      <c r="L28" s="2" cm="1">
        <f t="array" ref="L28">RHOGREEK($B28,100,0.01,L$23,0.2)</f>
        <v>12.065171933845738</v>
      </c>
      <c r="M28" s="2" cm="1">
        <f t="array" ref="M28">RHOGREEK($B28,100,0.01,M$23,0.2)</f>
        <v>14.378633795122116</v>
      </c>
      <c r="N28" s="2" cm="1">
        <f t="array" ref="N28">RHOGREEK($B28,100,0.01,N$23,0.2)</f>
        <v>16.786122169628204</v>
      </c>
      <c r="O28" s="2" cm="1">
        <f t="array" ref="O28">RHOGREEK($B28,100,0.01,O$23,0.2)</f>
        <v>19.274344116905304</v>
      </c>
      <c r="P28" s="2" cm="1">
        <f t="array" ref="P28">RHOGREEK($B28,100,0.01,P$23,0.2)</f>
        <v>21.832380910501634</v>
      </c>
      <c r="Q28" s="2" cm="1">
        <f t="array" ref="Q28">RHOGREEK($B28,100,0.01,Q$23,0.2)</f>
        <v>24.451164204710715</v>
      </c>
      <c r="R28" s="2" cm="1">
        <f t="array" ref="R28">RHOGREEK($B28,100,0.01,R$23,0.2)</f>
        <v>27.123085619664508</v>
      </c>
      <c r="S28" s="2" cm="1">
        <f t="array" ref="S28">RHOGREEK($B28,100,0.01,S$23,0.2)</f>
        <v>29.841702285697167</v>
      </c>
      <c r="T28" s="2" cm="1">
        <f t="array" ref="T28">RHOGREEK($B28,100,0.01,T$23,0.2)</f>
        <v>32.601512057808698</v>
      </c>
      <c r="U28" s="2" cm="1">
        <f t="array" ref="U28">RHOGREEK($B28,100,0.01,U$23,0.2)</f>
        <v>35.397779879192306</v>
      </c>
      <c r="V28" s="2" cm="1">
        <f t="array" ref="V28">RHOGREEK($B28,100,0.01,V$23,0.2)</f>
        <v>38.22640213674083</v>
      </c>
      <c r="W28" s="2" cm="1">
        <f t="array" ref="W28">RHOGREEK($B28,100,0.01,W$23,0.2)</f>
        <v>41.083799564971017</v>
      </c>
      <c r="X28" s="2" cm="1">
        <f t="array" ref="X28">RHOGREEK($B28,100,0.01,X$23,0.2)</f>
        <v>43.966831844508796</v>
      </c>
      <c r="Y28" s="2" cm="1">
        <f t="array" ref="Y28">RHOGREEK($B28,100,0.01,Y$23,0.2)</f>
        <v>46.872728864542019</v>
      </c>
      <c r="Z28" s="2" cm="1">
        <f t="array" ref="Z28">RHOGREEK($B28,100,0.01,Z$23,0.2)</f>
        <v>49.799034915873591</v>
      </c>
      <c r="AA28" s="2" cm="1">
        <f t="array" ref="AA28">RHOGREEK($B28,100,0.01,AA$23,0.2)</f>
        <v>52.743563014208014</v>
      </c>
      <c r="AB28" s="2" cm="1">
        <f t="array" ref="AB28">RHOGREEK($B28,100,0.01,AB$23,0.2)</f>
        <v>55.704357231611681</v>
      </c>
      <c r="AC28" s="2" cm="1">
        <f t="array" ref="AC28">RHOGREEK($B28,100,0.01,AC$23,0.2)</f>
        <v>58.679661412429049</v>
      </c>
      <c r="AD28" s="2" cm="1">
        <f t="array" ref="AD28">RHOGREEK($B28,100,0.01,AD$23,0.2)</f>
        <v>61.667893019789602</v>
      </c>
      <c r="AE28" s="2" cm="1">
        <f t="array" ref="AE28">RHOGREEK($B28,100,0.01,AE$23,0.2)</f>
        <v>64.667621136003277</v>
      </c>
      <c r="AF28" s="2" cm="1">
        <f t="array" ref="AF28">RHOGREEK($B28,100,0.01,AF$23,0.2)</f>
        <v>67.677547849775834</v>
      </c>
      <c r="AG28" s="2" cm="1">
        <f t="array" ref="AG28">RHOGREEK($B28,100,0.01,AG$23,0.2)</f>
        <v>70.696492423128163</v>
      </c>
      <c r="AH28" s="2" cm="1">
        <f t="array" ref="AH28">RHOGREEK($B28,100,0.01,AH$23,0.2)</f>
        <v>73.723377753975456</v>
      </c>
      <c r="AI28" s="2" cm="1">
        <f t="array" ref="AI28">RHOGREEK($B28,100,0.01,AI$23,0.2)</f>
        <v>76.75721874576729</v>
      </c>
      <c r="AJ28" s="2" cm="1">
        <f t="array" ref="AJ28">RHOGREEK($B28,100,0.01,AJ$23,0.2)</f>
        <v>79.797112270167347</v>
      </c>
      <c r="AK28" s="2" cm="1">
        <f t="array" ref="AK28">RHOGREEK($B28,100,0.01,AK$23,0.2)</f>
        <v>82.842228467442666</v>
      </c>
      <c r="AL28" s="2" cm="1">
        <f t="array" ref="AL28">RHOGREEK($B28,100,0.01,AL$23,0.2)</f>
        <v>85.891803175732647</v>
      </c>
      <c r="AM28" s="2" cm="1">
        <f t="array" ref="AM28">RHOGREEK($B28,100,0.01,AM$23,0.2)</f>
        <v>88.945131317447064</v>
      </c>
      <c r="AN28" s="2" cm="1">
        <f t="array" ref="AN28">RHOGREEK($B28,100,0.01,AN$23,0.2)</f>
        <v>92.001561100792188</v>
      </c>
      <c r="AO28" s="2" cm="1">
        <f t="array" ref="AO28">RHOGREEK($B28,100,0.01,AO$23,0.2)</f>
        <v>95.060488918429073</v>
      </c>
      <c r="AP28" s="2" cm="1">
        <f t="array" ref="AP28">RHOGREEK($B28,100,0.01,AP$23,0.2)</f>
        <v>98.121354844747401</v>
      </c>
      <c r="AQ28" s="2" cm="1">
        <f t="array" ref="AQ28">RHOGREEK($B28,100,0.01,AQ$23,0.2)</f>
        <v>101.18363864912843</v>
      </c>
      <c r="AR28" s="2" cm="1">
        <f t="array" ref="AR28">RHOGREEK($B28,100,0.01,AR$23,0.2)</f>
        <v>104.24685625559538</v>
      </c>
      <c r="AS28" s="2" cm="1">
        <f t="array" ref="AS28">RHOGREEK($B28,100,0.01,AS$23,0.2)</f>
        <v>107.31055658998162</v>
      </c>
      <c r="AT28" s="2" cm="1">
        <f t="array" ref="AT28">RHOGREEK($B28,100,0.01,AT$23,0.2)</f>
        <v>110.37431876462547</v>
      </c>
      <c r="AU28" s="2" cm="1">
        <f t="array" ref="AU28">RHOGREEK($B28,100,0.01,AU$23,0.2)</f>
        <v>113.43774955798116</v>
      </c>
      <c r="AV28" s="2" cm="1">
        <f t="array" ref="AV28">RHOGREEK($B28,100,0.01,AV$23,0.2)</f>
        <v>116.50048115269567</v>
      </c>
      <c r="AW28" s="2" cm="1">
        <f t="array" ref="AW28">RHOGREEK($B28,100,0.01,AW$23,0.2)</f>
        <v>119.56216910086258</v>
      </c>
      <c r="AX28" s="2" cm="1">
        <f t="array" ref="AX28">RHOGREEK($B28,100,0.01,AX$23,0.2)</f>
        <v>122.62249048950535</v>
      </c>
      <c r="AY28" s="2" cm="1">
        <f t="array" ref="AY28">RHOGREEK($B28,100,0.01,AY$23,0.2)</f>
        <v>125.68114228301118</v>
      </c>
      <c r="AZ28" s="2" cm="1">
        <f t="array" ref="AZ28">RHOGREEK($B28,100,0.01,AZ$23,0.2)</f>
        <v>128.73783982233832</v>
      </c>
    </row>
    <row r="29" spans="1:52" x14ac:dyDescent="0.3">
      <c r="A29" s="2"/>
      <c r="B29" s="2">
        <v>85</v>
      </c>
      <c r="C29" s="2" cm="1">
        <f t="array" ref="C29">RHOGREEK($B29,100,0.01,C$23,0.2)</f>
        <v>4.8575796157643729E-2</v>
      </c>
      <c r="D29" s="2" cm="1">
        <f t="array" ref="D29">RHOGREEK($B29,100,0.01,D$23,0.2)</f>
        <v>0.65728086131009644</v>
      </c>
      <c r="E29" s="2" cm="1">
        <f t="array" ref="E29">RHOGREEK($B29,100,0.01,E$23,0.2)</f>
        <v>1.9560484482833891</v>
      </c>
      <c r="F29" s="2" cm="1">
        <f t="array" ref="F29">RHOGREEK($B29,100,0.01,F$23,0.2)</f>
        <v>3.7454643863001085</v>
      </c>
      <c r="G29" s="2" cm="1">
        <f t="array" ref="G29">RHOGREEK($B29,100,0.01,G$23,0.2)</f>
        <v>5.8755556011287497</v>
      </c>
      <c r="H29" s="2" cm="1">
        <f t="array" ref="H29">RHOGREEK($B29,100,0.01,H$23,0.2)</f>
        <v>8.2510457333700931</v>
      </c>
      <c r="I29" s="2" cm="1">
        <f t="array" ref="I29">RHOGREEK($B29,100,0.01,I$23,0.2)</f>
        <v>10.810010394461255</v>
      </c>
      <c r="J29" s="2" cm="1">
        <f t="array" ref="J29">RHOGREEK($B29,100,0.01,J$23,0.2)</f>
        <v>13.510429218050069</v>
      </c>
      <c r="K29" s="2" cm="1">
        <f t="array" ref="K29">RHOGREEK($B29,100,0.01,K$23,0.2)</f>
        <v>16.322605204399803</v>
      </c>
      <c r="L29" s="2" cm="1">
        <f t="array" ref="L29">RHOGREEK($B29,100,0.01,L$23,0.2)</f>
        <v>19.224806199408725</v>
      </c>
      <c r="M29" s="2" cm="1">
        <f t="array" ref="M29">RHOGREEK($B29,100,0.01,M$23,0.2)</f>
        <v>22.200655438282514</v>
      </c>
      <c r="N29" s="2" cm="1">
        <f t="array" ref="N29">RHOGREEK($B29,100,0.01,N$23,0.2)</f>
        <v>25.237503391980841</v>
      </c>
      <c r="O29" s="2" cm="1">
        <f t="array" ref="O29">RHOGREEK($B29,100,0.01,O$23,0.2)</f>
        <v>28.325372917836884</v>
      </c>
      <c r="P29" s="2" cm="1">
        <f t="array" ref="P29">RHOGREEK($B29,100,0.01,P$23,0.2)</f>
        <v>31.456252725055538</v>
      </c>
      <c r="Q29" s="2" cm="1">
        <f t="array" ref="Q29">RHOGREEK($B29,100,0.01,Q$23,0.2)</f>
        <v>34.623610135402544</v>
      </c>
      <c r="R29" s="2" cm="1">
        <f t="array" ref="R29">RHOGREEK($B29,100,0.01,R$23,0.2)</f>
        <v>37.822046368765946</v>
      </c>
      <c r="S29" s="2" cm="1">
        <f t="array" ref="S29">RHOGREEK($B29,100,0.01,S$23,0.2)</f>
        <v>41.047047109998687</v>
      </c>
      <c r="T29" s="2" cm="1">
        <f t="array" ref="T29">RHOGREEK($B29,100,0.01,T$23,0.2)</f>
        <v>44.29479839044366</v>
      </c>
      <c r="U29" s="2" cm="1">
        <f t="array" ref="U29">RHOGREEK($B29,100,0.01,U$23,0.2)</f>
        <v>47.562048253387928</v>
      </c>
      <c r="V29" s="2" cm="1">
        <f t="array" ref="V29">RHOGREEK($B29,100,0.01,V$23,0.2)</f>
        <v>50.84600116043957</v>
      </c>
      <c r="W29" s="2" cm="1">
        <f t="array" ref="W29">RHOGREEK($B29,100,0.01,W$23,0.2)</f>
        <v>54.144236235503264</v>
      </c>
      <c r="X29" s="2" cm="1">
        <f t="array" ref="X29">RHOGREEK($B29,100,0.01,X$23,0.2)</f>
        <v>57.454643147436421</v>
      </c>
      <c r="Y29" s="2" cm="1">
        <f t="array" ref="Y29">RHOGREEK($B29,100,0.01,Y$23,0.2)</f>
        <v>60.775371237375836</v>
      </c>
      <c r="Z29" s="2" cm="1">
        <f t="array" ref="Z29">RHOGREEK($B29,100,0.01,Z$23,0.2)</f>
        <v>64.104788724949771</v>
      </c>
      <c r="AA29" s="2" cm="1">
        <f t="array" ref="AA29">RHOGREEK($B29,100,0.01,AA$23,0.2)</f>
        <v>67.441449678335204</v>
      </c>
      <c r="AB29" s="2" cm="1">
        <f t="array" ref="AB29">RHOGREEK($B29,100,0.01,AB$23,0.2)</f>
        <v>70.784067032038806</v>
      </c>
      <c r="AC29" s="2" cm="1">
        <f t="array" ref="AC29">RHOGREEK($B29,100,0.01,AC$23,0.2)</f>
        <v>74.131490364242993</v>
      </c>
      <c r="AD29" s="2" cm="1">
        <f t="array" ref="AD29">RHOGREEK($B29,100,0.01,AD$23,0.2)</f>
        <v>77.482687455586188</v>
      </c>
      <c r="AE29" s="2" cm="1">
        <f t="array" ref="AE29">RHOGREEK($B29,100,0.01,AE$23,0.2)</f>
        <v>80.836728878703227</v>
      </c>
      <c r="AF29" s="2" cm="1">
        <f t="array" ref="AF29">RHOGREEK($B29,100,0.01,AF$23,0.2)</f>
        <v>84.192775036698535</v>
      </c>
      <c r="AG29" s="2" cm="1">
        <f t="array" ref="AG29">RHOGREEK($B29,100,0.01,AG$23,0.2)</f>
        <v>87.550065195435067</v>
      </c>
      <c r="AH29" s="2" cm="1">
        <f t="array" ref="AH29">RHOGREEK($B29,100,0.01,AH$23,0.2)</f>
        <v>90.907908150582742</v>
      </c>
      <c r="AI29" s="2" cm="1">
        <f t="array" ref="AI29">RHOGREEK($B29,100,0.01,AI$23,0.2)</f>
        <v>94.265674243884348</v>
      </c>
      <c r="AJ29" s="2" cm="1">
        <f t="array" ref="AJ29">RHOGREEK($B29,100,0.01,AJ$23,0.2)</f>
        <v>97.622788499859027</v>
      </c>
      <c r="AK29" s="2" cm="1">
        <f t="array" ref="AK29">RHOGREEK($B29,100,0.01,AK$23,0.2)</f>
        <v>100.97872469835293</v>
      </c>
      <c r="AL29" s="2" cm="1">
        <f t="array" ref="AL29">RHOGREEK($B29,100,0.01,AL$23,0.2)</f>
        <v>104.33300023301875</v>
      </c>
      <c r="AM29" s="2" cm="1">
        <f t="array" ref="AM29">RHOGREEK($B29,100,0.01,AM$23,0.2)</f>
        <v>107.68517163320975</v>
      </c>
      <c r="AN29" s="2" cm="1">
        <f t="array" ref="AN29">RHOGREEK($B29,100,0.01,AN$23,0.2)</f>
        <v>111.03483064858204</v>
      </c>
      <c r="AO29" s="2" cm="1">
        <f t="array" ref="AO29">RHOGREEK($B29,100,0.01,AO$23,0.2)</f>
        <v>114.38160081316781</v>
      </c>
      <c r="AP29" s="2" cm="1">
        <f t="array" ref="AP29">RHOGREEK($B29,100,0.01,AP$23,0.2)</f>
        <v>117.72513441976241</v>
      </c>
      <c r="AQ29" s="2" cm="1">
        <f t="array" ref="AQ29">RHOGREEK($B29,100,0.01,AQ$23,0.2)</f>
        <v>121.06510984688187</v>
      </c>
      <c r="AR29" s="2" cm="1">
        <f t="array" ref="AR29">RHOGREEK($B29,100,0.01,AR$23,0.2)</f>
        <v>124.40122918985024</v>
      </c>
      <c r="AS29" s="2" cm="1">
        <f t="array" ref="AS29">RHOGREEK($B29,100,0.01,AS$23,0.2)</f>
        <v>127.73321615520189</v>
      </c>
      <c r="AT29" s="2" cm="1">
        <f t="array" ref="AT29">RHOGREEK($B29,100,0.01,AT$23,0.2)</f>
        <v>131.06081418386034</v>
      </c>
      <c r="AU29" s="2" cm="1">
        <f t="array" ref="AU29">RHOGREEK($B29,100,0.01,AU$23,0.2)</f>
        <v>134.38378477375133</v>
      </c>
      <c r="AV29" s="2" cm="1">
        <f t="array" ref="AV29">RHOGREEK($B29,100,0.01,AV$23,0.2)</f>
        <v>137.70190597682489</v>
      </c>
      <c r="AW29" s="2" cm="1">
        <f t="array" ref="AW29">RHOGREEK($B29,100,0.01,AW$23,0.2)</f>
        <v>141.01497104906602</v>
      </c>
      <c r="AX29" s="2" cm="1">
        <f t="array" ref="AX29">RHOGREEK($B29,100,0.01,AX$23,0.2)</f>
        <v>144.3227872350929</v>
      </c>
      <c r="AY29" s="2" cm="1">
        <f t="array" ref="AY29">RHOGREEK($B29,100,0.01,AY$23,0.2)</f>
        <v>147.62517467148643</v>
      </c>
      <c r="AZ29" s="2" cm="1">
        <f t="array" ref="AZ29">RHOGREEK($B29,100,0.01,AZ$23,0.2)</f>
        <v>150.92196539513881</v>
      </c>
    </row>
    <row r="30" spans="1:52" x14ac:dyDescent="0.3">
      <c r="A30" s="2"/>
      <c r="B30" s="2">
        <v>90</v>
      </c>
      <c r="C30" s="2" cm="1">
        <f t="array" ref="C30">RHOGREEK($B30,100,0.01,C$23,0.2)</f>
        <v>0.4626650529105753</v>
      </c>
      <c r="D30" s="2" cm="1">
        <f t="array" ref="D30">RHOGREEK($B30,100,0.01,D$23,0.2)</f>
        <v>2.2955278113909658</v>
      </c>
      <c r="E30" s="2" cm="1">
        <f t="array" ref="E30">RHOGREEK($B30,100,0.01,E$23,0.2)</f>
        <v>4.8240469025865851</v>
      </c>
      <c r="F30" s="2" cm="1">
        <f t="array" ref="F30">RHOGREEK($B30,100,0.01,F$23,0.2)</f>
        <v>7.7145681524544081</v>
      </c>
      <c r="G30" s="2" cm="1">
        <f t="array" ref="G30">RHOGREEK($B30,100,0.01,G$23,0.2)</f>
        <v>10.825115598149127</v>
      </c>
      <c r="H30" s="2" cm="1">
        <f t="array" ref="H30">RHOGREEK($B30,100,0.01,H$23,0.2)</f>
        <v>14.082638092999991</v>
      </c>
      <c r="I30" s="2" cm="1">
        <f t="array" ref="I30">RHOGREEK($B30,100,0.01,I$23,0.2)</f>
        <v>17.444422479079947</v>
      </c>
      <c r="J30" s="2" cm="1">
        <f t="array" ref="J30">RHOGREEK($B30,100,0.01,J$23,0.2)</f>
        <v>20.88321053401625</v>
      </c>
      <c r="K30" s="2" cm="1">
        <f t="array" ref="K30">RHOGREEK($B30,100,0.01,K$23,0.2)</f>
        <v>24.380474754909542</v>
      </c>
      <c r="L30" s="2" cm="1">
        <f t="array" ref="L30">RHOGREEK($B30,100,0.01,L$23,0.2)</f>
        <v>27.923010462044491</v>
      </c>
      <c r="M30" s="2" cm="1">
        <f t="array" ref="M30">RHOGREEK($B30,100,0.01,M$23,0.2)</f>
        <v>31.50105316370545</v>
      </c>
      <c r="N30" s="2" cm="1">
        <f t="array" ref="N30">RHOGREEK($B30,100,0.01,N$23,0.2)</f>
        <v>35.107166599865053</v>
      </c>
      <c r="O30" s="2" cm="1">
        <f t="array" ref="O30">RHOGREEK($B30,100,0.01,O$23,0.2)</f>
        <v>38.735549995307935</v>
      </c>
      <c r="P30" s="2" cm="1">
        <f t="array" ref="P30">RHOGREEK($B30,100,0.01,P$23,0.2)</f>
        <v>42.381587281856397</v>
      </c>
      <c r="Q30" s="2" cm="1">
        <f t="array" ref="Q30">RHOGREEK($B30,100,0.01,Q$23,0.2)</f>
        <v>46.04154296658006</v>
      </c>
      <c r="R30" s="2" cm="1">
        <f t="array" ref="R30">RHOGREEK($B30,100,0.01,R$23,0.2)</f>
        <v>49.71235057586442</v>
      </c>
      <c r="S30" s="2" cm="1">
        <f t="array" ref="S30">RHOGREEK($B30,100,0.01,S$23,0.2)</f>
        <v>53.391461600734104</v>
      </c>
      <c r="T30" s="2" cm="1">
        <f t="array" ref="T30">RHOGREEK($B30,100,0.01,T$23,0.2)</f>
        <v>57.076735176127826</v>
      </c>
      <c r="U30" s="2" cm="1">
        <f t="array" ref="U30">RHOGREEK($B30,100,0.01,U$23,0.2)</f>
        <v>60.766355903599489</v>
      </c>
      <c r="V30" s="2" cm="1">
        <f t="array" ref="V30">RHOGREEK($B30,100,0.01,V$23,0.2)</f>
        <v>64.458771564347103</v>
      </c>
      <c r="W30" s="2" cm="1">
        <f t="array" ref="W30">RHOGREEK($B30,100,0.01,W$23,0.2)</f>
        <v>68.152645174199264</v>
      </c>
      <c r="X30" s="2" cm="1">
        <f t="array" ref="X30">RHOGREEK($B30,100,0.01,X$23,0.2)</f>
        <v>71.846817566007715</v>
      </c>
      <c r="Y30" s="2" cm="1">
        <f t="array" ref="Y30">RHOGREEK($B30,100,0.01,Y$23,0.2)</f>
        <v>75.54027782393409</v>
      </c>
      <c r="Z30" s="2" cm="1">
        <f t="array" ref="Z30">RHOGREEK($B30,100,0.01,Z$23,0.2)</f>
        <v>79.232139659027411</v>
      </c>
      <c r="AA30" s="2" cm="1">
        <f t="array" ref="AA30">RHOGREEK($B30,100,0.01,AA$23,0.2)</f>
        <v>82.92162233940337</v>
      </c>
      <c r="AB30" s="2" cm="1">
        <f t="array" ref="AB30">RHOGREEK($B30,100,0.01,AB$23,0.2)</f>
        <v>86.608035153663209</v>
      </c>
      <c r="AC30" s="2" cm="1">
        <f t="array" ref="AC30">RHOGREEK($B30,100,0.01,AC$23,0.2)</f>
        <v>90.290764645104232</v>
      </c>
      <c r="AD30" s="2" cm="1">
        <f t="array" ref="AD30">RHOGREEK($B30,100,0.01,AD$23,0.2)</f>
        <v>93.969264040521296</v>
      </c>
      <c r="AE30" s="2" cm="1">
        <f t="array" ref="AE30">RHOGREEK($B30,100,0.01,AE$23,0.2)</f>
        <v>97.64304443320593</v>
      </c>
      <c r="AF30" s="2" cm="1">
        <f t="array" ref="AF30">RHOGREEK($B30,100,0.01,AF$23,0.2)</f>
        <v>101.31166738002781</v>
      </c>
      <c r="AG30" s="2" cm="1">
        <f t="array" ref="AG30">RHOGREEK($B30,100,0.01,AG$23,0.2)</f>
        <v>104.97473864738936</v>
      </c>
      <c r="AH30" s="2" cm="1">
        <f t="array" ref="AH30">RHOGREEK($B30,100,0.01,AH$23,0.2)</f>
        <v>108.63190289739578</v>
      </c>
      <c r="AI30" s="2" cm="1">
        <f t="array" ref="AI30">RHOGREEK($B30,100,0.01,AI$23,0.2)</f>
        <v>112.28283914871017</v>
      </c>
      <c r="AJ30" s="2" cm="1">
        <f t="array" ref="AJ30">RHOGREEK($B30,100,0.01,AJ$23,0.2)</f>
        <v>115.92725687975471</v>
      </c>
      <c r="AK30" s="2" cm="1">
        <f t="array" ref="AK30">RHOGREEK($B30,100,0.01,AK$23,0.2)</f>
        <v>119.56489266768591</v>
      </c>
      <c r="AL30" s="2" cm="1">
        <f t="array" ref="AL30">RHOGREEK($B30,100,0.01,AL$23,0.2)</f>
        <v>123.19550727674068</v>
      </c>
      <c r="AM30" s="2" cm="1">
        <f t="array" ref="AM30">RHOGREEK($B30,100,0.01,AM$23,0.2)</f>
        <v>126.81888312545209</v>
      </c>
      <c r="AN30" s="2" cm="1">
        <f t="array" ref="AN30">RHOGREEK($B30,100,0.01,AN$23,0.2)</f>
        <v>130.4348220748661</v>
      </c>
      <c r="AO30" s="2" cm="1">
        <f t="array" ref="AO30">RHOGREEK($B30,100,0.01,AO$23,0.2)</f>
        <v>134.04314348998923</v>
      </c>
      <c r="AP30" s="2" cm="1">
        <f t="array" ref="AP30">RHOGREEK($B30,100,0.01,AP$23,0.2)</f>
        <v>137.64368253482539</v>
      </c>
      <c r="AQ30" s="2" cm="1">
        <f t="array" ref="AQ30">RHOGREEK($B30,100,0.01,AQ$23,0.2)</f>
        <v>141.23628866793706</v>
      </c>
      <c r="AR30" s="2" cm="1">
        <f t="array" ref="AR30">RHOGREEK($B30,100,0.01,AR$23,0.2)</f>
        <v>144.82082431082208</v>
      </c>
      <c r="AS30" s="2" cm="1">
        <f t="array" ref="AS30">RHOGREEK($B30,100,0.01,AS$23,0.2)</f>
        <v>148.39716366577977</v>
      </c>
      <c r="AT30" s="2" cm="1">
        <f t="array" ref="AT30">RHOGREEK($B30,100,0.01,AT$23,0.2)</f>
        <v>151.96519166354591</v>
      </c>
      <c r="AU30" s="2" cm="1">
        <f t="array" ref="AU30">RHOGREEK($B30,100,0.01,AU$23,0.2)</f>
        <v>155.52480302395517</v>
      </c>
      <c r="AV30" s="2" cm="1">
        <f t="array" ref="AV30">RHOGREEK($B30,100,0.01,AV$23,0.2)</f>
        <v>159.07590141536525</v>
      </c>
      <c r="AW30" s="2" cm="1">
        <f t="array" ref="AW30">RHOGREEK($B30,100,0.01,AW$23,0.2)</f>
        <v>162.61839870064031</v>
      </c>
      <c r="AX30" s="2" cm="1">
        <f t="array" ref="AX30">RHOGREEK($B30,100,0.01,AX$23,0.2)</f>
        <v>166.15221425921877</v>
      </c>
      <c r="AY30" s="2" cm="1">
        <f t="array" ref="AY30">RHOGREEK($B30,100,0.01,AY$23,0.2)</f>
        <v>169.67727437624592</v>
      </c>
      <c r="AZ30" s="2" cm="1">
        <f t="array" ref="AZ30">RHOGREEK($B30,100,0.01,AZ$23,0.2)</f>
        <v>173.19351169097621</v>
      </c>
    </row>
    <row r="31" spans="1:52" x14ac:dyDescent="0.3">
      <c r="A31" s="2"/>
      <c r="B31" s="2">
        <v>95</v>
      </c>
      <c r="C31" s="2" cm="1">
        <f t="array" ref="C31">RHOGREEK($B31,100,0.01,C$23,0.2)</f>
        <v>2.0396276517295933</v>
      </c>
      <c r="D31" s="2" cm="1">
        <f t="array" ref="D31">RHOGREEK($B31,100,0.01,D$23,0.2)</f>
        <v>5.5018256030450026</v>
      </c>
      <c r="E31" s="2" cm="1">
        <f t="array" ref="E31">RHOGREEK($B31,100,0.01,E$23,0.2)</f>
        <v>9.274491325250402</v>
      </c>
      <c r="F31" s="2" cm="1">
        <f t="array" ref="F31">RHOGREEK($B31,100,0.01,F$23,0.2)</f>
        <v>13.187458778736868</v>
      </c>
      <c r="G31" s="2" cm="1">
        <f t="array" ref="G31">RHOGREEK($B31,100,0.01,G$23,0.2)</f>
        <v>17.178656648502812</v>
      </c>
      <c r="H31" s="2" cm="1">
        <f t="array" ref="H31">RHOGREEK($B31,100,0.01,H$23,0.2)</f>
        <v>21.217661617090137</v>
      </c>
      <c r="I31" s="2" cm="1">
        <f t="array" ref="I31">RHOGREEK($B31,100,0.01,I$23,0.2)</f>
        <v>25.287075576346901</v>
      </c>
      <c r="J31" s="2" cm="1">
        <f t="array" ref="J31">RHOGREEK($B31,100,0.01,J$23,0.2)</f>
        <v>29.375944234947269</v>
      </c>
      <c r="K31" s="2" cm="1">
        <f t="array" ref="K31">RHOGREEK($B31,100,0.01,K$23,0.2)</f>
        <v>33.476899762460491</v>
      </c>
      <c r="L31" s="2" cm="1">
        <f t="array" ref="L31">RHOGREEK($B31,100,0.01,L$23,0.2)</f>
        <v>37.584742260070186</v>
      </c>
      <c r="M31" s="2" cm="1">
        <f t="array" ref="M31">RHOGREEK($B31,100,0.01,M$23,0.2)</f>
        <v>41.695665141994091</v>
      </c>
      <c r="N31" s="2" cm="1">
        <f t="array" ref="N31">RHOGREEK($B31,100,0.01,N$23,0.2)</f>
        <v>45.806800765768735</v>
      </c>
      <c r="O31" s="2" cm="1">
        <f t="array" ref="O31">RHOGREEK($B31,100,0.01,O$23,0.2)</f>
        <v>49.915938601444758</v>
      </c>
      <c r="P31" s="2" cm="1">
        <f t="array" ref="P31">RHOGREEK($B31,100,0.01,P$23,0.2)</f>
        <v>54.021342395339097</v>
      </c>
      <c r="Q31" s="2" cm="1">
        <f t="array" ref="Q31">RHOGREEK($B31,100,0.01,Q$23,0.2)</f>
        <v>58.121627097547538</v>
      </c>
      <c r="R31" s="2" cm="1">
        <f t="array" ref="R31">RHOGREEK($B31,100,0.01,R$23,0.2)</f>
        <v>62.215673419563089</v>
      </c>
      <c r="S31" s="2" cm="1">
        <f t="array" ref="S31">RHOGREEK($B31,100,0.01,S$23,0.2)</f>
        <v>66.302566939149727</v>
      </c>
      <c r="T31" s="2" cm="1">
        <f t="array" ref="T31">RHOGREEK($B31,100,0.01,T$23,0.2)</f>
        <v>70.381553709148278</v>
      </c>
      <c r="U31" s="2" cm="1">
        <f t="array" ref="U31">RHOGREEK($B31,100,0.01,U$23,0.2)</f>
        <v>74.452007255718641</v>
      </c>
      <c r="V31" s="2" cm="1">
        <f t="array" ref="V31">RHOGREEK($B31,100,0.01,V$23,0.2)</f>
        <v>78.513403617493836</v>
      </c>
      <c r="W31" s="2" cm="1">
        <f t="array" ref="W31">RHOGREEK($B31,100,0.01,W$23,0.2)</f>
        <v>82.565302176554468</v>
      </c>
      <c r="X31" s="2" cm="1">
        <f t="array" ref="X31">RHOGREEK($B31,100,0.01,X$23,0.2)</f>
        <v>86.607330736097779</v>
      </c>
      <c r="Y31" s="2" cm="1">
        <f t="array" ref="Y31">RHOGREEK($B31,100,0.01,Y$23,0.2)</f>
        <v>90.639173761767353</v>
      </c>
      <c r="Z31" s="2" cm="1">
        <f t="array" ref="Z31">RHOGREEK($B31,100,0.01,Z$23,0.2)</f>
        <v>94.660563013729742</v>
      </c>
      <c r="AA31" s="2" cm="1">
        <f t="array" ref="AA31">RHOGREEK($B31,100,0.01,AA$23,0.2)</f>
        <v>98.671270008894524</v>
      </c>
      <c r="AB31" s="2" cm="1">
        <f t="array" ref="AB31">RHOGREEK($B31,100,0.01,AB$23,0.2)</f>
        <v>102.67109990065613</v>
      </c>
      <c r="AC31" s="2" cm="1">
        <f t="array" ref="AC31">RHOGREEK($B31,100,0.01,AC$23,0.2)</f>
        <v>106.6598864683713</v>
      </c>
      <c r="AD31" s="2" cm="1">
        <f t="array" ref="AD31">RHOGREEK($B31,100,0.01,AD$23,0.2)</f>
        <v>110.63748798417035</v>
      </c>
      <c r="AE31" s="2" cm="1">
        <f t="array" ref="AE31">RHOGREEK($B31,100,0.01,AE$23,0.2)</f>
        <v>114.60378377964308</v>
      </c>
      <c r="AF31" s="2" cm="1">
        <f t="array" ref="AF31">RHOGREEK($B31,100,0.01,AF$23,0.2)</f>
        <v>118.55867137549208</v>
      </c>
      <c r="AG31" s="2" cm="1">
        <f t="array" ref="AG31">RHOGREEK($B31,100,0.01,AG$23,0.2)</f>
        <v>122.50206406752034</v>
      </c>
      <c r="AH31" s="2" cm="1">
        <f t="array" ref="AH31">RHOGREEK($B31,100,0.01,AH$23,0.2)</f>
        <v>126.43388888516343</v>
      </c>
      <c r="AI31" s="2" cm="1">
        <f t="array" ref="AI31">RHOGREEK($B31,100,0.01,AI$23,0.2)</f>
        <v>130.3540848561853</v>
      </c>
      <c r="AJ31" s="2" cm="1">
        <f t="array" ref="AJ31">RHOGREEK($B31,100,0.01,AJ$23,0.2)</f>
        <v>134.26260152454489</v>
      </c>
      <c r="AK31" s="2" cm="1">
        <f t="array" ref="AK31">RHOGREEK($B31,100,0.01,AK$23,0.2)</f>
        <v>138.15939767882602</v>
      </c>
      <c r="AL31" s="2" cm="1">
        <f t="array" ref="AL31">RHOGREEK($B31,100,0.01,AL$23,0.2)</f>
        <v>142.04444025674437</v>
      </c>
      <c r="AM31" s="2" cm="1">
        <f t="array" ref="AM31">RHOGREEK($B31,100,0.01,AM$23,0.2)</f>
        <v>145.91770339764236</v>
      </c>
      <c r="AN31" s="2" cm="1">
        <f t="array" ref="AN31">RHOGREEK($B31,100,0.01,AN$23,0.2)</f>
        <v>149.77916761995968</v>
      </c>
      <c r="AO31" s="2" cm="1">
        <f t="array" ref="AO31">RHOGREEK($B31,100,0.01,AO$23,0.2)</f>
        <v>153.62881910472007</v>
      </c>
      <c r="AP31" s="2" cm="1">
        <f t="array" ref="AP31">RHOGREEK($B31,100,0.01,AP$23,0.2)</f>
        <v>157.46664906933412</v>
      </c>
      <c r="AQ31" s="2" cm="1">
        <f t="array" ref="AQ31">RHOGREEK($B31,100,0.01,AQ$23,0.2)</f>
        <v>161.29265321865159</v>
      </c>
      <c r="AR31" s="2" cm="1">
        <f t="array" ref="AR31">RHOGREEK($B31,100,0.01,AR$23,0.2)</f>
        <v>165.10683126233729</v>
      </c>
      <c r="AS31" s="2" cm="1">
        <f t="array" ref="AS31">RHOGREEK($B31,100,0.01,AS$23,0.2)</f>
        <v>168.90918648939524</v>
      </c>
      <c r="AT31" s="2" cm="1">
        <f t="array" ref="AT31">RHOGREEK($B31,100,0.01,AT$23,0.2)</f>
        <v>172.69972539210301</v>
      </c>
      <c r="AU31" s="2" cm="1">
        <f t="array" ref="AU31">RHOGREEK($B31,100,0.01,AU$23,0.2)</f>
        <v>176.47845733280363</v>
      </c>
      <c r="AV31" s="2" cm="1">
        <f t="array" ref="AV31">RHOGREEK($B31,100,0.01,AV$23,0.2)</f>
        <v>180.24539424798658</v>
      </c>
      <c r="AW31" s="2" cm="1">
        <f t="array" ref="AW31">RHOGREEK($B31,100,0.01,AW$23,0.2)</f>
        <v>184.00055038490723</v>
      </c>
      <c r="AX31" s="2" cm="1">
        <f t="array" ref="AX31">RHOGREEK($B31,100,0.01,AX$23,0.2)</f>
        <v>187.7439420666787</v>
      </c>
      <c r="AY31" s="2" cm="1">
        <f t="array" ref="AY31">RHOGREEK($B31,100,0.01,AY$23,0.2)</f>
        <v>191.47558748234448</v>
      </c>
      <c r="AZ31" s="2" cm="1">
        <f t="array" ref="AZ31">RHOGREEK($B31,100,0.01,AZ$23,0.2)</f>
        <v>195.1955064989242</v>
      </c>
    </row>
    <row r="32" spans="1:52" x14ac:dyDescent="0.3">
      <c r="A32" s="2"/>
      <c r="B32" s="2">
        <v>100</v>
      </c>
      <c r="C32" s="2" cm="1">
        <f t="array" ref="C32">RHOGREEK($B32,100,0.01,C$23,0.2)</f>
        <v>4.9319898584384116</v>
      </c>
      <c r="D32" s="2" cm="1">
        <f t="array" ref="D32">RHOGREEK($B32,100,0.01,D$23,0.2)</f>
        <v>9.8019788801767245</v>
      </c>
      <c r="E32" s="2" cm="1">
        <f t="array" ref="E32">RHOGREEK($B32,100,0.01,E$23,0.2)</f>
        <v>14.628325566737617</v>
      </c>
      <c r="F32" s="2" cm="1">
        <f t="array" ref="F32">RHOGREEK($B32,100,0.01,F$23,0.2)</f>
        <v>19.417631512966548</v>
      </c>
      <c r="G32" s="2" cm="1">
        <f t="array" ref="G32">RHOGREEK($B32,100,0.01,G$23,0.2)</f>
        <v>24.173738548666901</v>
      </c>
      <c r="H32" s="2" cm="1">
        <f t="array" ref="H32">RHOGREEK($B32,100,0.01,H$23,0.2)</f>
        <v>28.899256857821797</v>
      </c>
      <c r="I32" s="2" cm="1">
        <f t="array" ref="I32">RHOGREEK($B32,100,0.01,I$23,0.2)</f>
        <v>33.596116095735589</v>
      </c>
      <c r="J32" s="2" cm="1">
        <f t="array" ref="J32">RHOGREEK($B32,100,0.01,J$23,0.2)</f>
        <v>38.265821976803814</v>
      </c>
      <c r="K32" s="2" cm="1">
        <f t="array" ref="K32">RHOGREEK($B32,100,0.01,K$23,0.2)</f>
        <v>42.909594584950781</v>
      </c>
      <c r="L32" s="2" cm="1">
        <f t="array" ref="L32">RHOGREEK($B32,100,0.01,L$23,0.2)</f>
        <v>47.528450546914641</v>
      </c>
      <c r="M32" s="2" cm="1">
        <f t="array" ref="M32">RHOGREEK($B32,100,0.01,M$23,0.2)</f>
        <v>52.123255391929909</v>
      </c>
      <c r="N32" s="2" cm="1">
        <f t="array" ref="N32">RHOGREEK($B32,100,0.01,N$23,0.2)</f>
        <v>56.694758730344901</v>
      </c>
      <c r="O32" s="2" cm="1">
        <f t="array" ref="O32">RHOGREEK($B32,100,0.01,O$23,0.2)</f>
        <v>61.243618893738955</v>
      </c>
      <c r="P32" s="2" cm="1">
        <f t="array" ref="P32">RHOGREEK($B32,100,0.01,P$23,0.2)</f>
        <v>65.770420783846205</v>
      </c>
      <c r="Q32" s="2" cm="1">
        <f t="array" ref="Q32">RHOGREEK($B32,100,0.01,Q$23,0.2)</f>
        <v>70.275689165990372</v>
      </c>
      <c r="R32" s="2" cm="1">
        <f t="array" ref="R32">RHOGREEK($B32,100,0.01,R$23,0.2)</f>
        <v>74.759898803298526</v>
      </c>
      <c r="S32" s="2" cm="1">
        <f t="array" ref="S32">RHOGREEK($B32,100,0.01,S$23,0.2)</f>
        <v>79.223482337588294</v>
      </c>
      <c r="T32" s="2" cm="1">
        <f t="array" ref="T32">RHOGREEK($B32,100,0.01,T$23,0.2)</f>
        <v>83.666836523960512</v>
      </c>
      <c r="U32" s="2" cm="1">
        <f t="array" ref="U32">RHOGREEK($B32,100,0.01,U$23,0.2)</f>
        <v>88.09032723730256</v>
      </c>
      <c r="V32" s="2" cm="1">
        <f t="array" ref="V32">RHOGREEK($B32,100,0.01,V$23,0.2)</f>
        <v>92.494293545844172</v>
      </c>
      <c r="W32" s="2" cm="1">
        <f t="array" ref="W32">RHOGREEK($B32,100,0.01,W$23,0.2)</f>
        <v>96.87905106450286</v>
      </c>
      <c r="X32" s="2" cm="1">
        <f t="array" ref="X32">RHOGREEK($B32,100,0.01,X$23,0.2)</f>
        <v>101.24489474425351</v>
      </c>
      <c r="Y32" s="2" cm="1">
        <f t="array" ref="Y32">RHOGREEK($B32,100,0.01,Y$23,0.2)</f>
        <v>105.59210121418536</v>
      </c>
      <c r="Z32" s="2" cm="1">
        <f t="array" ref="Z32">RHOGREEK($B32,100,0.01,Z$23,0.2)</f>
        <v>109.92093076467341</v>
      </c>
      <c r="AA32" s="2" cm="1">
        <f t="array" ref="AA32">RHOGREEK($B32,100,0.01,AA$23,0.2)</f>
        <v>114.23162903959584</v>
      </c>
      <c r="AB32" s="2" cm="1">
        <f t="array" ref="AB32">RHOGREEK($B32,100,0.01,AB$23,0.2)</f>
        <v>118.52442849042791</v>
      </c>
      <c r="AC32" s="2" cm="1">
        <f t="array" ref="AC32">RHOGREEK($B32,100,0.01,AC$23,0.2)</f>
        <v>122.79954963375525</v>
      </c>
      <c r="AD32" s="2" cm="1">
        <f t="array" ref="AD32">RHOGREEK($B32,100,0.01,AD$23,0.2)</f>
        <v>127.05720214521092</v>
      </c>
      <c r="AE32" s="2" cm="1">
        <f t="array" ref="AE32">RHOGREEK($B32,100,0.01,AE$23,0.2)</f>
        <v>131.29758581630026</v>
      </c>
      <c r="AF32" s="2" cm="1">
        <f t="array" ref="AF32">RHOGREEK($B32,100,0.01,AF$23,0.2)</f>
        <v>135.52089139551936</v>
      </c>
      <c r="AG32" s="2" cm="1">
        <f t="array" ref="AG32">RHOGREEK($B32,100,0.01,AG$23,0.2)</f>
        <v>139.72730133121883</v>
      </c>
      <c r="AH32" s="2" cm="1">
        <f t="array" ref="AH32">RHOGREEK($B32,100,0.01,AH$23,0.2)</f>
        <v>143.91699043054646</v>
      </c>
      <c r="AI32" s="2" cm="1">
        <f t="array" ref="AI32">RHOGREEK($B32,100,0.01,AI$23,0.2)</f>
        <v>148.09012644632259</v>
      </c>
      <c r="AJ32" s="2" cm="1">
        <f t="array" ref="AJ32">RHOGREEK($B32,100,0.01,AJ$23,0.2)</f>
        <v>152.24687060171499</v>
      </c>
      <c r="AK32" s="2" cm="1">
        <f t="array" ref="AK32">RHOGREEK($B32,100,0.01,AK$23,0.2)</f>
        <v>156.38737806097399</v>
      </c>
      <c r="AL32" s="2" cm="1">
        <f t="array" ref="AL32">RHOGREEK($B32,100,0.01,AL$23,0.2)</f>
        <v>160.5117983531843</v>
      </c>
      <c r="AM32" s="2" cm="1">
        <f t="array" ref="AM32">RHOGREEK($B32,100,0.01,AM$23,0.2)</f>
        <v>164.62027575492172</v>
      </c>
      <c r="AN32" s="2" cm="1">
        <f t="array" ref="AN32">RHOGREEK($B32,100,0.01,AN$23,0.2)</f>
        <v>168.71294963682391</v>
      </c>
      <c r="AO32" s="2" cm="1">
        <f t="array" ref="AO32">RHOGREEK($B32,100,0.01,AO$23,0.2)</f>
        <v>172.78995477835602</v>
      </c>
      <c r="AP32" s="2" cm="1">
        <f t="array" ref="AP32">RHOGREEK($B32,100,0.01,AP$23,0.2)</f>
        <v>176.85142165444597</v>
      </c>
      <c r="AQ32" s="2" cm="1">
        <f t="array" ref="AQ32">RHOGREEK($B32,100,0.01,AQ$23,0.2)</f>
        <v>180.89747669715783</v>
      </c>
      <c r="AR32" s="2" cm="1">
        <f t="array" ref="AR32">RHOGREEK($B32,100,0.01,AR$23,0.2)</f>
        <v>184.92824253514422</v>
      </c>
      <c r="AS32" s="2" cm="1">
        <f t="array" ref="AS32">RHOGREEK($B32,100,0.01,AS$23,0.2)</f>
        <v>188.94383821325957</v>
      </c>
      <c r="AT32" s="2" cm="1">
        <f t="array" ref="AT32">RHOGREEK($B32,100,0.01,AT$23,0.2)</f>
        <v>192.94437939441008</v>
      </c>
      <c r="AU32" s="2" cm="1">
        <f t="array" ref="AU32">RHOGREEK($B32,100,0.01,AU$23,0.2)</f>
        <v>196.92997854545681</v>
      </c>
      <c r="AV32" s="2" cm="1">
        <f t="array" ref="AV32">RHOGREEK($B32,100,0.01,AV$23,0.2)</f>
        <v>200.9007451087646</v>
      </c>
      <c r="AW32" s="2" cm="1">
        <f t="array" ref="AW32">RHOGREEK($B32,100,0.01,AW$23,0.2)</f>
        <v>204.8567856608008</v>
      </c>
      <c r="AX32" s="2" cm="1">
        <f t="array" ref="AX32">RHOGREEK($B32,100,0.01,AX$23,0.2)</f>
        <v>208.79820405902035</v>
      </c>
      <c r="AY32" s="2" cm="1">
        <f t="array" ref="AY32">RHOGREEK($B32,100,0.01,AY$23,0.2)</f>
        <v>212.72510157813514</v>
      </c>
      <c r="AZ32" s="2" cm="1">
        <f t="array" ref="AZ32">RHOGREEK($B32,100,0.01,AZ$23,0.2)</f>
        <v>216.63757703673949</v>
      </c>
    </row>
    <row r="33" spans="1:52" x14ac:dyDescent="0.3">
      <c r="A33" s="2"/>
      <c r="B33" s="2">
        <v>105</v>
      </c>
      <c r="C33" s="2" cm="1">
        <f t="array" ref="C33">RHOGREEK($B33,100,0.01,C$23,0.2)</f>
        <v>7.7428944428213189</v>
      </c>
      <c r="D33" s="2" cm="1">
        <f t="array" ref="D33">RHOGREEK($B33,100,0.01,D$23,0.2)</f>
        <v>13.963207315360487</v>
      </c>
      <c r="E33" s="2" cm="1">
        <f t="array" ref="E33">RHOGREEK($B33,100,0.01,E$23,0.2)</f>
        <v>19.801355879149479</v>
      </c>
      <c r="F33" s="2" cm="1">
        <f t="array" ref="F33">RHOGREEK($B33,100,0.01,F$23,0.2)</f>
        <v>25.432746553601699</v>
      </c>
      <c r="G33" s="2" cm="1">
        <f t="array" ref="G33">RHOGREEK($B33,100,0.01,G$23,0.2)</f>
        <v>30.924184743469109</v>
      </c>
      <c r="H33" s="2" cm="1">
        <f t="array" ref="H33">RHOGREEK($B33,100,0.01,H$23,0.2)</f>
        <v>36.309866980005239</v>
      </c>
      <c r="I33" s="2" cm="1">
        <f t="array" ref="I33">RHOGREEK($B33,100,0.01,I$23,0.2)</f>
        <v>41.610220083116062</v>
      </c>
      <c r="J33" s="2" cm="1">
        <f t="array" ref="J33">RHOGREEK($B33,100,0.01,J$23,0.2)</f>
        <v>46.838682825452473</v>
      </c>
      <c r="K33" s="2" cm="1">
        <f t="array" ref="K33">RHOGREEK($B33,100,0.01,K$23,0.2)</f>
        <v>52.00470479945416</v>
      </c>
      <c r="L33" s="2" cm="1">
        <f t="array" ref="L33">RHOGREEK($B33,100,0.01,L$23,0.2)</f>
        <v>57.115262574421607</v>
      </c>
      <c r="M33" s="2" cm="1">
        <f t="array" ref="M33">RHOGREEK($B33,100,0.01,M$23,0.2)</f>
        <v>62.175702748657528</v>
      </c>
      <c r="N33" s="2" cm="1">
        <f t="array" ref="N33">RHOGREEK($B33,100,0.01,N$23,0.2)</f>
        <v>67.190245447350335</v>
      </c>
      <c r="O33" s="2" cm="1">
        <f t="array" ref="O33">RHOGREEK($B33,100,0.01,O$23,0.2)</f>
        <v>72.162302281855588</v>
      </c>
      <c r="P33" s="2" cm="1">
        <f t="array" ref="P33">RHOGREEK($B33,100,0.01,P$23,0.2)</f>
        <v>77.094686351401819</v>
      </c>
      <c r="Q33" s="2" cm="1">
        <f t="array" ref="Q33">RHOGREEK($B33,100,0.01,Q$23,0.2)</f>
        <v>81.989756152584818</v>
      </c>
      <c r="R33" s="2" cm="1">
        <f t="array" ref="R33">RHOGREEK($B33,100,0.01,R$23,0.2)</f>
        <v>86.849517290041277</v>
      </c>
      <c r="S33" s="2" cm="1">
        <f t="array" ref="S33">RHOGREEK($B33,100,0.01,S$23,0.2)</f>
        <v>91.675696274079556</v>
      </c>
      <c r="T33" s="2" cm="1">
        <f t="array" ref="T33">RHOGREEK($B33,100,0.01,T$23,0.2)</f>
        <v>96.469795289044669</v>
      </c>
      <c r="U33" s="2" cm="1">
        <f t="array" ref="U33">RHOGREEK($B33,100,0.01,U$23,0.2)</f>
        <v>101.23313364605735</v>
      </c>
      <c r="V33" s="2" cm="1">
        <f t="array" ref="V33">RHOGREEK($B33,100,0.01,V$23,0.2)</f>
        <v>105.96687970369521</v>
      </c>
      <c r="W33" s="2" cm="1">
        <f t="array" ref="W33">RHOGREEK($B33,100,0.01,W$23,0.2)</f>
        <v>110.67207582692566</v>
      </c>
      <c r="X33" s="2" cm="1">
        <f t="array" ref="X33">RHOGREEK($B33,100,0.01,X$23,0.2)</f>
        <v>115.34965817023266</v>
      </c>
      <c r="Y33" s="2" cm="1">
        <f t="array" ref="Y33">RHOGREEK($B33,100,0.01,Y$23,0.2)</f>
        <v>120.00047255103472</v>
      </c>
      <c r="Z33" s="2" cm="1">
        <f t="array" ref="Z33">RHOGREEK($B33,100,0.01,Z$23,0.2)</f>
        <v>124.62528732724441</v>
      </c>
      <c r="AA33" s="2" cm="1">
        <f t="array" ref="AA33">RHOGREEK($B33,100,0.01,AA$23,0.2)</f>
        <v>129.22480394934576</v>
      </c>
      <c r="AB33" s="2" cm="1">
        <f t="array" ref="AB33">RHOGREEK($B33,100,0.01,AB$23,0.2)</f>
        <v>133.79966568602867</v>
      </c>
      <c r="AC33" s="2" cm="1">
        <f t="array" ref="AC33">RHOGREEK($B33,100,0.01,AC$23,0.2)</f>
        <v>138.35046489986854</v>
      </c>
      <c r="AD33" s="2" cm="1">
        <f t="array" ref="AD33">RHOGREEK($B33,100,0.01,AD$23,0.2)</f>
        <v>142.87774916057003</v>
      </c>
      <c r="AE33" s="2" cm="1">
        <f t="array" ref="AE33">RHOGREEK($B33,100,0.01,AE$23,0.2)</f>
        <v>147.38202641782578</v>
      </c>
      <c r="AF33" s="2" cm="1">
        <f t="array" ref="AF33">RHOGREEK($B33,100,0.01,AF$23,0.2)</f>
        <v>151.86376940705392</v>
      </c>
      <c r="AG33" s="2" cm="1">
        <f t="array" ref="AG33">RHOGREEK($B33,100,0.01,AG$23,0.2)</f>
        <v>156.32341942451029</v>
      </c>
      <c r="AH33" s="2" cm="1">
        <f t="array" ref="AH33">RHOGREEK($B33,100,0.01,AH$23,0.2)</f>
        <v>160.76138958025473</v>
      </c>
      <c r="AI33" s="2" cm="1">
        <f t="array" ref="AI33">RHOGREEK($B33,100,0.01,AI$23,0.2)</f>
        <v>165.17806761589924</v>
      </c>
      <c r="AJ33" s="2" cm="1">
        <f t="array" ref="AJ33">RHOGREEK($B33,100,0.01,AJ$23,0.2)</f>
        <v>169.57381835733025</v>
      </c>
      <c r="AK33" s="2" cm="1">
        <f t="array" ref="AK33">RHOGREEK($B33,100,0.01,AK$23,0.2)</f>
        <v>173.94898585948812</v>
      </c>
      <c r="AL33" s="2" cm="1">
        <f t="array" ref="AL33">RHOGREEK($B33,100,0.01,AL$23,0.2)</f>
        <v>178.30389528994112</v>
      </c>
      <c r="AM33" s="2" cm="1">
        <f t="array" ref="AM33">RHOGREEK($B33,100,0.01,AM$23,0.2)</f>
        <v>182.63885458975815</v>
      </c>
      <c r="AN33" s="2" cm="1">
        <f t="array" ref="AN33">RHOGREEK($B33,100,0.01,AN$23,0.2)</f>
        <v>186.95415594359221</v>
      </c>
      <c r="AO33" s="2" cm="1">
        <f t="array" ref="AO33">RHOGREEK($B33,100,0.01,AO$23,0.2)</f>
        <v>191.25007708556808</v>
      </c>
      <c r="AP33" s="2" cm="1">
        <f t="array" ref="AP33">RHOGREEK($B33,100,0.01,AP$23,0.2)</f>
        <v>195.52688246325391</v>
      </c>
      <c r="AQ33" s="2" cm="1">
        <f t="array" ref="AQ33">RHOGREEK($B33,100,0.01,AQ$23,0.2)</f>
        <v>199.78482427847447</v>
      </c>
      <c r="AR33" s="2" cm="1">
        <f t="array" ref="AR33">RHOGREEK($B33,100,0.01,AR$23,0.2)</f>
        <v>204.02414342083242</v>
      </c>
      <c r="AS33" s="2" cm="1">
        <f t="array" ref="AS33">RHOGREEK($B33,100,0.01,AS$23,0.2)</f>
        <v>208.24507030741754</v>
      </c>
      <c r="AT33" s="2" cm="1">
        <f t="array" ref="AT33">RHOGREEK($B33,100,0.01,AT$23,0.2)</f>
        <v>212.44782564020832</v>
      </c>
      <c r="AU33" s="2" cm="1">
        <f t="array" ref="AU33">RHOGREEK($B33,100,0.01,AU$23,0.2)</f>
        <v>216.63262109101836</v>
      </c>
      <c r="AV33" s="2" cm="1">
        <f t="array" ref="AV33">RHOGREEK($B33,100,0.01,AV$23,0.2)</f>
        <v>220.79965992246093</v>
      </c>
      <c r="AW33" s="2" cm="1">
        <f t="array" ref="AW33">RHOGREEK($B33,100,0.01,AW$23,0.2)</f>
        <v>224.94913755224721</v>
      </c>
      <c r="AX33" s="2" cm="1">
        <f t="array" ref="AX33">RHOGREEK($B33,100,0.01,AX$23,0.2)</f>
        <v>229.08124206714945</v>
      </c>
      <c r="AY33" s="2" cm="1">
        <f t="array" ref="AY33">RHOGREEK($B33,100,0.01,AY$23,0.2)</f>
        <v>233.19615469213571</v>
      </c>
      <c r="AZ33" s="2" cm="1">
        <f t="array" ref="AZ33">RHOGREEK($B33,100,0.01,AZ$23,0.2)</f>
        <v>237.29405021947213</v>
      </c>
    </row>
    <row r="34" spans="1:52" x14ac:dyDescent="0.3">
      <c r="A34" s="2"/>
      <c r="B34" s="2">
        <v>110</v>
      </c>
      <c r="C34" s="2" cm="1">
        <f t="array" ref="C34">RHOGREEK($B34,100,0.01,C$23,0.2)</f>
        <v>9.3111062933054924</v>
      </c>
      <c r="D34" s="2" cm="1">
        <f t="array" ref="D34">RHOGREEK($B34,100,0.01,D$23,0.2)</f>
        <v>16.997597069863819</v>
      </c>
      <c r="E34" s="2" cm="1">
        <f t="array" ref="E34">RHOGREEK($B34,100,0.01,E$23,0.2)</f>
        <v>23.936909463006028</v>
      </c>
      <c r="F34" s="2" cm="1">
        <f t="array" ref="F34">RHOGREEK($B34,100,0.01,F$23,0.2)</f>
        <v>30.470390561626747</v>
      </c>
      <c r="G34" s="2" cm="1">
        <f t="array" ref="G34">RHOGREEK($B34,100,0.01,G$23,0.2)</f>
        <v>36.738595144398118</v>
      </c>
      <c r="H34" s="2" cm="1">
        <f t="array" ref="H34">RHOGREEK($B34,100,0.01,H$23,0.2)</f>
        <v>42.813919395874585</v>
      </c>
      <c r="I34" s="2" cm="1">
        <f t="array" ref="I34">RHOGREEK($B34,100,0.01,I$23,0.2)</f>
        <v>48.739182226438395</v>
      </c>
      <c r="J34" s="2" cm="1">
        <f t="array" ref="J34">RHOGREEK($B34,100,0.01,J$23,0.2)</f>
        <v>54.542150099630142</v>
      </c>
      <c r="K34" s="2" cm="1">
        <f t="array" ref="K34">RHOGREEK($B34,100,0.01,K$23,0.2)</f>
        <v>60.242046033683735</v>
      </c>
      <c r="L34" s="2" cm="1">
        <f t="array" ref="L34">RHOGREEK($B34,100,0.01,L$23,0.2)</f>
        <v>65.852844532273409</v>
      </c>
      <c r="M34" s="2" cm="1">
        <f t="array" ref="M34">RHOGREEK($B34,100,0.01,M$23,0.2)</f>
        <v>71.385096279460569</v>
      </c>
      <c r="N34" s="2" cm="1">
        <f t="array" ref="N34">RHOGREEK($B34,100,0.01,N$23,0.2)</f>
        <v>76.847010789415847</v>
      </c>
      <c r="O34" s="2" cm="1">
        <f t="array" ref="O34">RHOGREEK($B34,100,0.01,O$23,0.2)</f>
        <v>82.245134855835516</v>
      </c>
      <c r="P34" s="2" cm="1">
        <f t="array" ref="P34">RHOGREEK($B34,100,0.01,P$23,0.2)</f>
        <v>87.584796997583751</v>
      </c>
      <c r="Q34" s="2" cm="1">
        <f t="array" ref="Q34">RHOGREEK($B34,100,0.01,Q$23,0.2)</f>
        <v>92.870409511912868</v>
      </c>
      <c r="R34" s="2" cm="1">
        <f t="array" ref="R34">RHOGREEK($B34,100,0.01,R$23,0.2)</f>
        <v>98.105680207936459</v>
      </c>
      <c r="S34" s="2" cm="1">
        <f t="array" ref="S34">RHOGREEK($B34,100,0.01,S$23,0.2)</f>
        <v>103.29376480098867</v>
      </c>
      <c r="T34" s="2" cm="1">
        <f t="array" ref="T34">RHOGREEK($B34,100,0.01,T$23,0.2)</f>
        <v>108.43737912904156</v>
      </c>
      <c r="U34" s="2" cm="1">
        <f t="array" ref="U34">RHOGREEK($B34,100,0.01,U$23,0.2)</f>
        <v>113.53888344474242</v>
      </c>
      <c r="V34" s="2" cm="1">
        <f t="array" ref="V34">RHOGREEK($B34,100,0.01,V$23,0.2)</f>
        <v>118.60034685036835</v>
      </c>
      <c r="W34" s="2" cm="1">
        <f t="array" ref="W34">RHOGREEK($B34,100,0.01,W$23,0.2)</f>
        <v>123.62359732426977</v>
      </c>
      <c r="X34" s="2" cm="1">
        <f t="array" ref="X34">RHOGREEK($B34,100,0.01,X$23,0.2)</f>
        <v>128.61026110284774</v>
      </c>
      <c r="Y34" s="2" cm="1">
        <f t="array" ref="Y34">RHOGREEK($B34,100,0.01,Y$23,0.2)</f>
        <v>133.56179407133629</v>
      </c>
      <c r="Z34" s="2" cm="1">
        <f t="array" ref="Z34">RHOGREEK($B34,100,0.01,Z$23,0.2)</f>
        <v>138.4795070678102</v>
      </c>
      <c r="AA34" s="2" cm="1">
        <f t="array" ref="AA34">RHOGREEK($B34,100,0.01,AA$23,0.2)</f>
        <v>143.36458648983773</v>
      </c>
      <c r="AB34" s="2" cm="1">
        <f t="array" ref="AB34">RHOGREEK($B34,100,0.01,AB$23,0.2)</f>
        <v>148.21811123257916</v>
      </c>
      <c r="AC34" s="2" cm="1">
        <f t="array" ref="AC34">RHOGREEK($B34,100,0.01,AC$23,0.2)</f>
        <v>153.04106673045484</v>
      </c>
      <c r="AD34" s="2" cm="1">
        <f t="array" ref="AD34">RHOGREEK($B34,100,0.01,AD$23,0.2)</f>
        <v>157.83435668906282</v>
      </c>
      <c r="AE34" s="2" cm="1">
        <f t="array" ref="AE34">RHOGREEK($B34,100,0.01,AE$23,0.2)</f>
        <v>162.59881295819966</v>
      </c>
      <c r="AF34" s="2" cm="1">
        <f t="array" ref="AF34">RHOGREEK($B34,100,0.01,AF$23,0.2)</f>
        <v>167.33520389609637</v>
      </c>
      <c r="AG34" s="2" cm="1">
        <f t="array" ref="AG34">RHOGREEK($B34,100,0.01,AG$23,0.2)</f>
        <v>172.0442414993866</v>
      </c>
      <c r="AH34" s="2" cm="1">
        <f t="array" ref="AH34">RHOGREEK($B34,100,0.01,AH$23,0.2)</f>
        <v>176.72658751598797</v>
      </c>
      <c r="AI34" s="2" cm="1">
        <f t="array" ref="AI34">RHOGREEK($B34,100,0.01,AI$23,0.2)</f>
        <v>181.38285871415266</v>
      </c>
      <c r="AJ34" s="2" cm="1">
        <f t="array" ref="AJ34">RHOGREEK($B34,100,0.01,AJ$23,0.2)</f>
        <v>186.01363144697893</v>
      </c>
      <c r="AK34" s="2" cm="1">
        <f t="array" ref="AK34">RHOGREEK($B34,100,0.01,AK$23,0.2)</f>
        <v>190.61944562518394</v>
      </c>
      <c r="AL34" s="2" cm="1">
        <f t="array" ref="AL34">RHOGREEK($B34,100,0.01,AL$23,0.2)</f>
        <v>195.20080819010852</v>
      </c>
      <c r="AM34" s="2" cm="1">
        <f t="array" ref="AM34">RHOGREEK($B34,100,0.01,AM$23,0.2)</f>
        <v>199.75819616241992</v>
      </c>
      <c r="AN34" s="2" cm="1">
        <f t="array" ref="AN34">RHOGREEK($B34,100,0.01,AN$23,0.2)</f>
        <v>204.2920593288074</v>
      </c>
      <c r="AO34" s="2" cm="1">
        <f t="array" ref="AO34">RHOGREEK($B34,100,0.01,AO$23,0.2)</f>
        <v>208.80282261838641</v>
      </c>
      <c r="AP34" s="2" cm="1">
        <f t="array" ref="AP34">RHOGREEK($B34,100,0.01,AP$23,0.2)</f>
        <v>213.29088821197067</v>
      </c>
      <c r="AQ34" s="2" cm="1">
        <f t="array" ref="AQ34">RHOGREEK($B34,100,0.01,AQ$23,0.2)</f>
        <v>217.75663742041573</v>
      </c>
      <c r="AR34" s="2" cm="1">
        <f t="array" ref="AR34">RHOGREEK($B34,100,0.01,AR$23,0.2)</f>
        <v>222.20043236254588</v>
      </c>
      <c r="AS34" s="2" cm="1">
        <f t="array" ref="AS34">RHOGREEK($B34,100,0.01,AS$23,0.2)</f>
        <v>226.62261746849657</v>
      </c>
      <c r="AT34" s="2" cm="1">
        <f t="array" ref="AT34">RHOGREEK($B34,100,0.01,AT$23,0.2)</f>
        <v>231.02352083043613</v>
      </c>
      <c r="AU34" s="2" cm="1">
        <f t="array" ref="AU34">RHOGREEK($B34,100,0.01,AU$23,0.2)</f>
        <v>235.40345541941832</v>
      </c>
      <c r="AV34" s="2" cm="1">
        <f t="array" ref="AV34">RHOGREEK($B34,100,0.01,AV$23,0.2)</f>
        <v>239.76272018443765</v>
      </c>
      <c r="AW34" s="2" cm="1">
        <f t="array" ref="AW34">RHOGREEK($B34,100,0.01,AW$23,0.2)</f>
        <v>244.10160104751125</v>
      </c>
      <c r="AX34" s="2" cm="1">
        <f t="array" ref="AX34">RHOGREEK($B34,100,0.01,AX$23,0.2)</f>
        <v>248.42037180672168</v>
      </c>
      <c r="AY34" s="2" cm="1">
        <f t="array" ref="AY34">RHOGREEK($B34,100,0.01,AY$23,0.2)</f>
        <v>252.71929495756004</v>
      </c>
      <c r="AZ34" s="2" cm="1">
        <f t="array" ref="AZ34">RHOGREEK($B34,100,0.01,AZ$23,0.2)</f>
        <v>256.9986224415502</v>
      </c>
    </row>
    <row r="35" spans="1:52" x14ac:dyDescent="0.3">
      <c r="A35" s="2"/>
      <c r="B35" s="2">
        <v>115</v>
      </c>
      <c r="C35" s="2" cm="1">
        <f t="array" ref="C35">RHOGREEK($B35,100,0.01,C$23,0.2)</f>
        <v>9.8489758625579302</v>
      </c>
      <c r="D35" s="2" cm="1">
        <f t="array" ref="D35">RHOGREEK($B35,100,0.01,D$23,0.2)</f>
        <v>18.727453260072853</v>
      </c>
      <c r="E35" s="2" cm="1">
        <f t="array" ref="E35">RHOGREEK($B35,100,0.01,E$23,0.2)</f>
        <v>26.74171475353192</v>
      </c>
      <c r="F35" s="2" cm="1">
        <f t="array" ref="F35">RHOGREEK($B35,100,0.01,F$23,0.2)</f>
        <v>34.200126589648207</v>
      </c>
      <c r="G35" s="2" cm="1">
        <f t="array" ref="G35">RHOGREEK($B35,100,0.01,G$23,0.2)</f>
        <v>41.277215823472964</v>
      </c>
      <c r="H35" s="2" cm="1">
        <f t="array" ref="H35">RHOGREEK($B35,100,0.01,H$23,0.2)</f>
        <v>48.073652121744175</v>
      </c>
      <c r="I35" s="2" cm="1">
        <f t="array" ref="I35">RHOGREEK($B35,100,0.01,I$23,0.2)</f>
        <v>54.652113577166297</v>
      </c>
      <c r="J35" s="2" cm="1">
        <f t="array" ref="J35">RHOGREEK($B35,100,0.01,J$23,0.2)</f>
        <v>61.054291488019352</v>
      </c>
      <c r="K35" s="2" cm="1">
        <f t="array" ref="K35">RHOGREEK($B35,100,0.01,K$23,0.2)</f>
        <v>67.309416261096175</v>
      </c>
      <c r="L35" s="2" cm="1">
        <f t="array" ref="L35">RHOGREEK($B35,100,0.01,L$23,0.2)</f>
        <v>73.43885824101524</v>
      </c>
      <c r="M35" s="2" cm="1">
        <f t="array" ref="M35">RHOGREEK($B35,100,0.01,M$23,0.2)</f>
        <v>79.458778146251888</v>
      </c>
      <c r="N35" s="2" cm="1">
        <f t="array" ref="N35">RHOGREEK($B35,100,0.01,N$23,0.2)</f>
        <v>85.381740275363398</v>
      </c>
      <c r="O35" s="2" cm="1">
        <f t="array" ref="O35">RHOGREEK($B35,100,0.01,O$23,0.2)</f>
        <v>91.217740659853305</v>
      </c>
      <c r="P35" s="2" cm="1">
        <f t="array" ref="P35">RHOGREEK($B35,100,0.01,P$23,0.2)</f>
        <v>96.974888251429135</v>
      </c>
      <c r="Q35" s="2" cm="1">
        <f t="array" ref="Q35">RHOGREEK($B35,100,0.01,Q$23,0.2)</f>
        <v>102.65987136012461</v>
      </c>
      <c r="R35" s="2" cm="1">
        <f t="array" ref="R35">RHOGREEK($B35,100,0.01,R$23,0.2)</f>
        <v>108.27828621505343</v>
      </c>
      <c r="S35" s="2" cm="1">
        <f t="array" ref="S35">RHOGREEK($B35,100,0.01,S$23,0.2)</f>
        <v>113.83487415197752</v>
      </c>
      <c r="T35" s="2" cm="1">
        <f t="array" ref="T35">RHOGREEK($B35,100,0.01,T$23,0.2)</f>
        <v>119.33369655013396</v>
      </c>
      <c r="U35" s="2" cm="1">
        <f t="array" ref="U35">RHOGREEK($B35,100,0.01,U$23,0.2)</f>
        <v>124.77826631673554</v>
      </c>
      <c r="V35" s="2" cm="1">
        <f t="array" ref="V35">RHOGREEK($B35,100,0.01,V$23,0.2)</f>
        <v>130.1716483822899</v>
      </c>
      <c r="W35" s="2" cm="1">
        <f t="array" ref="W35">RHOGREEK($B35,100,0.01,W$23,0.2)</f>
        <v>135.51653766829455</v>
      </c>
      <c r="X35" s="2" cm="1">
        <f t="array" ref="X35">RHOGREEK($B35,100,0.01,X$23,0.2)</f>
        <v>140.81532039534991</v>
      </c>
      <c r="Y35" s="2" cm="1">
        <f t="array" ref="Y35">RHOGREEK($B35,100,0.01,Y$23,0.2)</f>
        <v>146.07012287953319</v>
      </c>
      <c r="Z35" s="2" cm="1">
        <f t="array" ref="Z35">RHOGREEK($B35,100,0.01,Z$23,0.2)</f>
        <v>151.28285079991707</v>
      </c>
      <c r="AA35" s="2" cm="1">
        <f t="array" ref="AA35">RHOGREEK($B35,100,0.01,AA$23,0.2)</f>
        <v>156.45522111616262</v>
      </c>
      <c r="AB35" s="2" cm="1">
        <f t="array" ref="AB35">RHOGREEK($B35,100,0.01,AB$23,0.2)</f>
        <v>161.58878825070076</v>
      </c>
      <c r="AC35" s="2" cm="1">
        <f t="array" ref="AC35">RHOGREEK($B35,100,0.01,AC$23,0.2)</f>
        <v>166.68496574750907</v>
      </c>
      <c r="AD35" s="2" cm="1">
        <f t="array" ref="AD35">RHOGREEK($B35,100,0.01,AD$23,0.2)</f>
        <v>171.74504432829821</v>
      </c>
      <c r="AE35" s="2" cm="1">
        <f t="array" ref="AE35">RHOGREEK($B35,100,0.01,AE$23,0.2)</f>
        <v>176.77020705345612</v>
      </c>
      <c r="AF35" s="2" cm="1">
        <f t="array" ref="AF35">RHOGREEK($B35,100,0.01,AF$23,0.2)</f>
        <v>181.76154213669031</v>
      </c>
      <c r="AG35" s="2" cm="1">
        <f t="array" ref="AG35">RHOGREEK($B35,100,0.01,AG$23,0.2)</f>
        <v>186.72005384342674</v>
      </c>
      <c r="AH35" s="2" cm="1">
        <f t="array" ref="AH35">RHOGREEK($B35,100,0.01,AH$23,0.2)</f>
        <v>191.64667181286191</v>
      </c>
      <c r="AI35" s="2" cm="1">
        <f t="array" ref="AI35">RHOGREEK($B35,100,0.01,AI$23,0.2)</f>
        <v>196.54225907451516</v>
      </c>
      <c r="AJ35" s="2" cm="1">
        <f t="array" ref="AJ35">RHOGREEK($B35,100,0.01,AJ$23,0.2)</f>
        <v>201.40761897676569</v>
      </c>
      <c r="AK35" s="2" cm="1">
        <f t="array" ref="AK35">RHOGREEK($B35,100,0.01,AK$23,0.2)</f>
        <v>206.2435012032638</v>
      </c>
      <c r="AL35" s="2" cm="1">
        <f t="array" ref="AL35">RHOGREEK($B35,100,0.01,AL$23,0.2)</f>
        <v>211.05060702042684</v>
      </c>
      <c r="AM35" s="2" cm="1">
        <f t="array" ref="AM35">RHOGREEK($B35,100,0.01,AM$23,0.2)</f>
        <v>215.82959387335973</v>
      </c>
      <c r="AN35" s="2" cm="1">
        <f t="array" ref="AN35">RHOGREEK($B35,100,0.01,AN$23,0.2)</f>
        <v>220.58107942691839</v>
      </c>
      <c r="AO35" s="2" cm="1">
        <f t="array" ref="AO35">RHOGREEK($B35,100,0.01,AO$23,0.2)</f>
        <v>225.30564513208424</v>
      </c>
      <c r="AP35" s="2" cm="1">
        <f t="array" ref="AP35">RHOGREEK($B35,100,0.01,AP$23,0.2)</f>
        <v>230.00383938445145</v>
      </c>
      <c r="AQ35" s="2" cm="1">
        <f t="array" ref="AQ35">RHOGREEK($B35,100,0.01,AQ$23,0.2)</f>
        <v>234.67618033077457</v>
      </c>
      <c r="AR35" s="2" cm="1">
        <f t="array" ref="AR35">RHOGREEK($B35,100,0.01,AR$23,0.2)</f>
        <v>239.32315837065198</v>
      </c>
      <c r="AS35" s="2" cm="1">
        <f t="array" ref="AS35">RHOGREEK($B35,100,0.01,AS$23,0.2)</f>
        <v>243.94523839313743</v>
      </c>
      <c r="AT35" s="2" cm="1">
        <f t="array" ref="AT35">RHOGREEK($B35,100,0.01,AT$23,0.2)</f>
        <v>248.54286178205993</v>
      </c>
      <c r="AU35" s="2" cm="1">
        <f t="array" ref="AU35">RHOGREEK($B35,100,0.01,AU$23,0.2)</f>
        <v>253.11644821884346</v>
      </c>
      <c r="AV35" s="2" cm="1">
        <f t="array" ref="AV35">RHOGREEK($B35,100,0.01,AV$23,0.2)</f>
        <v>257.66639730746357</v>
      </c>
      <c r="AW35" s="2" cm="1">
        <f t="array" ref="AW35">RHOGREEK($B35,100,0.01,AW$23,0.2)</f>
        <v>262.19309004270082</v>
      </c>
      <c r="AX35" s="2" cm="1">
        <f t="array" ref="AX35">RHOGREEK($B35,100,0.01,AX$23,0.2)</f>
        <v>266.69689013992627</v>
      </c>
      <c r="AY35" s="2" cm="1">
        <f t="array" ref="AY35">RHOGREEK($B35,100,0.01,AY$23,0.2)</f>
        <v>271.17814524219278</v>
      </c>
      <c r="AZ35" s="2" cm="1">
        <f t="array" ref="AZ35">RHOGREEK($B35,100,0.01,AZ$23,0.2)</f>
        <v>275.63718801831254</v>
      </c>
    </row>
    <row r="36" spans="1:52" x14ac:dyDescent="0.3">
      <c r="A36" s="2"/>
      <c r="B36" s="2">
        <v>120</v>
      </c>
      <c r="C36" s="2" cm="1">
        <f t="array" ref="C36">RHOGREEK($B36,100,0.01,C$23,0.2)</f>
        <v>9.9693029945287854</v>
      </c>
      <c r="D36" s="2" cm="1">
        <f t="array" ref="D36">RHOGREEK($B36,100,0.01,D$23,0.2)</f>
        <v>19.522974084010126</v>
      </c>
      <c r="E36" s="2" cm="1">
        <f t="array" ref="E36">RHOGREEK($B36,100,0.01,E$23,0.2)</f>
        <v>28.39016422301777</v>
      </c>
      <c r="F36" s="2" cm="1">
        <f t="array" ref="F36">RHOGREEK($B36,100,0.01,F$23,0.2)</f>
        <v>36.680746478076991</v>
      </c>
      <c r="G36" s="2" cm="1">
        <f t="array" ref="G36">RHOGREEK($B36,100,0.01,G$23,0.2)</f>
        <v>44.52940714583994</v>
      </c>
      <c r="H36" s="2" cm="1">
        <f t="array" ref="H36">RHOGREEK($B36,100,0.01,H$23,0.2)</f>
        <v>52.035124616342841</v>
      </c>
      <c r="I36" s="2" cm="1">
        <f t="array" ref="I36">RHOGREEK($B36,100,0.01,I$23,0.2)</f>
        <v>59.267237553388952</v>
      </c>
      <c r="J36" s="2" cm="1">
        <f t="array" ref="J36">RHOGREEK($B36,100,0.01,J$23,0.2)</f>
        <v>66.275083755870511</v>
      </c>
      <c r="K36" s="2" cm="1">
        <f t="array" ref="K36">RHOGREEK($B36,100,0.01,K$23,0.2)</f>
        <v>73.094735333031409</v>
      </c>
      <c r="L36" s="2" cm="1">
        <f t="array" ref="L36">RHOGREEK($B36,100,0.01,L$23,0.2)</f>
        <v>79.753296736124071</v>
      </c>
      <c r="M36" s="2" cm="1">
        <f t="array" ref="M36">RHOGREEK($B36,100,0.01,M$23,0.2)</f>
        <v>86.27164604316286</v>
      </c>
      <c r="N36" s="2" cm="1">
        <f t="array" ref="N36">RHOGREEK($B36,100,0.01,N$23,0.2)</f>
        <v>92.666220586205981</v>
      </c>
      <c r="O36" s="2" cm="1">
        <f t="array" ref="O36">RHOGREEK($B36,100,0.01,O$23,0.2)</f>
        <v>98.950210815958272</v>
      </c>
      <c r="P36" s="2" cm="1">
        <f t="array" ref="P36">RHOGREEK($B36,100,0.01,P$23,0.2)</f>
        <v>105.13437955576562</v>
      </c>
      <c r="Q36" s="2" cm="1">
        <f t="array" ref="Q36">RHOGREEK($B36,100,0.01,Q$23,0.2)</f>
        <v>111.22763803332587</v>
      </c>
      <c r="R36" s="2" cm="1">
        <f t="array" ref="R36">RHOGREEK($B36,100,0.01,R$23,0.2)</f>
        <v>117.23745998936677</v>
      </c>
      <c r="S36" s="2" cm="1">
        <f t="array" ref="S36">RHOGREEK($B36,100,0.01,S$23,0.2)</f>
        <v>123.17018541516252</v>
      </c>
      <c r="T36" s="2" cm="1">
        <f t="array" ref="T36">RHOGREEK($B36,100,0.01,T$23,0.2)</f>
        <v>129.03124740461573</v>
      </c>
      <c r="U36" s="2" cm="1">
        <f t="array" ref="U36">RHOGREEK($B36,100,0.01,U$23,0.2)</f>
        <v>134.82534437247151</v>
      </c>
      <c r="V36" s="2" cm="1">
        <f t="array" ref="V36">RHOGREEK($B36,100,0.01,V$23,0.2)</f>
        <v>140.55657274099252</v>
      </c>
      <c r="W36" s="2" cm="1">
        <f t="array" ref="W36">RHOGREEK($B36,100,0.01,W$23,0.2)</f>
        <v>146.22853054687866</v>
      </c>
      <c r="X36" s="2" cm="1">
        <f t="array" ref="X36">RHOGREEK($B36,100,0.01,X$23,0.2)</f>
        <v>151.84439933243175</v>
      </c>
      <c r="Y36" s="2" cm="1">
        <f t="array" ref="Y36">RHOGREEK($B36,100,0.01,Y$23,0.2)</f>
        <v>157.40700959544188</v>
      </c>
      <c r="Z36" s="2" cm="1">
        <f t="array" ref="Z36">RHOGREEK($B36,100,0.01,Z$23,0.2)</f>
        <v>162.9188936331866</v>
      </c>
      <c r="AA36" s="2" cm="1">
        <f t="array" ref="AA36">RHOGREEK($B36,100,0.01,AA$23,0.2)</f>
        <v>168.382328608569</v>
      </c>
      <c r="AB36" s="2" cm="1">
        <f t="array" ref="AB36">RHOGREEK($B36,100,0.01,AB$23,0.2)</f>
        <v>173.79937195057423</v>
      </c>
      <c r="AC36" s="2" cm="1">
        <f t="array" ref="AC36">RHOGREEK($B36,100,0.01,AC$23,0.2)</f>
        <v>179.17189068540515</v>
      </c>
      <c r="AD36" s="2" cm="1">
        <f t="array" ref="AD36">RHOGREEK($B36,100,0.01,AD$23,0.2)</f>
        <v>184.50158591813749</v>
      </c>
      <c r="AE36" s="2" cm="1">
        <f t="array" ref="AE36">RHOGREEK($B36,100,0.01,AE$23,0.2)</f>
        <v>189.7900134065834</v>
      </c>
      <c r="AF36" s="2" cm="1">
        <f t="array" ref="AF36">RHOGREEK($B36,100,0.01,AF$23,0.2)</f>
        <v>195.03860096125632</v>
      </c>
      <c r="AG36" s="2" cm="1">
        <f t="array" ref="AG36">RHOGREEK($B36,100,0.01,AG$23,0.2)</f>
        <v>200.24866324847756</v>
      </c>
      <c r="AH36" s="2" cm="1">
        <f t="array" ref="AH36">RHOGREEK($B36,100,0.01,AH$23,0.2)</f>
        <v>205.42141445409717</v>
      </c>
      <c r="AI36" s="2" cm="1">
        <f t="array" ref="AI36">RHOGREEK($B36,100,0.01,AI$23,0.2)</f>
        <v>210.55797917333442</v>
      </c>
      <c r="AJ36" s="2" cm="1">
        <f t="array" ref="AJ36">RHOGREEK($B36,100,0.01,AJ$23,0.2)</f>
        <v>215.65940182088951</v>
      </c>
      <c r="AK36" s="2" cm="1">
        <f t="array" ref="AK36">RHOGREEK($B36,100,0.01,AK$23,0.2)</f>
        <v>220.72665479967583</v>
      </c>
      <c r="AL36" s="2" cm="1">
        <f t="array" ref="AL36">RHOGREEK($B36,100,0.01,AL$23,0.2)</f>
        <v>225.76064562254984</v>
      </c>
      <c r="AM36" s="2" cm="1">
        <f t="array" ref="AM36">RHOGREEK($B36,100,0.01,AM$23,0.2)</f>
        <v>230.76222314651963</v>
      </c>
      <c r="AN36" s="2" cm="1">
        <f t="array" ref="AN36">RHOGREEK($B36,100,0.01,AN$23,0.2)</f>
        <v>235.73218305103018</v>
      </c>
      <c r="AO36" s="2" cm="1">
        <f t="array" ref="AO36">RHOGREEK($B36,100,0.01,AO$23,0.2)</f>
        <v>240.67127266950595</v>
      </c>
      <c r="AP36" s="2" cm="1">
        <f t="array" ref="AP36">RHOGREEK($B36,100,0.01,AP$23,0.2)</f>
        <v>245.58019526519712</v>
      </c>
      <c r="AQ36" s="2" cm="1">
        <f t="array" ref="AQ36">RHOGREEK($B36,100,0.01,AQ$23,0.2)</f>
        <v>250.45961382762172</v>
      </c>
      <c r="AR36" s="2" cm="1">
        <f t="array" ref="AR36">RHOGREEK($B36,100,0.01,AR$23,0.2)</f>
        <v>255.31015445383105</v>
      </c>
      <c r="AS36" s="2" cm="1">
        <f t="array" ref="AS36">RHOGREEK($B36,100,0.01,AS$23,0.2)</f>
        <v>260.13240936880339</v>
      </c>
      <c r="AT36" s="2" cm="1">
        <f t="array" ref="AT36">RHOGREEK($B36,100,0.01,AT$23,0.2)</f>
        <v>264.92693963107473</v>
      </c>
      <c r="AU36" s="2" cm="1">
        <f t="array" ref="AU36">RHOGREEK($B36,100,0.01,AU$23,0.2)</f>
        <v>269.6942775629131</v>
      </c>
      <c r="AV36" s="2" cm="1">
        <f t="array" ref="AV36">RHOGREEK($B36,100,0.01,AV$23,0.2)</f>
        <v>274.43492893866892</v>
      </c>
      <c r="AW36" s="2" cm="1">
        <f t="array" ref="AW36">RHOGREEK($B36,100,0.01,AW$23,0.2)</f>
        <v>279.14937496018666</v>
      </c>
      <c r="AX36" s="2" cm="1">
        <f t="array" ref="AX36">RHOGREEK($B36,100,0.01,AX$23,0.2)</f>
        <v>283.83807404416842</v>
      </c>
      <c r="AY36" s="2" cm="1">
        <f t="array" ref="AY36">RHOGREEK($B36,100,0.01,AY$23,0.2)</f>
        <v>288.5014634430118</v>
      </c>
      <c r="AZ36" s="2" cm="1">
        <f t="array" ref="AZ36">RHOGREEK($B36,100,0.01,AZ$23,0.2)</f>
        <v>293.13996071778939</v>
      </c>
    </row>
    <row r="37" spans="1:52" x14ac:dyDescent="0.3">
      <c r="A37" s="2"/>
      <c r="B37" s="2">
        <v>125</v>
      </c>
      <c r="C37" s="2" cm="1">
        <f t="array" ref="C37">RHOGREEK($B37,100,0.01,C$23,0.2)</f>
        <v>9.9877868050641503</v>
      </c>
      <c r="D37" s="2" cm="1">
        <f t="array" ref="D37">RHOGREEK($B37,100,0.01,D$23,0.2)</f>
        <v>19.8261213746312</v>
      </c>
      <c r="E37" s="2" cm="1">
        <f t="array" ref="E37">RHOGREEK($B37,100,0.01,E$23,0.2)</f>
        <v>29.245072006046914</v>
      </c>
      <c r="F37" s="2" cm="1">
        <f t="array" ref="F37">RHOGREEK($B37,100,0.01,F$23,0.2)</f>
        <v>38.183205335550987</v>
      </c>
      <c r="G37" s="2" cm="1">
        <f t="array" ref="G37">RHOGREEK($B37,100,0.01,G$23,0.2)</f>
        <v>46.692198548977835</v>
      </c>
      <c r="H37" s="2" cm="1">
        <f t="array" ref="H37">RHOGREEK($B37,100,0.01,H$23,0.2)</f>
        <v>54.839430840815332</v>
      </c>
      <c r="I37" s="2" cm="1">
        <f t="array" ref="I37">RHOGREEK($B37,100,0.01,I$23,0.2)</f>
        <v>62.683596450535603</v>
      </c>
      <c r="J37" s="2" cm="1">
        <f t="array" ref="J37">RHOGREEK($B37,100,0.01,J$23,0.2)</f>
        <v>70.271704194040638</v>
      </c>
      <c r="K37" s="2" cm="1">
        <f t="array" ref="K37">RHOGREEK($B37,100,0.01,K$23,0.2)</f>
        <v>77.640758146235612</v>
      </c>
      <c r="L37" s="2" cm="1">
        <f t="array" ref="L37">RHOGREEK($B37,100,0.01,L$23,0.2)</f>
        <v>84.819982584634872</v>
      </c>
      <c r="M37" s="2" cm="1">
        <f t="array" ref="M37">RHOGREEK($B37,100,0.01,M$23,0.2)</f>
        <v>91.832695816939776</v>
      </c>
      <c r="N37" s="2" cm="1">
        <f t="array" ref="N37">RHOGREEK($B37,100,0.01,N$23,0.2)</f>
        <v>98.697735694326767</v>
      </c>
      <c r="O37" s="2" cm="1">
        <f t="array" ref="O37">RHOGREEK($B37,100,0.01,O$23,0.2)</f>
        <v>105.43051355826336</v>
      </c>
      <c r="P37" s="2" cm="1">
        <f t="array" ref="P37">RHOGREEK($B37,100,0.01,P$23,0.2)</f>
        <v>112.04379047813339</v>
      </c>
      <c r="Q37" s="2" cm="1">
        <f t="array" ref="Q37">RHOGREEK($B37,100,0.01,Q$23,0.2)</f>
        <v>118.54825237304844</v>
      </c>
      <c r="R37" s="2" cm="1">
        <f t="array" ref="R37">RHOGREEK($B37,100,0.01,R$23,0.2)</f>
        <v>124.95294041224376</v>
      </c>
      <c r="S37" s="2" cm="1">
        <f t="array" ref="S37">RHOGREEK($B37,100,0.01,S$23,0.2)</f>
        <v>131.26557684852222</v>
      </c>
      <c r="T37" s="2" cm="1">
        <f t="array" ref="T37">RHOGREEK($B37,100,0.01,T$23,0.2)</f>
        <v>137.492814637484</v>
      </c>
      <c r="U37" s="2" cm="1">
        <f t="array" ref="U37">RHOGREEK($B37,100,0.01,U$23,0.2)</f>
        <v>143.64043091141022</v>
      </c>
      <c r="V37" s="2" cm="1">
        <f t="array" ref="V37">RHOGREEK($B37,100,0.01,V$23,0.2)</f>
        <v>149.71347861958171</v>
      </c>
      <c r="W37" s="2" cm="1">
        <f t="array" ref="W37">RHOGREEK($B37,100,0.01,W$23,0.2)</f>
        <v>155.71640664155908</v>
      </c>
      <c r="X37" s="2" cm="1">
        <f t="array" ref="X37">RHOGREEK($B37,100,0.01,X$23,0.2)</f>
        <v>161.65315587575483</v>
      </c>
      <c r="Y37" s="2" cm="1">
        <f t="array" ref="Y37">RHOGREEK($B37,100,0.01,Y$23,0.2)</f>
        <v>167.52723682476258</v>
      </c>
      <c r="Z37" s="2" cm="1">
        <f t="array" ref="Z37">RHOGREEK($B37,100,0.01,Z$23,0.2)</f>
        <v>173.34179278544363</v>
      </c>
      <c r="AA37" s="2" cm="1">
        <f t="array" ref="AA37">RHOGREEK($B37,100,0.01,AA$23,0.2)</f>
        <v>179.09965173251067</v>
      </c>
      <c r="AB37" s="2" cm="1">
        <f t="array" ref="AB37">RHOGREEK($B37,100,0.01,AB$23,0.2)</f>
        <v>184.80336924155054</v>
      </c>
      <c r="AC37" s="2" cm="1">
        <f t="array" ref="AC37">RHOGREEK($B37,100,0.01,AC$23,0.2)</f>
        <v>190.45526425048573</v>
      </c>
      <c r="AD37" s="2" cm="1">
        <f t="array" ref="AD37">RHOGREEK($B37,100,0.01,AD$23,0.2)</f>
        <v>196.05744905169558</v>
      </c>
      <c r="AE37" s="2" cm="1">
        <f t="array" ref="AE37">RHOGREEK($B37,100,0.01,AE$23,0.2)</f>
        <v>201.61185460156619</v>
      </c>
      <c r="AF37" s="2" cm="1">
        <f t="array" ref="AF37">RHOGREEK($B37,100,0.01,AF$23,0.2)</f>
        <v>207.12025200276011</v>
      </c>
      <c r="AG37" s="2" cm="1">
        <f t="array" ref="AG37">RHOGREEK($B37,100,0.01,AG$23,0.2)</f>
        <v>212.5842708375425</v>
      </c>
      <c r="AH37" s="2" cm="1">
        <f t="array" ref="AH37">RHOGREEK($B37,100,0.01,AH$23,0.2)</f>
        <v>218.00541489409568</v>
      </c>
      <c r="AI37" s="2" cm="1">
        <f t="array" ref="AI37">RHOGREEK($B37,100,0.01,AI$23,0.2)</f>
        <v>223.38507572177815</v>
      </c>
      <c r="AJ37" s="2" cm="1">
        <f t="array" ref="AJ37">RHOGREEK($B37,100,0.01,AJ$23,0.2)</f>
        <v>228.72454436833027</v>
      </c>
      <c r="AK37" s="2" cm="1">
        <f t="array" ref="AK37">RHOGREEK($B37,100,0.01,AK$23,0.2)</f>
        <v>234.02502158663111</v>
      </c>
      <c r="AL37" s="2" cm="1">
        <f t="array" ref="AL37">RHOGREEK($B37,100,0.01,AL$23,0.2)</f>
        <v>239.28762674670665</v>
      </c>
      <c r="AM37" s="2" cm="1">
        <f t="array" ref="AM37">RHOGREEK($B37,100,0.01,AM$23,0.2)</f>
        <v>244.51340564723014</v>
      </c>
      <c r="AN37" s="2" cm="1">
        <f t="array" ref="AN37">RHOGREEK($B37,100,0.01,AN$23,0.2)</f>
        <v>249.70333738743304</v>
      </c>
      <c r="AO37" s="2" cm="1">
        <f t="array" ref="AO37">RHOGREEK($B37,100,0.01,AO$23,0.2)</f>
        <v>254.85834043341276</v>
      </c>
      <c r="AP37" s="2" cm="1">
        <f t="array" ref="AP37">RHOGREEK($B37,100,0.01,AP$23,0.2)</f>
        <v>259.97927799092867</v>
      </c>
      <c r="AQ37" s="2" cm="1">
        <f t="array" ref="AQ37">RHOGREEK($B37,100,0.01,AQ$23,0.2)</f>
        <v>265.06696277889193</v>
      </c>
      <c r="AR37" s="2" cm="1">
        <f t="array" ref="AR37">RHOGREEK($B37,100,0.01,AR$23,0.2)</f>
        <v>270.12216128306079</v>
      </c>
      <c r="AS37" s="2" cm="1">
        <f t="array" ref="AS37">RHOGREEK($B37,100,0.01,AS$23,0.2)</f>
        <v>275.14559755733603</v>
      </c>
      <c r="AT37" s="2" cm="1">
        <f t="array" ref="AT37">RHOGREEK($B37,100,0.01,AT$23,0.2)</f>
        <v>280.1379566299978</v>
      </c>
      <c r="AU37" s="2" cm="1">
        <f t="array" ref="AU37">RHOGREEK($B37,100,0.01,AU$23,0.2)</f>
        <v>285.09988756386525</v>
      </c>
      <c r="AV37" s="2" cm="1">
        <f t="array" ref="AV37">RHOGREEK($B37,100,0.01,AV$23,0.2)</f>
        <v>290.03200621235965</v>
      </c>
      <c r="AW37" s="2" cm="1">
        <f t="array" ref="AW37">RHOGREEK($B37,100,0.01,AW$23,0.2)</f>
        <v>294.93489770758788</v>
      </c>
      <c r="AX37" s="2" cm="1">
        <f t="array" ref="AX37">RHOGREEK($B37,100,0.01,AX$23,0.2)</f>
        <v>299.80911871160851</v>
      </c>
      <c r="AY37" s="2" cm="1">
        <f t="array" ref="AY37">RHOGREEK($B37,100,0.01,AY$23,0.2)</f>
        <v>304.65519945786616</v>
      </c>
      <c r="AZ37" s="2" cm="1">
        <f t="array" ref="AZ37">RHOGREEK($B37,100,0.01,AZ$23,0.2)</f>
        <v>309.47364560622196</v>
      </c>
    </row>
    <row r="38" spans="1:52" x14ac:dyDescent="0.3">
      <c r="A38" s="2"/>
      <c r="B38" s="2">
        <v>130</v>
      </c>
      <c r="C38" s="2" cm="1">
        <f t="array" ref="C38">RHOGREEK($B38,100,0.01,C$23,0.2)</f>
        <v>9.989825783141761</v>
      </c>
      <c r="D38" s="2" cm="1">
        <f t="array" ref="D38">RHOGREEK($B38,100,0.01,D$23,0.2)</f>
        <v>19.924080062887661</v>
      </c>
      <c r="E38" s="2" cm="1">
        <f t="array" ref="E38">RHOGREEK($B38,100,0.01,E$23,0.2)</f>
        <v>29.642425234579129</v>
      </c>
      <c r="F38" s="2" cm="1">
        <f t="array" ref="F38">RHOGREEK($B38,100,0.01,F$23,0.2)</f>
        <v>39.021658405667154</v>
      </c>
      <c r="G38" s="2" cm="1">
        <f t="array" ref="G38">RHOGREEK($B38,100,0.01,G$23,0.2)</f>
        <v>48.039616695751526</v>
      </c>
      <c r="H38" s="2" cm="1">
        <f t="array" ref="H38">RHOGREEK($B38,100,0.01,H$23,0.2)</f>
        <v>56.719853041525752</v>
      </c>
      <c r="I38" s="2" cm="1">
        <f t="array" ref="I38">RHOGREEK($B38,100,0.01,I$23,0.2)</f>
        <v>65.098182663181063</v>
      </c>
      <c r="J38" s="2" cm="1">
        <f t="array" ref="J38">RHOGREEK($B38,100,0.01,J$23,0.2)</f>
        <v>73.210216289147141</v>
      </c>
      <c r="K38" s="2" cm="1">
        <f t="array" ref="K38">RHOGREEK($B38,100,0.01,K$23,0.2)</f>
        <v>81.087590504535044</v>
      </c>
      <c r="L38" s="2" cm="1">
        <f t="array" ref="L38">RHOGREEK($B38,100,0.01,L$23,0.2)</f>
        <v>88.757319713568393</v>
      </c>
      <c r="M38" s="2" cm="1">
        <f t="array" ref="M38">RHOGREEK($B38,100,0.01,M$23,0.2)</f>
        <v>96.242165870813224</v>
      </c>
      <c r="N38" s="2" cm="1">
        <f t="array" ref="N38">RHOGREEK($B38,100,0.01,N$23,0.2)</f>
        <v>103.56126648920475</v>
      </c>
      <c r="O38" s="2" cm="1">
        <f t="array" ref="O38">RHOGREEK($B38,100,0.01,O$23,0.2)</f>
        <v>110.73075933133246</v>
      </c>
      <c r="P38" s="2" cm="1">
        <f t="array" ref="P38">RHOGREEK($B38,100,0.01,P$23,0.2)</f>
        <v>117.7643251164187</v>
      </c>
      <c r="Q38" s="2" cm="1">
        <f t="array" ref="Q38">RHOGREEK($B38,100,0.01,Q$23,0.2)</f>
        <v>124.67363530085693</v>
      </c>
      <c r="R38" s="2" cm="1">
        <f t="array" ref="R38">RHOGREEK($B38,100,0.01,R$23,0.2)</f>
        <v>131.46871378977332</v>
      </c>
      <c r="S38" s="2" cm="1">
        <f t="array" ref="S38">RHOGREEK($B38,100,0.01,S$23,0.2)</f>
        <v>138.15822691407394</v>
      </c>
      <c r="T38" s="2" cm="1">
        <f t="array" ref="T38">RHOGREEK($B38,100,0.01,T$23,0.2)</f>
        <v>144.74971570890841</v>
      </c>
      <c r="U38" s="2" cm="1">
        <f t="array" ref="U38">RHOGREEK($B38,100,0.01,U$23,0.2)</f>
        <v>151.24978248367267</v>
      </c>
      <c r="V38" s="2" cm="1">
        <f t="array" ref="V38">RHOGREEK($B38,100,0.01,V$23,0.2)</f>
        <v>157.66424137341923</v>
      </c>
      <c r="W38" s="2" cm="1">
        <f t="array" ref="W38">RHOGREEK($B38,100,0.01,W$23,0.2)</f>
        <v>163.99824050897516</v>
      </c>
      <c r="X38" s="2" cm="1">
        <f t="array" ref="X38">RHOGREEK($B38,100,0.01,X$23,0.2)</f>
        <v>170.25636176013873</v>
      </c>
      <c r="Y38" s="2" cm="1">
        <f t="array" ref="Y38">RHOGREEK($B38,100,0.01,Y$23,0.2)</f>
        <v>176.44270267799365</v>
      </c>
      <c r="Z38" s="2" cm="1">
        <f t="array" ref="Z38">RHOGREEK($B38,100,0.01,Z$23,0.2)</f>
        <v>182.56094423252131</v>
      </c>
      <c r="AA38" s="2" cm="1">
        <f t="array" ref="AA38">RHOGREEK($B38,100,0.01,AA$23,0.2)</f>
        <v>188.61440714938252</v>
      </c>
      <c r="AB38" s="2" cm="1">
        <f t="array" ref="AB38">RHOGREEK($B38,100,0.01,AB$23,0.2)</f>
        <v>194.60609904147438</v>
      </c>
      <c r="AC38" s="2" cm="1">
        <f t="array" ref="AC38">RHOGREEK($B38,100,0.01,AC$23,0.2)</f>
        <v>200.53875406336624</v>
      </c>
      <c r="AD38" s="2" cm="1">
        <f t="array" ref="AD38">RHOGREEK($B38,100,0.01,AD$23,0.2)</f>
        <v>206.41486645630164</v>
      </c>
      <c r="AE38" s="2" cm="1">
        <f t="array" ref="AE38">RHOGREEK($B38,100,0.01,AE$23,0.2)</f>
        <v>212.23671907241214</v>
      </c>
      <c r="AF38" s="2" cm="1">
        <f t="array" ref="AF38">RHOGREEK($B38,100,0.01,AF$23,0.2)</f>
        <v>218.0064077496892</v>
      </c>
      <c r="AG38" s="2" cm="1">
        <f t="array" ref="AG38">RHOGREEK($B38,100,0.01,AG$23,0.2)</f>
        <v>223.72586223945231</v>
      </c>
      <c r="AH38" s="2" cm="1">
        <f t="array" ref="AH38">RHOGREEK($B38,100,0.01,AH$23,0.2)</f>
        <v>229.39686425450574</v>
      </c>
      <c r="AI38" s="2" cm="1">
        <f t="array" ref="AI38">RHOGREEK($B38,100,0.01,AI$23,0.2)</f>
        <v>235.02106310056189</v>
      </c>
      <c r="AJ38" s="2" cm="1">
        <f t="array" ref="AJ38">RHOGREEK($B38,100,0.01,AJ$23,0.2)</f>
        <v>240.59998926952923</v>
      </c>
      <c r="AK38" s="2" cm="1">
        <f t="array" ref="AK38">RHOGREEK($B38,100,0.01,AK$23,0.2)</f>
        <v>246.13506630611039</v>
      </c>
      <c r="AL38" s="2" cm="1">
        <f t="array" ref="AL38">RHOGREEK($B38,100,0.01,AL$23,0.2)</f>
        <v>251.62762120518866</v>
      </c>
      <c r="AM38" s="2" cm="1">
        <f t="array" ref="AM38">RHOGREEK($B38,100,0.01,AM$23,0.2)</f>
        <v>257.0788935538697</v>
      </c>
      <c r="AN38" s="2" cm="1">
        <f t="array" ref="AN38">RHOGREEK($B38,100,0.01,AN$23,0.2)</f>
        <v>262.49004359663627</v>
      </c>
      <c r="AO38" s="2" cm="1">
        <f t="array" ref="AO38">RHOGREEK($B38,100,0.01,AO$23,0.2)</f>
        <v>267.86215937318008</v>
      </c>
      <c r="AP38" s="2" cm="1">
        <f t="array" ref="AP38">RHOGREEK($B38,100,0.01,AP$23,0.2)</f>
        <v>273.19626305478522</v>
      </c>
      <c r="AQ38" s="2" cm="1">
        <f t="array" ref="AQ38">RHOGREEK($B38,100,0.01,AQ$23,0.2)</f>
        <v>278.49331658563358</v>
      </c>
      <c r="AR38" s="2" cm="1">
        <f t="array" ref="AR38">RHOGREEK($B38,100,0.01,AR$23,0.2)</f>
        <v>283.75422671926339</v>
      </c>
      <c r="AS38" s="2" cm="1">
        <f t="array" ref="AS38">RHOGREEK($B38,100,0.01,AS$23,0.2)</f>
        <v>288.9798495270137</v>
      </c>
      <c r="AT38" s="2" cm="1">
        <f t="array" ref="AT38">RHOGREEK($B38,100,0.01,AT$23,0.2)</f>
        <v>294.17099444410718</v>
      </c>
      <c r="AU38" s="2" cm="1">
        <f t="array" ref="AU38">RHOGREEK($B38,100,0.01,AU$23,0.2)</f>
        <v>299.32842790966822</v>
      </c>
      <c r="AV38" s="2" cm="1">
        <f t="array" ref="AV38">RHOGREEK($B38,100,0.01,AV$23,0.2)</f>
        <v>304.45287664910694</v>
      </c>
      <c r="AW38" s="2" cm="1">
        <f t="array" ref="AW38">RHOGREEK($B38,100,0.01,AW$23,0.2)</f>
        <v>309.54503064066824</v>
      </c>
      <c r="AX38" s="2" cm="1">
        <f t="array" ref="AX38">RHOGREEK($B38,100,0.01,AX$23,0.2)</f>
        <v>314.60554580232815</v>
      </c>
      <c r="AY38" s="2" cm="1">
        <f t="array" ref="AY38">RHOGREEK($B38,100,0.01,AY$23,0.2)</f>
        <v>319.63504643045547</v>
      </c>
      <c r="AZ38" s="2" cm="1">
        <f t="array" ref="AZ38">RHOGREEK($B38,100,0.01,AZ$23,0.2)</f>
        <v>324.63412741759055</v>
      </c>
    </row>
    <row r="39" spans="1:52" x14ac:dyDescent="0.3">
      <c r="A39" s="2"/>
      <c r="B39" s="2">
        <v>135</v>
      </c>
      <c r="C39" s="2" cm="1">
        <f t="array" ref="C39">RHOGREEK($B39,100,0.01,C$23,0.2)</f>
        <v>9.9899937425487071</v>
      </c>
      <c r="D39" s="2" cm="1">
        <f t="array" ref="D39">RHOGREEK($B39,100,0.01,D$23,0.2)</f>
        <v>19.951462891393383</v>
      </c>
      <c r="E39" s="2" cm="1">
        <f t="array" ref="E39">RHOGREEK($B39,100,0.01,E$23,0.2)</f>
        <v>29.810172215636356</v>
      </c>
      <c r="F39" s="2" cm="1">
        <f t="array" ref="F39">RHOGREEK($B39,100,0.01,F$23,0.2)</f>
        <v>39.457121776080655</v>
      </c>
      <c r="G39" s="2" cm="1">
        <f t="array" ref="G39">RHOGREEK($B39,100,0.01,G$23,0.2)</f>
        <v>48.832355634235014</v>
      </c>
      <c r="H39" s="2" cm="1">
        <f t="array" ref="H39">RHOGREEK($B39,100,0.01,H$23,0.2)</f>
        <v>57.922265459566475</v>
      </c>
      <c r="I39" s="2" cm="1">
        <f t="array" ref="I39">RHOGREEK($B39,100,0.01,I$23,0.2)</f>
        <v>66.73692184392155</v>
      </c>
      <c r="J39" s="2" cm="1">
        <f t="array" ref="J39">RHOGREEK($B39,100,0.01,J$23,0.2)</f>
        <v>75.295737423125914</v>
      </c>
      <c r="K39" s="2" cm="1">
        <f t="array" ref="K39">RHOGREEK($B39,100,0.01,K$23,0.2)</f>
        <v>83.62051674627169</v>
      </c>
      <c r="L39" s="2" cm="1">
        <f t="array" ref="L39">RHOGREEK($B39,100,0.01,L$23,0.2)</f>
        <v>91.732436651684779</v>
      </c>
      <c r="M39" s="2" cm="1">
        <f t="array" ref="M39">RHOGREEK($B39,100,0.01,M$23,0.2)</f>
        <v>99.650887955721103</v>
      </c>
      <c r="N39" s="2" cm="1">
        <f t="array" ref="N39">RHOGREEK($B39,100,0.01,N$23,0.2)</f>
        <v>107.39315723574289</v>
      </c>
      <c r="O39" s="2" cm="1">
        <f t="array" ref="O39">RHOGREEK($B39,100,0.01,O$23,0.2)</f>
        <v>114.97446966285729</v>
      </c>
      <c r="P39" s="2" cm="1">
        <f t="array" ref="P39">RHOGREEK($B39,100,0.01,P$23,0.2)</f>
        <v>122.40817222241328</v>
      </c>
      <c r="Q39" s="2" cm="1">
        <f t="array" ref="Q39">RHOGREEK($B39,100,0.01,Q$23,0.2)</f>
        <v>129.70595750120449</v>
      </c>
      <c r="R39" s="2" cm="1">
        <f t="array" ref="R39">RHOGREEK($B39,100,0.01,R$23,0.2)</f>
        <v>136.87808460213029</v>
      </c>
      <c r="S39" s="2" cm="1">
        <f t="array" ref="S39">RHOGREEK($B39,100,0.01,S$23,0.2)</f>
        <v>143.9335799807825</v>
      </c>
      <c r="T39" s="2" cm="1">
        <f t="array" ref="T39">RHOGREEK($B39,100,0.01,T$23,0.2)</f>
        <v>150.88041303921528</v>
      </c>
      <c r="U39" s="2" cm="1">
        <f t="array" ref="U39">RHOGREEK($B39,100,0.01,U$23,0.2)</f>
        <v>157.72564663370272</v>
      </c>
      <c r="V39" s="2" cm="1">
        <f t="array" ref="V39">RHOGREEK($B39,100,0.01,V$23,0.2)</f>
        <v>164.47556479755497</v>
      </c>
      <c r="W39" s="2" cm="1">
        <f t="array" ref="W39">RHOGREEK($B39,100,0.01,W$23,0.2)</f>
        <v>171.13578064331162</v>
      </c>
      <c r="X39" s="2" cm="1">
        <f t="array" ref="X39">RHOGREEK($B39,100,0.01,X$23,0.2)</f>
        <v>177.71132740782372</v>
      </c>
      <c r="Y39" s="2" cm="1">
        <f t="array" ref="Y39">RHOGREEK($B39,100,0.01,Y$23,0.2)</f>
        <v>184.20673533132472</v>
      </c>
      <c r="Z39" s="2" cm="1">
        <f t="array" ref="Z39">RHOGREEK($B39,100,0.01,Z$23,0.2)</f>
        <v>190.62609670309027</v>
      </c>
      <c r="AA39" s="2" cm="1">
        <f t="array" ref="AA39">RHOGREEK($B39,100,0.01,AA$23,0.2)</f>
        <v>196.97312104593431</v>
      </c>
      <c r="AB39" s="2" cm="1">
        <f t="array" ref="AB39">RHOGREEK($B39,100,0.01,AB$23,0.2)</f>
        <v>203.25118208448924</v>
      </c>
      <c r="AC39" s="2" cm="1">
        <f t="array" ref="AC39">RHOGREEK($B39,100,0.01,AC$23,0.2)</f>
        <v>209.46335785925817</v>
      </c>
      <c r="AD39" s="2" cm="1">
        <f t="array" ref="AD39">RHOGREEK($B39,100,0.01,AD$23,0.2)</f>
        <v>215.61246511026602</v>
      </c>
      <c r="AE39" s="2" cm="1">
        <f t="array" ref="AE39">RHOGREEK($B39,100,0.01,AE$23,0.2)</f>
        <v>221.70108885668176</v>
      </c>
      <c r="AF39" s="2" cm="1">
        <f t="array" ref="AF39">RHOGREEK($B39,100,0.01,AF$23,0.2)</f>
        <v>227.7316079364563</v>
      </c>
      <c r="AG39" s="2" cm="1">
        <f t="array" ref="AG39">RHOGREEK($B39,100,0.01,AG$23,0.2)</f>
        <v>233.70621713715138</v>
      </c>
      <c r="AH39" s="2" cm="1">
        <f t="array" ref="AH39">RHOGREEK($B39,100,0.01,AH$23,0.2)</f>
        <v>239.62694644057069</v>
      </c>
      <c r="AI39" s="2" cm="1">
        <f t="array" ref="AI39">RHOGREEK($B39,100,0.01,AI$23,0.2)</f>
        <v>245.4956778151039</v>
      </c>
      <c r="AJ39" s="2" cm="1">
        <f t="array" ref="AJ39">RHOGREEK($B39,100,0.01,AJ$23,0.2)</f>
        <v>251.31415991714908</v>
      </c>
      <c r="AK39" s="2" cm="1">
        <f t="array" ref="AK39">RHOGREEK($B39,100,0.01,AK$23,0.2)</f>
        <v>257.08402100352959</v>
      </c>
      <c r="AL39" s="2" cm="1">
        <f t="array" ref="AL39">RHOGREEK($B39,100,0.01,AL$23,0.2)</f>
        <v>262.80678030799385</v>
      </c>
      <c r="AM39" s="2" cm="1">
        <f t="array" ref="AM39">RHOGREEK($B39,100,0.01,AM$23,0.2)</f>
        <v>268.48385809466879</v>
      </c>
      <c r="AN39" s="2" cm="1">
        <f t="array" ref="AN39">RHOGREEK($B39,100,0.01,AN$23,0.2)</f>
        <v>274.11658456811546</v>
      </c>
      <c r="AO39" s="2" cm="1">
        <f t="array" ref="AO39">RHOGREEK($B39,100,0.01,AO$23,0.2)</f>
        <v>279.70620779210606</v>
      </c>
      <c r="AP39" s="2" cm="1">
        <f t="array" ref="AP39">RHOGREEK($B39,100,0.01,AP$23,0.2)</f>
        <v>285.25390074635317</v>
      </c>
      <c r="AQ39" s="2" cm="1">
        <f t="array" ref="AQ39">RHOGREEK($B39,100,0.01,AQ$23,0.2)</f>
        <v>290.76076763133943</v>
      </c>
      <c r="AR39" s="2" cm="1">
        <f t="array" ref="AR39">RHOGREEK($B39,100,0.01,AR$23,0.2)</f>
        <v>296.22784951542133</v>
      </c>
      <c r="AS39" s="2" cm="1">
        <f t="array" ref="AS39">RHOGREEK($B39,100,0.01,AS$23,0.2)</f>
        <v>301.65612940497795</v>
      </c>
      <c r="AT39" s="2" cm="1">
        <f t="array" ref="AT39">RHOGREEK($B39,100,0.01,AT$23,0.2)</f>
        <v>307.0465368070881</v>
      </c>
      <c r="AU39" s="2" cm="1">
        <f t="array" ref="AU39">RHOGREEK($B39,100,0.01,AU$23,0.2)</f>
        <v>312.39995184468148</v>
      </c>
      <c r="AV39" s="2" cm="1">
        <f t="array" ref="AV39">RHOGREEK($B39,100,0.01,AV$23,0.2)</f>
        <v>317.7172089760324</v>
      </c>
      <c r="AW39" s="2" cm="1">
        <f t="array" ref="AW39">RHOGREEK($B39,100,0.01,AW$23,0.2)</f>
        <v>322.99910036359785</v>
      </c>
      <c r="AX39" s="2" cm="1">
        <f t="array" ref="AX39">RHOGREEK($B39,100,0.01,AX$23,0.2)</f>
        <v>328.24637893134854</v>
      </c>
      <c r="AY39" s="2" cm="1">
        <f t="array" ref="AY39">RHOGREEK($B39,100,0.01,AY$23,0.2)</f>
        <v>333.45976114474058</v>
      </c>
      <c r="AZ39" s="2" cm="1">
        <f t="array" ref="AZ39">RHOGREEK($B39,100,0.01,AZ$23,0.2)</f>
        <v>338.63992954318462</v>
      </c>
    </row>
    <row r="40" spans="1:52" x14ac:dyDescent="0.3">
      <c r="A40" s="2"/>
      <c r="B40" s="2">
        <v>140</v>
      </c>
      <c r="C40" s="2" cm="1">
        <f t="array" ref="C40">RHOGREEK($B40,100,0.01,C$23,0.2)</f>
        <v>9.9900044333117659</v>
      </c>
      <c r="D40" s="2" cm="1">
        <f t="array" ref="D40">RHOGREEK($B40,100,0.01,D$23,0.2)</f>
        <v>19.958199888181859</v>
      </c>
      <c r="E40" s="2" cm="1">
        <f t="array" ref="E40">RHOGREEK($B40,100,0.01,E$23,0.2)</f>
        <v>29.875241343482664</v>
      </c>
      <c r="F40" s="2" cm="1">
        <f t="array" ref="F40">RHOGREEK($B40,100,0.01,F$23,0.2)</f>
        <v>39.669441320637574</v>
      </c>
      <c r="G40" s="2" cm="1">
        <f t="array" ref="G40">RHOGREEK($B40,100,0.01,G$23,0.2)</f>
        <v>49.275873716227721</v>
      </c>
      <c r="H40" s="2" cm="1">
        <f t="array" ref="H40">RHOGREEK($B40,100,0.01,H$23,0.2)</f>
        <v>58.659707295076828</v>
      </c>
      <c r="I40" s="2" cm="1">
        <f t="array" ref="I40">RHOGREEK($B40,100,0.01,I$23,0.2)</f>
        <v>67.810197543662667</v>
      </c>
      <c r="J40" s="2" cm="1">
        <f t="array" ref="J40">RHOGREEK($B40,100,0.01,J$23,0.2)</f>
        <v>76.730661853179072</v>
      </c>
      <c r="K40" s="2" cm="1">
        <f t="array" ref="K40">RHOGREEK($B40,100,0.01,K$23,0.2)</f>
        <v>85.431448147951755</v>
      </c>
      <c r="L40" s="2" cm="1">
        <f t="array" ref="L40">RHOGREEK($B40,100,0.01,L$23,0.2)</f>
        <v>93.925858365570534</v>
      </c>
      <c r="M40" s="2" cm="1">
        <f t="array" ref="M40">RHOGREEK($B40,100,0.01,M$23,0.2)</f>
        <v>102.22796567098746</v>
      </c>
      <c r="N40" s="2" cm="1">
        <f t="array" ref="N40">RHOGREEK($B40,100,0.01,N$23,0.2)</f>
        <v>110.35151195897653</v>
      </c>
      <c r="O40" s="2" cm="1">
        <f t="array" ref="O40">RHOGREEK($B40,100,0.01,O$23,0.2)</f>
        <v>118.30939435504304</v>
      </c>
      <c r="P40" s="2" cm="1">
        <f t="array" ref="P40">RHOGREEK($B40,100,0.01,P$23,0.2)</f>
        <v>126.11346472821283</v>
      </c>
      <c r="Q40" s="2" cm="1">
        <f t="array" ref="Q40">RHOGREEK($B40,100,0.01,Q$23,0.2)</f>
        <v>133.77449114730291</v>
      </c>
      <c r="R40" s="2" cm="1">
        <f t="array" ref="R40">RHOGREEK($B40,100,0.01,R$23,0.2)</f>
        <v>141.30219947676213</v>
      </c>
      <c r="S40" s="2" cm="1">
        <f t="array" ref="S40">RHOGREEK($B40,100,0.01,S$23,0.2)</f>
        <v>148.70535118023273</v>
      </c>
      <c r="T40" s="2" cm="1">
        <f t="array" ref="T40">RHOGREEK($B40,100,0.01,T$23,0.2)</f>
        <v>155.9918340531236</v>
      </c>
      <c r="U40" s="2" cm="1">
        <f t="array" ref="U40">RHOGREEK($B40,100,0.01,U$23,0.2)</f>
        <v>163.16875387224707</v>
      </c>
      <c r="V40" s="2" cm="1">
        <f t="array" ref="V40">RHOGREEK($B40,100,0.01,V$23,0.2)</f>
        <v>170.24252108865093</v>
      </c>
      <c r="W40" s="2" cm="1">
        <f t="array" ref="W40">RHOGREEK($B40,100,0.01,W$23,0.2)</f>
        <v>177.21893001152091</v>
      </c>
      <c r="X40" s="2" cm="1">
        <f t="array" ref="X40">RHOGREEK($B40,100,0.01,X$23,0.2)</f>
        <v>184.10322969922836</v>
      </c>
      <c r="Y40" s="2" cm="1">
        <f t="array" ref="Y40">RHOGREEK($B40,100,0.01,Y$23,0.2)</f>
        <v>190.90018668324839</v>
      </c>
      <c r="Z40" s="2" cm="1">
        <f t="array" ref="Z40">RHOGREEK($B40,100,0.01,Z$23,0.2)</f>
        <v>197.61414008721923</v>
      </c>
      <c r="AA40" s="2" cm="1">
        <f t="array" ref="AA40">RHOGREEK($B40,100,0.01,AA$23,0.2)</f>
        <v>204.24904988195715</v>
      </c>
      <c r="AB40" s="2" cm="1">
        <f t="array" ref="AB40">RHOGREEK($B40,100,0.01,AB$23,0.2)</f>
        <v>210.80853905822912</v>
      </c>
      <c r="AC40" s="2" cm="1">
        <f t="array" ref="AC40">RHOGREEK($B40,100,0.01,AC$23,0.2)</f>
        <v>217.29593046992025</v>
      </c>
      <c r="AD40" s="2" cm="1">
        <f t="array" ref="AD40">RHOGREEK($B40,100,0.01,AD$23,0.2)</f>
        <v>223.71427903840043</v>
      </c>
      <c r="AE40" s="2" cm="1">
        <f t="array" ref="AE40">RHOGREEK($B40,100,0.01,AE$23,0.2)</f>
        <v>230.06639993491453</v>
      </c>
      <c r="AF40" s="2" cm="1">
        <f t="array" ref="AF40">RHOGREEK($B40,100,0.01,AF$23,0.2)</f>
        <v>236.35489328260059</v>
      </c>
      <c r="AG40" s="2" cm="1">
        <f t="array" ref="AG40">RHOGREEK($B40,100,0.01,AG$23,0.2)</f>
        <v>242.58216584875814</v>
      </c>
      <c r="AH40" s="2" cm="1">
        <f t="array" ref="AH40">RHOGREEK($B40,100,0.01,AH$23,0.2)</f>
        <v>248.75045013367262</v>
      </c>
      <c r="AI40" s="2" cm="1">
        <f t="array" ref="AI40">RHOGREEK($B40,100,0.01,AI$23,0.2)</f>
        <v>254.86182120543509</v>
      </c>
      <c r="AJ40" s="2" cm="1">
        <f t="array" ref="AJ40">RHOGREEK($B40,100,0.01,AJ$23,0.2)</f>
        <v>260.91821158066881</v>
      </c>
      <c r="AK40" s="2" cm="1">
        <f t="array" ref="AK40">RHOGREEK($B40,100,0.01,AK$23,0.2)</f>
        <v>266.92142440835255</v>
      </c>
      <c r="AL40" s="2" cm="1">
        <f t="array" ref="AL40">RHOGREEK($B40,100,0.01,AL$23,0.2)</f>
        <v>272.87314517731136</v>
      </c>
      <c r="AM40" s="2" cm="1">
        <f t="array" ref="AM40">RHOGREEK($B40,100,0.01,AM$23,0.2)</f>
        <v>278.77495213666674</v>
      </c>
      <c r="AN40" s="2" cm="1">
        <f t="array" ref="AN40">RHOGREEK($B40,100,0.01,AN$23,0.2)</f>
        <v>284.62832559188035</v>
      </c>
      <c r="AO40" s="2" cm="1">
        <f t="array" ref="AO40">RHOGREEK($B40,100,0.01,AO$23,0.2)</f>
        <v>290.43465621632822</v>
      </c>
      <c r="AP40" s="2" cm="1">
        <f t="array" ref="AP40">RHOGREEK($B40,100,0.01,AP$23,0.2)</f>
        <v>296.19525249901477</v>
      </c>
      <c r="AQ40" s="2" cm="1">
        <f t="array" ref="AQ40">RHOGREEK($B40,100,0.01,AQ$23,0.2)</f>
        <v>301.91134743257601</v>
      </c>
      <c r="AR40" s="2" cm="1">
        <f t="array" ref="AR40">RHOGREEK($B40,100,0.01,AR$23,0.2)</f>
        <v>307.58410453168091</v>
      </c>
      <c r="AS40" s="2" cm="1">
        <f t="array" ref="AS40">RHOGREEK($B40,100,0.01,AS$23,0.2)</f>
        <v>313.21462325995731</v>
      </c>
      <c r="AT40" s="2" cm="1">
        <f t="array" ref="AT40">RHOGREEK($B40,100,0.01,AT$23,0.2)</f>
        <v>318.80394393331824</v>
      </c>
      <c r="AU40" s="2" cm="1">
        <f t="array" ref="AU40">RHOGREEK($B40,100,0.01,AU$23,0.2)</f>
        <v>324.35305215878776</v>
      </c>
      <c r="AV40" s="2" cm="1">
        <f t="array" ref="AV40">RHOGREEK($B40,100,0.01,AV$23,0.2)</f>
        <v>329.86288286039138</v>
      </c>
      <c r="AW40" s="2" cm="1">
        <f t="array" ref="AW40">RHOGREEK($B40,100,0.01,AW$23,0.2)</f>
        <v>335.33432393719795</v>
      </c>
      <c r="AX40" s="2" cm="1">
        <f t="array" ref="AX40">RHOGREEK($B40,100,0.01,AX$23,0.2)</f>
        <v>340.7682195930214</v>
      </c>
      <c r="AY40" s="2" cm="1">
        <f t="array" ref="AY40">RHOGREEK($B40,100,0.01,AY$23,0.2)</f>
        <v>346.16537337247269</v>
      </c>
      <c r="AZ40" s="2" cm="1">
        <f t="array" ref="AZ40">RHOGREEK($B40,100,0.01,AZ$23,0.2)</f>
        <v>351.52655093388364</v>
      </c>
    </row>
    <row r="41" spans="1:52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</row>
    <row r="42" spans="1:52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</row>
    <row r="43" spans="1:52" x14ac:dyDescent="0.3">
      <c r="A43" s="2" t="s">
        <v>15</v>
      </c>
      <c r="B43" s="2"/>
      <c r="C43" s="2" t="s">
        <v>12</v>
      </c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</row>
    <row r="44" spans="1:52" x14ac:dyDescent="0.3">
      <c r="A44" s="2"/>
      <c r="B44" s="2"/>
      <c r="C44" s="2">
        <v>0.1</v>
      </c>
      <c r="D44" s="2">
        <v>0.2</v>
      </c>
      <c r="E44" s="2">
        <v>0.3</v>
      </c>
      <c r="F44" s="2">
        <v>0.4</v>
      </c>
      <c r="G44" s="2">
        <v>0.5</v>
      </c>
      <c r="H44" s="2">
        <v>0.6</v>
      </c>
      <c r="I44" s="2">
        <v>0.7</v>
      </c>
      <c r="J44" s="2">
        <v>0.8</v>
      </c>
      <c r="K44" s="2">
        <v>0.9</v>
      </c>
      <c r="L44" s="2">
        <v>1</v>
      </c>
      <c r="M44" s="2">
        <v>1.1000000000000001</v>
      </c>
      <c r="N44" s="2">
        <v>1.2</v>
      </c>
      <c r="O44" s="2">
        <v>1.3</v>
      </c>
      <c r="P44" s="2">
        <v>1.4</v>
      </c>
      <c r="Q44" s="2">
        <v>1.5</v>
      </c>
      <c r="R44" s="2">
        <v>1.6</v>
      </c>
      <c r="S44" s="2">
        <v>1.7</v>
      </c>
      <c r="T44" s="2">
        <v>1.8</v>
      </c>
      <c r="U44" s="2">
        <v>1.9</v>
      </c>
      <c r="V44" s="2">
        <v>2</v>
      </c>
      <c r="W44" s="2">
        <v>2.1</v>
      </c>
      <c r="X44" s="2">
        <v>2.2000000000000002</v>
      </c>
      <c r="Y44" s="2">
        <v>2.2999999999999998</v>
      </c>
      <c r="Z44" s="2">
        <v>2.4</v>
      </c>
      <c r="AA44" s="2">
        <v>2.5</v>
      </c>
      <c r="AB44" s="2">
        <v>2.6</v>
      </c>
      <c r="AC44" s="2">
        <v>2.7</v>
      </c>
      <c r="AD44" s="2">
        <v>2.8</v>
      </c>
      <c r="AE44" s="2">
        <v>2.9</v>
      </c>
      <c r="AF44" s="2">
        <v>3</v>
      </c>
      <c r="AG44" s="2">
        <v>3.1</v>
      </c>
      <c r="AH44" s="2">
        <v>3.2</v>
      </c>
      <c r="AI44" s="2">
        <v>3.3</v>
      </c>
      <c r="AJ44" s="2">
        <v>3.4</v>
      </c>
      <c r="AK44" s="2">
        <v>3.5</v>
      </c>
      <c r="AL44" s="2">
        <v>3.6</v>
      </c>
      <c r="AM44" s="2">
        <v>3.7</v>
      </c>
      <c r="AN44" s="2">
        <v>3.8</v>
      </c>
      <c r="AO44" s="2">
        <v>3.9</v>
      </c>
      <c r="AP44" s="2">
        <v>4</v>
      </c>
      <c r="AQ44" s="2">
        <v>4.0999999999999996</v>
      </c>
      <c r="AR44" s="2">
        <v>4.2</v>
      </c>
      <c r="AS44" s="2">
        <v>4.3</v>
      </c>
      <c r="AT44" s="2">
        <v>4.4000000000000004</v>
      </c>
      <c r="AU44" s="2">
        <v>4.5</v>
      </c>
      <c r="AV44" s="2">
        <v>4.5999999999999996</v>
      </c>
      <c r="AW44" s="2">
        <v>4.7</v>
      </c>
      <c r="AX44" s="2">
        <v>4.8</v>
      </c>
      <c r="AY44" s="2">
        <v>4.9000000000000004</v>
      </c>
      <c r="AZ44" s="2">
        <v>5</v>
      </c>
    </row>
    <row r="45" spans="1:52" x14ac:dyDescent="0.3">
      <c r="A45" s="2" t="s">
        <v>11</v>
      </c>
      <c r="B45" s="2">
        <v>60</v>
      </c>
      <c r="C45" s="2" cm="1">
        <f t="array" ref="C45">RHOGREEK($B45,100,0.01,C$44,0.4)</f>
        <v>2.1199464390282875E-4</v>
      </c>
      <c r="D45" s="2" cm="1">
        <f t="array" ref="D45">RHOGREEK($B45,100,0.01,D$44,0.4)</f>
        <v>3.3410152637297671E-2</v>
      </c>
      <c r="E45" s="2" cm="1">
        <f t="array" ref="E45">RHOGREEK($B45,100,0.01,E$44,0.4)</f>
        <v>0.22740331672264325</v>
      </c>
      <c r="F45" s="2" cm="1">
        <f t="array" ref="F45">RHOGREEK($B45,100,0.01,F$44,0.4)</f>
        <v>0.66095606128822748</v>
      </c>
      <c r="G45" s="2" cm="1">
        <f t="array" ref="G45">RHOGREEK($B45,100,0.01,G$44,0.4)</f>
        <v>1.3341496192013671</v>
      </c>
      <c r="H45" s="2" cm="1">
        <f t="array" ref="H45">RHOGREEK($B45,100,0.01,H$44,0.4)</f>
        <v>2.2182054930954451</v>
      </c>
      <c r="I45" s="2" cm="1">
        <f t="array" ref="I45">RHOGREEK($B45,100,0.01,I$44,0.4)</f>
        <v>3.2798013308085325</v>
      </c>
      <c r="J45" s="2" cm="1">
        <f t="array" ref="J45">RHOGREEK($B45,100,0.01,J$44,0.4)</f>
        <v>4.4887301949385643</v>
      </c>
      <c r="K45" s="2" cm="1">
        <f t="array" ref="K45">RHOGREEK($B45,100,0.01,K$44,0.4)</f>
        <v>5.8195424216233285</v>
      </c>
      <c r="L45" s="2" cm="1">
        <f t="array" ref="L45">RHOGREEK($B45,100,0.01,L$44,0.4)</f>
        <v>7.2513128024172824</v>
      </c>
      <c r="M45" s="2" cm="1">
        <f t="array" ref="M45">RHOGREEK($B45,100,0.01,M$44,0.4)</f>
        <v>8.7669381205946699</v>
      </c>
      <c r="N45" s="2" cm="1">
        <f t="array" ref="N45">RHOGREEK($B45,100,0.01,N$44,0.4)</f>
        <v>10.352412970428153</v>
      </c>
      <c r="O45" s="2" cm="1">
        <f t="array" ref="O45">RHOGREEK($B45,100,0.01,O$44,0.4)</f>
        <v>11.996208096973973</v>
      </c>
      <c r="P45" s="2" cm="1">
        <f t="array" ref="P45">RHOGREEK($B45,100,0.01,P$44,0.4)</f>
        <v>13.688769165660592</v>
      </c>
      <c r="Q45" s="2" cm="1">
        <f t="array" ref="Q45">RHOGREEK($B45,100,0.01,Q$44,0.4)</f>
        <v>15.422122124389954</v>
      </c>
      <c r="R45" s="2" cm="1">
        <f t="array" ref="R45">RHOGREEK($B45,100,0.01,R$44,0.4)</f>
        <v>17.189564805243414</v>
      </c>
      <c r="S45" s="2" cm="1">
        <f t="array" ref="S45">RHOGREEK($B45,100,0.01,S$44,0.4)</f>
        <v>18.985425868221043</v>
      </c>
      <c r="T45" s="2" cm="1">
        <f t="array" ref="T45">RHOGREEK($B45,100,0.01,T$44,0.4)</f>
        <v>20.804875617053547</v>
      </c>
      <c r="U45" s="2" cm="1">
        <f t="array" ref="U45">RHOGREEK($B45,100,0.01,U$44,0.4)</f>
        <v>22.64377663485114</v>
      </c>
      <c r="V45" s="2" cm="1">
        <f t="array" ref="V45">RHOGREEK($B45,100,0.01,V$44,0.4)</f>
        <v>24.498565043083374</v>
      </c>
      <c r="W45" s="2" cm="1">
        <f t="array" ref="W45">RHOGREEK($B45,100,0.01,W$44,0.4)</f>
        <v>26.366155419206429</v>
      </c>
      <c r="X45" s="2" cm="1">
        <f t="array" ref="X45">RHOGREEK($B45,100,0.01,X$44,0.4)</f>
        <v>28.243864102552326</v>
      </c>
      <c r="Y45" s="2" cm="1">
        <f t="array" ref="Y45">RHOGREEK($B45,100,0.01,Y$44,0.4)</f>
        <v>30.129346888716384</v>
      </c>
      <c r="Z45" s="2" cm="1">
        <f t="array" ref="Z45">RHOGREEK($B45,100,0.01,Z$44,0.4)</f>
        <v>32.020548062063739</v>
      </c>
      <c r="AA45" s="2" cm="1">
        <f t="array" ref="AA45">RHOGREEK($B45,100,0.01,AA$44,0.4)</f>
        <v>33.915658426022354</v>
      </c>
      <c r="AB45" s="2" cm="1">
        <f t="array" ref="AB45">RHOGREEK($B45,100,0.01,AB$44,0.4)</f>
        <v>35.813080523787924</v>
      </c>
      <c r="AC45" s="2" cm="1">
        <f t="array" ref="AC45">RHOGREEK($B45,100,0.01,AC$44,0.4)</f>
        <v>37.711399644145345</v>
      </c>
      <c r="AD45" s="2" cm="1">
        <f t="array" ref="AD45">RHOGREEK($B45,100,0.01,AD$44,0.4)</f>
        <v>39.609359512258941</v>
      </c>
      <c r="AE45" s="2" cm="1">
        <f t="array" ref="AE45">RHOGREEK($B45,100,0.01,AE$44,0.4)</f>
        <v>41.505841798346964</v>
      </c>
      <c r="AF45" s="2" cm="1">
        <f t="array" ref="AF45">RHOGREEK($B45,100,0.01,AF$44,0.4)</f>
        <v>43.399848756334357</v>
      </c>
      <c r="AG45" s="2" cm="1">
        <f t="array" ref="AG45">RHOGREEK($B45,100,0.01,AG$44,0.4)</f>
        <v>45.290488443240832</v>
      </c>
      <c r="AH45" s="2" cm="1">
        <f t="array" ref="AH45">RHOGREEK($B45,100,0.01,AH$44,0.4)</f>
        <v>47.176962078068236</v>
      </c>
      <c r="AI45" s="2" cm="1">
        <f t="array" ref="AI45">RHOGREEK($B45,100,0.01,AI$44,0.4)</f>
        <v>49.058553183620127</v>
      </c>
      <c r="AJ45" s="2" cm="1">
        <f t="array" ref="AJ45">RHOGREEK($B45,100,0.01,AJ$44,0.4)</f>
        <v>50.934618221470217</v>
      </c>
      <c r="AK45" s="2" cm="1">
        <f t="array" ref="AK45">RHOGREEK($B45,100,0.01,AK$44,0.4)</f>
        <v>52.804578483291323</v>
      </c>
      <c r="AL45" s="2" cm="1">
        <f t="array" ref="AL45">RHOGREEK($B45,100,0.01,AL$44,0.4)</f>
        <v>54.667913044052376</v>
      </c>
      <c r="AM45" s="2" cm="1">
        <f t="array" ref="AM45">RHOGREEK($B45,100,0.01,AM$44,0.4)</f>
        <v>56.524152616536952</v>
      </c>
      <c r="AN45" s="2" cm="1">
        <f t="array" ref="AN45">RHOGREEK($B45,100,0.01,AN$44,0.4)</f>
        <v>58.372874174027899</v>
      </c>
      <c r="AO45" s="2" cm="1">
        <f t="array" ref="AO45">RHOGREEK($B45,100,0.01,AO$44,0.4)</f>
        <v>60.213696230216847</v>
      </c>
      <c r="AP45" s="2" cm="1">
        <f t="array" ref="AP45">RHOGREEK($B45,100,0.01,AP$44,0.4)</f>
        <v>62.046274683504308</v>
      </c>
      <c r="AQ45" s="2" cm="1">
        <f t="array" ref="AQ45">RHOGREEK($B45,100,0.01,AQ$44,0.4)</f>
        <v>63.870299147684264</v>
      </c>
      <c r="AR45" s="2" cm="1">
        <f t="array" ref="AR45">RHOGREEK($B45,100,0.01,AR$44,0.4)</f>
        <v>65.68548970320505</v>
      </c>
      <c r="AS45" s="2" cm="1">
        <f t="array" ref="AS45">RHOGREEK($B45,100,0.01,AS$44,0.4)</f>
        <v>67.491594013277791</v>
      </c>
      <c r="AT45" s="2" cm="1">
        <f t="array" ref="AT45">RHOGREEK($B45,100,0.01,AT$44,0.4)</f>
        <v>69.288384757466204</v>
      </c>
      <c r="AU45" s="2" cm="1">
        <f t="array" ref="AU45">RHOGREEK($B45,100,0.01,AU$44,0.4)</f>
        <v>71.07565734235817</v>
      </c>
      <c r="AV45" s="2" cm="1">
        <f t="array" ref="AV45">RHOGREEK($B45,100,0.01,AV$44,0.4)</f>
        <v>72.85322785474682</v>
      </c>
      <c r="AW45" s="2" cm="1">
        <f t="array" ref="AW45">RHOGREEK($B45,100,0.01,AW$44,0.4)</f>
        <v>74.620931227637953</v>
      </c>
      <c r="AX45" s="2" cm="1">
        <f t="array" ref="AX45">RHOGREEK($B45,100,0.01,AX$44,0.4)</f>
        <v>76.378619593521591</v>
      </c>
      <c r="AY45" s="2" cm="1">
        <f t="array" ref="AY45">RHOGREEK($B45,100,0.01,AY$44,0.4)</f>
        <v>78.126160802828011</v>
      </c>
      <c r="AZ45" s="2" cm="1">
        <f t="array" ref="AZ45">RHOGREEK($B45,100,0.01,AZ$44,0.4)</f>
        <v>79.863437088441117</v>
      </c>
    </row>
    <row r="46" spans="1:52" x14ac:dyDescent="0.3">
      <c r="A46" s="2"/>
      <c r="B46" s="2">
        <v>65</v>
      </c>
      <c r="C46" s="2" cm="1">
        <f t="array" ref="C46">RHOGREEK($B46,100,0.01,C$44,0.4)</f>
        <v>2.688395841193117E-3</v>
      </c>
      <c r="D46" s="2" cm="1">
        <f t="array" ref="D46">RHOGREEK($B46,100,0.01,D$44,0.4)</f>
        <v>0.12878062769075843</v>
      </c>
      <c r="E46" s="2" cm="1">
        <f t="array" ref="E46">RHOGREEK($B46,100,0.01,E$44,0.4)</f>
        <v>0.58621559612638163</v>
      </c>
      <c r="F46" s="2" cm="1">
        <f t="array" ref="F46">RHOGREEK($B46,100,0.01,F$44,0.4)</f>
        <v>1.3895295048668961</v>
      </c>
      <c r="G46" s="2" cm="1">
        <f t="array" ref="G46">RHOGREEK($B46,100,0.01,G$44,0.4)</f>
        <v>2.4776047475522174</v>
      </c>
      <c r="H46" s="2" cm="1">
        <f t="array" ref="H46">RHOGREEK($B46,100,0.01,H$44,0.4)</f>
        <v>3.7882430933967277</v>
      </c>
      <c r="I46" s="2" cm="1">
        <f t="array" ref="I46">RHOGREEK($B46,100,0.01,I$44,0.4)</f>
        <v>5.2717373794706477</v>
      </c>
      <c r="J46" s="2" cm="1">
        <f t="array" ref="J46">RHOGREEK($B46,100,0.01,J$44,0.4)</f>
        <v>6.8902669412987683</v>
      </c>
      <c r="K46" s="2" cm="1">
        <f t="array" ref="K46">RHOGREEK($B46,100,0.01,K$44,0.4)</f>
        <v>8.6151673554682819</v>
      </c>
      <c r="L46" s="2" cm="1">
        <f t="array" ref="L46">RHOGREEK($B46,100,0.01,L$44,0.4)</f>
        <v>10.424503359111174</v>
      </c>
      <c r="M46" s="2" cm="1">
        <f t="array" ref="M46">RHOGREEK($B46,100,0.01,M$44,0.4)</f>
        <v>12.301259643583773</v>
      </c>
      <c r="N46" s="2" cm="1">
        <f t="array" ref="N46">RHOGREEK($B46,100,0.01,N$44,0.4)</f>
        <v>14.232049210863531</v>
      </c>
      <c r="O46" s="2" cm="1">
        <f t="array" ref="O46">RHOGREEK($B46,100,0.01,O$44,0.4)</f>
        <v>16.206196624633009</v>
      </c>
      <c r="P46" s="2" cm="1">
        <f t="array" ref="P46">RHOGREEK($B46,100,0.01,P$44,0.4)</f>
        <v>18.215082492418315</v>
      </c>
      <c r="Q46" s="2" cm="1">
        <f t="array" ref="Q46">RHOGREEK($B46,100,0.01,Q$44,0.4)</f>
        <v>20.251668886572546</v>
      </c>
      <c r="R46" s="2" cm="1">
        <f t="array" ref="R46">RHOGREEK($B46,100,0.01,R$44,0.4)</f>
        <v>22.310150903029616</v>
      </c>
      <c r="S46" s="2" cm="1">
        <f t="array" ref="S46">RHOGREEK($B46,100,0.01,S$44,0.4)</f>
        <v>24.385697171128598</v>
      </c>
      <c r="T46" s="2" cm="1">
        <f t="array" ref="T46">RHOGREEK($B46,100,0.01,T$44,0.4)</f>
        <v>26.474253935573397</v>
      </c>
      <c r="U46" s="2" cm="1">
        <f t="array" ref="U46">RHOGREEK($B46,100,0.01,U$44,0.4)</f>
        <v>28.572395204414146</v>
      </c>
      <c r="V46" s="2" cm="1">
        <f t="array" ref="V46">RHOGREEK($B46,100,0.01,V$44,0.4)</f>
        <v>30.677206733412678</v>
      </c>
      <c r="W46" s="2" cm="1">
        <f t="array" ref="W46">RHOGREEK($B46,100,0.01,W$44,0.4)</f>
        <v>32.786195188826078</v>
      </c>
      <c r="X46" s="2" cm="1">
        <f t="array" ref="X46">RHOGREEK($B46,100,0.01,X$44,0.4)</f>
        <v>34.897216277541773</v>
      </c>
      <c r="Y46" s="2" cm="1">
        <f t="array" ref="Y46">RHOGREEK($B46,100,0.01,Y$44,0.4)</f>
        <v>37.008417331371263</v>
      </c>
      <c r="Z46" s="2" cm="1">
        <f t="array" ref="Z46">RHOGREEK($B46,100,0.01,Z$44,0.4)</f>
        <v>39.11819102566519</v>
      </c>
      <c r="AA46" s="2" cm="1">
        <f t="array" ref="AA46">RHOGREEK($B46,100,0.01,AA$44,0.4)</f>
        <v>41.225137761761204</v>
      </c>
      <c r="AB46" s="2" cm="1">
        <f t="array" ref="AB46">RHOGREEK($B46,100,0.01,AB$44,0.4)</f>
        <v>43.328034854629266</v>
      </c>
      <c r="AC46" s="2" cm="1">
        <f t="array" ref="AC46">RHOGREEK($B46,100,0.01,AC$44,0.4)</f>
        <v>45.425811112955998</v>
      </c>
      <c r="AD46" s="2" cm="1">
        <f t="array" ref="AD46">RHOGREEK($B46,100,0.01,AD$44,0.4)</f>
        <v>47.517525727407339</v>
      </c>
      <c r="AE46" s="2" cm="1">
        <f t="array" ref="AE46">RHOGREEK($B46,100,0.01,AE$44,0.4)</f>
        <v>49.602350627342808</v>
      </c>
      <c r="AF46" s="2" cm="1">
        <f t="array" ref="AF46">RHOGREEK($B46,100,0.01,AF$44,0.4)</f>
        <v>51.679555650077766</v>
      </c>
      <c r="AG46" s="2" cm="1">
        <f t="array" ref="AG46">RHOGREEK($B46,100,0.01,AG$44,0.4)</f>
        <v>53.748496006251933</v>
      </c>
      <c r="AH46" s="2" cm="1">
        <f t="array" ref="AH46">RHOGREEK($B46,100,0.01,AH$44,0.4)</f>
        <v>55.808601631596332</v>
      </c>
      <c r="AI46" s="2" cm="1">
        <f t="array" ref="AI46">RHOGREEK($B46,100,0.01,AI$44,0.4)</f>
        <v>57.859368097751371</v>
      </c>
      <c r="AJ46" s="2" cm="1">
        <f t="array" ref="AJ46">RHOGREEK($B46,100,0.01,AJ$44,0.4)</f>
        <v>59.900348818836271</v>
      </c>
      <c r="AK46" s="2" cm="1">
        <f t="array" ref="AK46">RHOGREEK($B46,100,0.01,AK$44,0.4)</f>
        <v>61.931148340644604</v>
      </c>
      <c r="AL46" s="2" cm="1">
        <f t="array" ref="AL46">RHOGREEK($B46,100,0.01,AL$44,0.4)</f>
        <v>63.951416538921286</v>
      </c>
      <c r="AM46" s="2" cm="1">
        <f t="array" ref="AM46">RHOGREEK($B46,100,0.01,AM$44,0.4)</f>
        <v>65.960843584604788</v>
      </c>
      <c r="AN46" s="2" cm="1">
        <f t="array" ref="AN46">RHOGREEK($B46,100,0.01,AN$44,0.4)</f>
        <v>67.959155559032368</v>
      </c>
      <c r="AO46" s="2" cm="1">
        <f t="array" ref="AO46">RHOGREEK($B46,100,0.01,AO$44,0.4)</f>
        <v>69.946110622290263</v>
      </c>
      <c r="AP46" s="2" cm="1">
        <f t="array" ref="AP46">RHOGREEK($B46,100,0.01,AP$44,0.4)</f>
        <v>71.921495654206893</v>
      </c>
      <c r="AQ46" s="2" cm="1">
        <f t="array" ref="AQ46">RHOGREEK($B46,100,0.01,AQ$44,0.4)</f>
        <v>73.885123300747182</v>
      </c>
      <c r="AR46" s="2" cm="1">
        <f t="array" ref="AR46">RHOGREEK($B46,100,0.01,AR$44,0.4)</f>
        <v>75.836829369395062</v>
      </c>
      <c r="AS46" s="2" cm="1">
        <f t="array" ref="AS46">RHOGREEK($B46,100,0.01,AS$44,0.4)</f>
        <v>77.776470526000367</v>
      </c>
      <c r="AT46" s="2" cm="1">
        <f t="array" ref="AT46">RHOGREEK($B46,100,0.01,AT$44,0.4)</f>
        <v>79.703922252896305</v>
      </c>
      <c r="AU46" s="2" cm="1">
        <f t="array" ref="AU46">RHOGREEK($B46,100,0.01,AU$44,0.4)</f>
        <v>81.619077034164235</v>
      </c>
      <c r="AV46" s="2" cm="1">
        <f t="array" ref="AV46">RHOGREEK($B46,100,0.01,AV$44,0.4)</f>
        <v>83.521842738970733</v>
      </c>
      <c r="AW46" s="2" cm="1">
        <f t="array" ref="AW46">RHOGREEK($B46,100,0.01,AW$44,0.4)</f>
        <v>85.412141178119668</v>
      </c>
      <c r="AX46" s="2" cm="1">
        <f t="array" ref="AX46">RHOGREEK($B46,100,0.01,AX$44,0.4)</f>
        <v>87.289906812495161</v>
      </c>
      <c r="AY46" s="2" cm="1">
        <f t="array" ref="AY46">RHOGREEK($B46,100,0.01,AY$44,0.4)</f>
        <v>89.155085595047368</v>
      </c>
      <c r="AZ46" s="2" cm="1">
        <f t="array" ref="AZ46">RHOGREEK($B46,100,0.01,AZ$44,0.4)</f>
        <v>91.007633930482314</v>
      </c>
    </row>
    <row r="47" spans="1:52" x14ac:dyDescent="0.3">
      <c r="A47" s="2"/>
      <c r="B47" s="2">
        <v>70</v>
      </c>
      <c r="C47" s="2" cm="1">
        <f t="array" ref="C47">RHOGREEK($B47,100,0.01,C$44,0.4)</f>
        <v>2.0174608982033621E-2</v>
      </c>
      <c r="D47" s="2" cm="1">
        <f t="array" ref="D47">RHOGREEK($B47,100,0.01,D$44,0.4)</f>
        <v>0.38176337268635946</v>
      </c>
      <c r="E47" s="2" cm="1">
        <f t="array" ref="E47">RHOGREEK($B47,100,0.01,E$44,0.4)</f>
        <v>1.2672370904528139</v>
      </c>
      <c r="F47" s="2" cm="1">
        <f t="array" ref="F47">RHOGREEK($B47,100,0.01,F$44,0.4)</f>
        <v>2.557150573273471</v>
      </c>
      <c r="G47" s="2" cm="1">
        <f t="array" ref="G47">RHOGREEK($B47,100,0.01,G$44,0.4)</f>
        <v>4.1322802256892963</v>
      </c>
      <c r="H47" s="2" cm="1">
        <f t="array" ref="H47">RHOGREEK($B47,100,0.01,H$44,0.4)</f>
        <v>5.9102116217632439</v>
      </c>
      <c r="I47" s="2" cm="1">
        <f t="array" ref="I47">RHOGREEK($B47,100,0.01,I$44,0.4)</f>
        <v>7.8354047566188081</v>
      </c>
      <c r="J47" s="2" cm="1">
        <f t="array" ref="J47">RHOGREEK($B47,100,0.01,J$44,0.4)</f>
        <v>9.8695666860390112</v>
      </c>
      <c r="K47" s="2" cm="1">
        <f t="array" ref="K47">RHOGREEK($B47,100,0.01,K$44,0.4)</f>
        <v>11.985494372773882</v>
      </c>
      <c r="L47" s="2" cm="1">
        <f t="array" ref="L47">RHOGREEK($B47,100,0.01,L$44,0.4)</f>
        <v>14.163308228529683</v>
      </c>
      <c r="M47" s="2" cm="1">
        <f t="array" ref="M47">RHOGREEK($B47,100,0.01,M$44,0.4)</f>
        <v>16.388114161488453</v>
      </c>
      <c r="N47" s="2" cm="1">
        <f t="array" ref="N47">RHOGREEK($B47,100,0.01,N$44,0.4)</f>
        <v>18.64851121454479</v>
      </c>
      <c r="O47" s="2" cm="1">
        <f t="array" ref="O47">RHOGREEK($B47,100,0.01,O$44,0.4)</f>
        <v>20.93561020616869</v>
      </c>
      <c r="P47" s="2" cm="1">
        <f t="array" ref="P47">RHOGREEK($B47,100,0.01,P$44,0.4)</f>
        <v>23.242369974697247</v>
      </c>
      <c r="Q47" s="2" cm="1">
        <f t="array" ref="Q47">RHOGREEK($B47,100,0.01,Q$44,0.4)</f>
        <v>25.563136776542226</v>
      </c>
      <c r="R47" s="2" cm="1">
        <f t="array" ref="R47">RHOGREEK($B47,100,0.01,R$44,0.4)</f>
        <v>27.893317210392091</v>
      </c>
      <c r="S47" s="2" cm="1">
        <f t="array" ref="S47">RHOGREEK($B47,100,0.01,S$44,0.4)</f>
        <v>30.229141121653001</v>
      </c>
      <c r="T47" s="2" cm="1">
        <f t="array" ref="T47">RHOGREEK($B47,100,0.01,T$44,0.4)</f>
        <v>32.567486533073016</v>
      </c>
      <c r="U47" s="2" cm="1">
        <f t="array" ref="U47">RHOGREEK($B47,100,0.01,U$44,0.4)</f>
        <v>34.905748218213517</v>
      </c>
      <c r="V47" s="2" cm="1">
        <f t="array" ref="V47">RHOGREEK($B47,100,0.01,V$44,0.4)</f>
        <v>37.241737558198544</v>
      </c>
      <c r="W47" s="2" cm="1">
        <f t="array" ref="W47">RHOGREEK($B47,100,0.01,W$44,0.4)</f>
        <v>39.573605202723556</v>
      </c>
      <c r="X47" s="2" cm="1">
        <f t="array" ref="X47">RHOGREEK($B47,100,0.01,X$44,0.4)</f>
        <v>41.899780610377206</v>
      </c>
      <c r="Y47" s="2" cm="1">
        <f t="array" ref="Y47">RHOGREEK($B47,100,0.01,Y$44,0.4)</f>
        <v>44.218924257826458</v>
      </c>
      <c r="Z47" s="2" cm="1">
        <f t="array" ref="Z47">RHOGREEK($B47,100,0.01,Z$44,0.4)</f>
        <v>46.529889479365671</v>
      </c>
      <c r="AA47" s="2" cm="1">
        <f t="array" ref="AA47">RHOGREEK($B47,100,0.01,AA$44,0.4)</f>
        <v>48.8316917128843</v>
      </c>
      <c r="AB47" s="2" cm="1">
        <f t="array" ref="AB47">RHOGREEK($B47,100,0.01,AB$44,0.4)</f>
        <v>51.123483503213791</v>
      </c>
      <c r="AC47" s="2" cm="1">
        <f t="array" ref="AC47">RHOGREEK($B47,100,0.01,AC$44,0.4)</f>
        <v>53.404534025367745</v>
      </c>
      <c r="AD47" s="2" cm="1">
        <f t="array" ref="AD47">RHOGREEK($B47,100,0.01,AD$44,0.4)</f>
        <v>55.674212188691278</v>
      </c>
      <c r="AE47" s="2" cm="1">
        <f t="array" ref="AE47">RHOGREEK($B47,100,0.01,AE$44,0.4)</f>
        <v>57.93197260208489</v>
      </c>
      <c r="AF47" s="2" cm="1">
        <f t="array" ref="AF47">RHOGREEK($B47,100,0.01,AF$44,0.4)</f>
        <v>60.177343843186371</v>
      </c>
      <c r="AG47" s="2" cm="1">
        <f t="array" ref="AG47">RHOGREEK($B47,100,0.01,AG$44,0.4)</f>
        <v>62.409918596486591</v>
      </c>
      <c r="AH47" s="2" cm="1">
        <f t="array" ref="AH47">RHOGREEK($B47,100,0.01,AH$44,0.4)</f>
        <v>64.629345317867148</v>
      </c>
      <c r="AI47" s="2" cm="1">
        <f t="array" ref="AI47">RHOGREEK($B47,100,0.01,AI$44,0.4)</f>
        <v>66.835321153790943</v>
      </c>
      <c r="AJ47" s="2" cm="1">
        <f t="array" ref="AJ47">RHOGREEK($B47,100,0.01,AJ$44,0.4)</f>
        <v>69.02758589794017</v>
      </c>
      <c r="AK47" s="2" cm="1">
        <f t="array" ref="AK47">RHOGREEK($B47,100,0.01,AK$44,0.4)</f>
        <v>71.205916810517792</v>
      </c>
      <c r="AL47" s="2" cm="1">
        <f t="array" ref="AL47">RHOGREEK($B47,100,0.01,AL$44,0.4)</f>
        <v>73.370124158664623</v>
      </c>
      <c r="AM47" s="2" cm="1">
        <f t="array" ref="AM47">RHOGREEK($B47,100,0.01,AM$44,0.4)</f>
        <v>75.520047362666205</v>
      </c>
      <c r="AN47" s="2" cm="1">
        <f t="array" ref="AN47">RHOGREEK($B47,100,0.01,AN$44,0.4)</f>
        <v>77.655551653452008</v>
      </c>
      <c r="AO47" s="2" cm="1">
        <f t="array" ref="AO47">RHOGREEK($B47,100,0.01,AO$44,0.4)</f>
        <v>79.776525163541919</v>
      </c>
      <c r="AP47" s="2" cm="1">
        <f t="array" ref="AP47">RHOGREEK($B47,100,0.01,AP$44,0.4)</f>
        <v>81.882876386983099</v>
      </c>
      <c r="AQ47" s="2" cm="1">
        <f t="array" ref="AQ47">RHOGREEK($B47,100,0.01,AQ$44,0.4)</f>
        <v>83.974531954651724</v>
      </c>
      <c r="AR47" s="2" cm="1">
        <f t="array" ref="AR47">RHOGREEK($B47,100,0.01,AR$44,0.4)</f>
        <v>86.051434680098851</v>
      </c>
      <c r="AS47" s="2" cm="1">
        <f t="array" ref="AS47">RHOGREEK($B47,100,0.01,AS$44,0.4)</f>
        <v>88.113541838318341</v>
      </c>
      <c r="AT47" s="2" cm="1">
        <f t="array" ref="AT47">RHOGREEK($B47,100,0.01,AT$44,0.4)</f>
        <v>90.160823645724321</v>
      </c>
      <c r="AU47" s="2" cm="1">
        <f t="array" ref="AU47">RHOGREEK($B47,100,0.01,AU$44,0.4)</f>
        <v>92.193261914505158</v>
      </c>
      <c r="AV47" s="2" cm="1">
        <f t="array" ref="AV47">RHOGREEK($B47,100,0.01,AV$44,0.4)</f>
        <v>94.210848858561008</v>
      </c>
      <c r="AW47" s="2" cm="1">
        <f t="array" ref="AW47">RHOGREEK($B47,100,0.01,AW$44,0.4)</f>
        <v>96.213586031598453</v>
      </c>
      <c r="AX47" s="2" cm="1">
        <f t="array" ref="AX47">RHOGREEK($B47,100,0.01,AX$44,0.4)</f>
        <v>98.201483380764785</v>
      </c>
      <c r="AY47" s="2" cm="1">
        <f t="array" ref="AY47">RHOGREEK($B47,100,0.01,AY$44,0.4)</f>
        <v>100.17455840156417</v>
      </c>
      <c r="AZ47" s="2" cm="1">
        <f t="array" ref="AZ47">RHOGREEK($B47,100,0.01,AZ$44,0.4)</f>
        <v>102.13283538178266</v>
      </c>
    </row>
    <row r="48" spans="1:52" x14ac:dyDescent="0.3">
      <c r="A48" s="2"/>
      <c r="B48" s="2">
        <v>75</v>
      </c>
      <c r="C48" s="2" cm="1">
        <f t="array" ref="C48">RHOGREEK($B48,100,0.01,C$44,0.4)</f>
        <v>9.901989601050129E-2</v>
      </c>
      <c r="D48" s="2" cm="1">
        <f t="array" ref="D48">RHOGREEK($B48,100,0.01,D$44,0.4)</f>
        <v>0.91525144160066807</v>
      </c>
      <c r="E48" s="2" cm="1">
        <f t="array" ref="E48">RHOGREEK($B48,100,0.01,E$44,0.4)</f>
        <v>2.3756805265942287</v>
      </c>
      <c r="F48" s="2" cm="1">
        <f t="array" ref="F48">RHOGREEK($B48,100,0.01,F$44,0.4)</f>
        <v>4.2248382812955017</v>
      </c>
      <c r="G48" s="2" cm="1">
        <f t="array" ref="G48">RHOGREEK($B48,100,0.01,G$44,0.4)</f>
        <v>6.3166111299292416</v>
      </c>
      <c r="H48" s="2" cm="1">
        <f t="array" ref="H48">RHOGREEK($B48,100,0.01,H$44,0.4)</f>
        <v>8.5676980505201517</v>
      </c>
      <c r="I48" s="2" cm="1">
        <f t="array" ref="I48">RHOGREEK($B48,100,0.01,I$44,0.4)</f>
        <v>10.927278670975221</v>
      </c>
      <c r="J48" s="2" cm="1">
        <f t="array" ref="J48">RHOGREEK($B48,100,0.01,J$44,0.4)</f>
        <v>13.362390898872304</v>
      </c>
      <c r="K48" s="2" cm="1">
        <f t="array" ref="K48">RHOGREEK($B48,100,0.01,K$44,0.4)</f>
        <v>15.850576939970898</v>
      </c>
      <c r="L48" s="2" cm="1">
        <f t="array" ref="L48">RHOGREEK($B48,100,0.01,L$44,0.4)</f>
        <v>18.375924915779336</v>
      </c>
      <c r="M48" s="2" cm="1">
        <f t="array" ref="M48">RHOGREEK($B48,100,0.01,M$44,0.4)</f>
        <v>20.926801193055905</v>
      </c>
      <c r="N48" s="2" cm="1">
        <f t="array" ref="N48">RHOGREEK($B48,100,0.01,N$44,0.4)</f>
        <v>23.494480436916326</v>
      </c>
      <c r="O48" s="2" cm="1">
        <f t="array" ref="O48">RHOGREEK($B48,100,0.01,O$44,0.4)</f>
        <v>26.072280152564122</v>
      </c>
      <c r="P48" s="2" cm="1">
        <f t="array" ref="P48">RHOGREEK($B48,100,0.01,P$44,0.4)</f>
        <v>28.654992880141137</v>
      </c>
      <c r="Q48" s="2" cm="1">
        <f t="array" ref="Q48">RHOGREEK($B48,100,0.01,Q$44,0.4)</f>
        <v>31.238501485645209</v>
      </c>
      <c r="R48" s="2" cm="1">
        <f t="array" ref="R48">RHOGREEK($B48,100,0.01,R$44,0.4)</f>
        <v>33.819511193897171</v>
      </c>
      <c r="S48" s="2" cm="1">
        <f t="array" ref="S48">RHOGREEK($B48,100,0.01,S$44,0.4)</f>
        <v>36.395358405967748</v>
      </c>
      <c r="T48" s="2" cm="1">
        <f t="array" ref="T48">RHOGREEK($B48,100,0.01,T$44,0.4)</f>
        <v>38.963871408681534</v>
      </c>
      <c r="U48" s="2" cm="1">
        <f t="array" ref="U48">RHOGREEK($B48,100,0.01,U$44,0.4)</f>
        <v>41.523267000086086</v>
      </c>
      <c r="V48" s="2" cm="1">
        <f t="array" ref="V48">RHOGREEK($B48,100,0.01,V$44,0.4)</f>
        <v>44.072072503817417</v>
      </c>
      <c r="W48" s="2" cm="1">
        <f t="array" ref="W48">RHOGREEK($B48,100,0.01,W$44,0.4)</f>
        <v>46.609066071558175</v>
      </c>
      <c r="X48" s="2" cm="1">
        <f t="array" ref="X48">RHOGREEK($B48,100,0.01,X$44,0.4)</f>
        <v>49.133230382604204</v>
      </c>
      <c r="Y48" s="2" cm="1">
        <f t="array" ref="Y48">RHOGREEK($B48,100,0.01,Y$44,0.4)</f>
        <v>51.643716307679199</v>
      </c>
      <c r="Z48" s="2" cm="1">
        <f t="array" ref="Z48">RHOGREEK($B48,100,0.01,Z$44,0.4)</f>
        <v>54.139814086248769</v>
      </c>
      <c r="AA48" s="2" cm="1">
        <f t="array" ref="AA48">RHOGREEK($B48,100,0.01,AA$44,0.4)</f>
        <v>56.620930240519627</v>
      </c>
      <c r="AB48" s="2" cm="1">
        <f t="array" ref="AB48">RHOGREEK($B48,100,0.01,AB$44,0.4)</f>
        <v>59.086568919675386</v>
      </c>
      <c r="AC48" s="2" cm="1">
        <f t="array" ref="AC48">RHOGREEK($B48,100,0.01,AC$44,0.4)</f>
        <v>61.536316701308479</v>
      </c>
      <c r="AD48" s="2" cm="1">
        <f t="array" ref="AD48">RHOGREEK($B48,100,0.01,AD$44,0.4)</f>
        <v>63.969830116717461</v>
      </c>
      <c r="AE48" s="2" cm="1">
        <f t="array" ref="AE48">RHOGREEK($B48,100,0.01,AE$44,0.4)</f>
        <v>66.386825341347844</v>
      </c>
      <c r="AF48" s="2" cm="1">
        <f t="array" ref="AF48">RHOGREEK($B48,100,0.01,AF$44,0.4)</f>
        <v>68.787069620385338</v>
      </c>
      <c r="AG48" s="2" cm="1">
        <f t="array" ref="AG48">RHOGREEK($B48,100,0.01,AG$44,0.4)</f>
        <v>71.170374095483112</v>
      </c>
      <c r="AH48" s="2" cm="1">
        <f t="array" ref="AH48">RHOGREEK($B48,100,0.01,AH$44,0.4)</f>
        <v>73.536587770900297</v>
      </c>
      <c r="AI48" s="2" cm="1">
        <f t="array" ref="AI48">RHOGREEK($B48,100,0.01,AI$44,0.4)</f>
        <v>75.885592412315631</v>
      </c>
      <c r="AJ48" s="2" cm="1">
        <f t="array" ref="AJ48">RHOGREEK($B48,100,0.01,AJ$44,0.4)</f>
        <v>78.217298213781447</v>
      </c>
      <c r="AK48" s="2" cm="1">
        <f t="array" ref="AK48">RHOGREEK($B48,100,0.01,AK$44,0.4)</f>
        <v>80.531640100942951</v>
      </c>
      <c r="AL48" s="2" cm="1">
        <f t="array" ref="AL48">RHOGREEK($B48,100,0.01,AL$44,0.4)</f>
        <v>82.828574564126157</v>
      </c>
      <c r="AM48" s="2" cm="1">
        <f t="array" ref="AM48">RHOGREEK($B48,100,0.01,AM$44,0.4)</f>
        <v>85.108076934918756</v>
      </c>
      <c r="AN48" s="2" cm="1">
        <f t="array" ref="AN48">RHOGREEK($B48,100,0.01,AN$44,0.4)</f>
        <v>87.370139035711617</v>
      </c>
      <c r="AO48" s="2" cm="1">
        <f t="array" ref="AO48">RHOGREEK($B48,100,0.01,AO$44,0.4)</f>
        <v>89.614767144289956</v>
      </c>
      <c r="AP48" s="2" cm="1">
        <f t="array" ref="AP48">RHOGREEK($B48,100,0.01,AP$44,0.4)</f>
        <v>91.841980225675897</v>
      </c>
      <c r="AQ48" s="2" cm="1">
        <f t="array" ref="AQ48">RHOGREEK($B48,100,0.01,AQ$44,0.4)</f>
        <v>94.051808391581019</v>
      </c>
      <c r="AR48" s="2" cm="1">
        <f t="array" ref="AR48">RHOGREEK($B48,100,0.01,AR$44,0.4)</f>
        <v>96.244291554434426</v>
      </c>
      <c r="AS48" s="2" cm="1">
        <f t="array" ref="AS48">RHOGREEK($B48,100,0.01,AS$44,0.4)</f>
        <v>98.419478248342301</v>
      </c>
      <c r="AT48" s="2" cm="1">
        <f t="array" ref="AT48">RHOGREEK($B48,100,0.01,AT$44,0.4)</f>
        <v>100.57742459374219</v>
      </c>
      <c r="AU48" s="2" cm="1">
        <f t="array" ref="AU48">RHOGREEK($B48,100,0.01,AU$44,0.4)</f>
        <v>102.71819338614901</v>
      </c>
      <c r="AV48" s="2" cm="1">
        <f t="array" ref="AV48">RHOGREEK($B48,100,0.01,AV$44,0.4)</f>
        <v>104.84185329238757</v>
      </c>
      <c r="AW48" s="2" cm="1">
        <f t="array" ref="AW48">RHOGREEK($B48,100,0.01,AW$44,0.4)</f>
        <v>106.94847814019855</v>
      </c>
      <c r="AX48" s="2" cm="1">
        <f t="array" ref="AX48">RHOGREEK($B48,100,0.01,AX$44,0.4)</f>
        <v>109.03814628917856</v>
      </c>
      <c r="AY48" s="2" cm="1">
        <f t="array" ref="AY48">RHOGREEK($B48,100,0.01,AY$44,0.4)</f>
        <v>111.11094007275604</v>
      </c>
      <c r="AZ48" s="2" cm="1">
        <f t="array" ref="AZ48">RHOGREEK($B48,100,0.01,AZ$44,0.4)</f>
        <v>113.16694530235804</v>
      </c>
    </row>
    <row r="49" spans="1:52" x14ac:dyDescent="0.3">
      <c r="A49" s="2"/>
      <c r="B49" s="2">
        <v>80</v>
      </c>
      <c r="C49" s="2" cm="1">
        <f t="array" ref="C49">RHOGREEK($B49,100,0.01,C$44,0.4)</f>
        <v>0.34387414719888948</v>
      </c>
      <c r="D49" s="2" cm="1">
        <f t="array" ref="D49">RHOGREEK($B49,100,0.01,D$44,0.4)</f>
        <v>1.8457858977243349</v>
      </c>
      <c r="E49" s="2" cm="1">
        <f t="array" ref="E49">RHOGREEK($B49,100,0.01,E$44,0.4)</f>
        <v>3.9649733189571927</v>
      </c>
      <c r="F49" s="2" cm="1">
        <f t="array" ref="F49">RHOGREEK($B49,100,0.01,F$44,0.4)</f>
        <v>6.391195032890467</v>
      </c>
      <c r="G49" s="2" cm="1">
        <f t="array" ref="G49">RHOGREEK($B49,100,0.01,G$44,0.4)</f>
        <v>8.9902698271112875</v>
      </c>
      <c r="H49" s="2" cm="1">
        <f t="array" ref="H49">RHOGREEK($B49,100,0.01,H$44,0.4)</f>
        <v>11.69375646513182</v>
      </c>
      <c r="I49" s="2" cm="1">
        <f t="array" ref="I49">RHOGREEK($B49,100,0.01,I$44,0.4)</f>
        <v>14.462340517177152</v>
      </c>
      <c r="J49" s="2" cm="1">
        <f t="array" ref="J49">RHOGREEK($B49,100,0.01,J$44,0.4)</f>
        <v>17.271495440169353</v>
      </c>
      <c r="K49" s="2" cm="1">
        <f t="array" ref="K49">RHOGREEK($B49,100,0.01,K$44,0.4)</f>
        <v>20.10498173283386</v>
      </c>
      <c r="L49" s="2" cm="1">
        <f t="array" ref="L49">RHOGREEK($B49,100,0.01,L$44,0.4)</f>
        <v>22.951558308244618</v>
      </c>
      <c r="M49" s="2" cm="1">
        <f t="array" ref="M49">RHOGREEK($B49,100,0.01,M$44,0.4)</f>
        <v>25.803174365459714</v>
      </c>
      <c r="N49" s="2" cm="1">
        <f t="array" ref="N49">RHOGREEK($B49,100,0.01,N$44,0.4)</f>
        <v>28.653908438471795</v>
      </c>
      <c r="O49" s="2" cm="1">
        <f t="array" ref="O49">RHOGREEK($B49,100,0.01,O$44,0.4)</f>
        <v>31.499312576528673</v>
      </c>
      <c r="P49" s="2" cm="1">
        <f t="array" ref="P49">RHOGREEK($B49,100,0.01,P$44,0.4)</f>
        <v>34.335989311891517</v>
      </c>
      <c r="Q49" s="2" cm="1">
        <f t="array" ref="Q49">RHOGREEK($B49,100,0.01,Q$44,0.4)</f>
        <v>37.16130893883404</v>
      </c>
      <c r="R49" s="2" cm="1">
        <f t="array" ref="R49">RHOGREEK($B49,100,0.01,R$44,0.4)</f>
        <v>39.973214823197011</v>
      </c>
      <c r="S49" s="2" cm="1">
        <f t="array" ref="S49">RHOGREEK($B49,100,0.01,S$44,0.4)</f>
        <v>42.77008585592322</v>
      </c>
      <c r="T49" s="2" cm="1">
        <f t="array" ref="T49">RHOGREEK($B49,100,0.01,T$44,0.4)</f>
        <v>45.550637104043645</v>
      </c>
      <c r="U49" s="2" cm="1">
        <f t="array" ref="U49">RHOGREEK($B49,100,0.01,U$44,0.4)</f>
        <v>48.313846653038986</v>
      </c>
      <c r="V49" s="2" cm="1">
        <f t="array" ref="V49">RHOGREEK($B49,100,0.01,V$44,0.4)</f>
        <v>51.05890081373343</v>
      </c>
      <c r="W49" s="2" cm="1">
        <f t="array" ref="W49">RHOGREEK($B49,100,0.01,W$44,0.4)</f>
        <v>53.785152462408462</v>
      </c>
      <c r="X49" s="2" cm="1">
        <f t="array" ref="X49">RHOGREEK($B49,100,0.01,X$44,0.4)</f>
        <v>56.492088939380849</v>
      </c>
      <c r="Y49" s="2" cm="1">
        <f t="array" ref="Y49">RHOGREEK($B49,100,0.01,Y$44,0.4)</f>
        <v>59.179307014529826</v>
      </c>
      <c r="Z49" s="2" cm="1">
        <f t="array" ref="Z49">RHOGREEK($B49,100,0.01,Z$44,0.4)</f>
        <v>61.846493152159695</v>
      </c>
      <c r="AA49" s="2" cm="1">
        <f t="array" ref="AA49">RHOGREEK($B49,100,0.01,AA$44,0.4)</f>
        <v>64.493407800902446</v>
      </c>
      <c r="AB49" s="2" cm="1">
        <f t="array" ref="AB49">RHOGREEK($B49,100,0.01,AB$44,0.4)</f>
        <v>67.119872776552242</v>
      </c>
      <c r="AC49" s="2" cm="1">
        <f t="array" ref="AC49">RHOGREEK($B49,100,0.01,AC$44,0.4)</f>
        <v>69.72576104693178</v>
      </c>
      <c r="AD49" s="2" cm="1">
        <f t="array" ref="AD49">RHOGREEK($B49,100,0.01,AD$44,0.4)</f>
        <v>72.310988400435107</v>
      </c>
      <c r="AE49" s="2" cm="1">
        <f t="array" ref="AE49">RHOGREEK($B49,100,0.01,AE$44,0.4)</f>
        <v>74.875506604993973</v>
      </c>
      <c r="AF49" s="2" cm="1">
        <f t="array" ref="AF49">RHOGREEK($B49,100,0.01,AF$44,0.4)</f>
        <v>77.41929775604963</v>
      </c>
      <c r="AG49" s="2" cm="1">
        <f t="array" ref="AG49">RHOGREEK($B49,100,0.01,AG$44,0.4)</f>
        <v>79.942369580304728</v>
      </c>
      <c r="AH49" s="2" cm="1">
        <f t="array" ref="AH49">RHOGREEK($B49,100,0.01,AH$44,0.4)</f>
        <v>82.444751513200885</v>
      </c>
      <c r="AI49" s="2" cm="1">
        <f t="array" ref="AI49">RHOGREEK($B49,100,0.01,AI$44,0.4)</f>
        <v>84.926491406851227</v>
      </c>
      <c r="AJ49" s="2" cm="1">
        <f t="array" ref="AJ49">RHOGREEK($B49,100,0.01,AJ$44,0.4)</f>
        <v>87.387652754816912</v>
      </c>
      <c r="AK49" s="2" cm="1">
        <f t="array" ref="AK49">RHOGREEK($B49,100,0.01,AK$44,0.4)</f>
        <v>89.828312342996853</v>
      </c>
      <c r="AL49" s="2" cm="1">
        <f t="array" ref="AL49">RHOGREEK($B49,100,0.01,AL$44,0.4)</f>
        <v>92.248558253690263</v>
      </c>
      <c r="AM49" s="2" cm="1">
        <f t="array" ref="AM49">RHOGREEK($B49,100,0.01,AM$44,0.4)</f>
        <v>94.648488163828858</v>
      </c>
      <c r="AN49" s="2" cm="1">
        <f t="array" ref="AN49">RHOGREEK($B49,100,0.01,AN$44,0.4)</f>
        <v>97.028207889369781</v>
      </c>
      <c r="AO49" s="2" cm="1">
        <f t="array" ref="AO49">RHOGREEK($B49,100,0.01,AO$44,0.4)</f>
        <v>99.387830136571637</v>
      </c>
      <c r="AP49" s="2" cm="1">
        <f t="array" ref="AP49">RHOGREEK($B49,100,0.01,AP$44,0.4)</f>
        <v>101.72747342785478</v>
      </c>
      <c r="AQ49" s="2" cm="1">
        <f t="array" ref="AQ49">RHOGREEK($B49,100,0.01,AQ$44,0.4)</f>
        <v>104.04726117555312</v>
      </c>
      <c r="AR49" s="2" cm="1">
        <f t="array" ref="AR49">RHOGREEK($B49,100,0.01,AR$44,0.4)</f>
        <v>106.34732088139926</v>
      </c>
      <c r="AS49" s="2" cm="1">
        <f t="array" ref="AS49">RHOGREEK($B49,100,0.01,AS$44,0.4)</f>
        <v>108.62778344326669</v>
      </c>
      <c r="AT49" s="2" cm="1">
        <f t="array" ref="AT49">RHOGREEK($B49,100,0.01,AT$44,0.4)</f>
        <v>110.88878255370106</v>
      </c>
      <c r="AU49" s="2" cm="1">
        <f t="array" ref="AU49">RHOGREEK($B49,100,0.01,AU$44,0.4)</f>
        <v>113.1304541772387</v>
      </c>
      <c r="AV49" s="2" cm="1">
        <f t="array" ref="AV49">RHOGREEK($B49,100,0.01,AV$44,0.4)</f>
        <v>115.35293609554562</v>
      </c>
      <c r="AW49" s="2" cm="1">
        <f t="array" ref="AW49">RHOGREEK($B49,100,0.01,AW$44,0.4)</f>
        <v>117.55636751109094</v>
      </c>
      <c r="AX49" s="2" cm="1">
        <f t="array" ref="AX49">RHOGREEK($B49,100,0.01,AX$44,0.4)</f>
        <v>119.74088870146844</v>
      </c>
      <c r="AY49" s="2" cm="1">
        <f t="array" ref="AY49">RHOGREEK($B49,100,0.01,AY$44,0.4)</f>
        <v>121.90664071764625</v>
      </c>
      <c r="AZ49" s="2" cm="1">
        <f t="array" ref="AZ49">RHOGREEK($B49,100,0.01,AZ$44,0.4)</f>
        <v>124.0537651204008</v>
      </c>
    </row>
    <row r="50" spans="1:52" x14ac:dyDescent="0.3">
      <c r="A50" s="2"/>
      <c r="B50" s="2">
        <v>85</v>
      </c>
      <c r="C50" s="2" cm="1">
        <f t="array" ref="C50">RHOGREEK($B50,100,0.01,C$44,0.4)</f>
        <v>0.90005833983234396</v>
      </c>
      <c r="D50" s="2" cm="1">
        <f t="array" ref="D50">RHOGREEK($B50,100,0.01,D$44,0.4)</f>
        <v>3.2310814267145074</v>
      </c>
      <c r="E50" s="2" cm="1">
        <f t="array" ref="E50">RHOGREEK($B50,100,0.01,E$44,0.4)</f>
        <v>6.0153744215510176</v>
      </c>
      <c r="F50" s="2" cm="1">
        <f t="array" ref="F50">RHOGREEK($B50,100,0.01,F$44,0.4)</f>
        <v>8.9918508720063972</v>
      </c>
      <c r="G50" s="2" cm="1">
        <f t="array" ref="G50">RHOGREEK($B50,100,0.01,G$44,0.4)</f>
        <v>12.063725215373925</v>
      </c>
      <c r="H50" s="2" cm="1">
        <f t="array" ref="H50">RHOGREEK($B50,100,0.01,H$44,0.4)</f>
        <v>15.184654348546422</v>
      </c>
      <c r="I50" s="2" cm="1">
        <f t="array" ref="I50">RHOGREEK($B50,100,0.01,I$44,0.4)</f>
        <v>18.329016979679462</v>
      </c>
      <c r="J50" s="2" cm="1">
        <f t="array" ref="J50">RHOGREEK($B50,100,0.01,J$44,0.4)</f>
        <v>21.4812969336664</v>
      </c>
      <c r="K50" s="2" cm="1">
        <f t="array" ref="K50">RHOGREEK($B50,100,0.01,K$44,0.4)</f>
        <v>24.631496184008938</v>
      </c>
      <c r="L50" s="2" cm="1">
        <f t="array" ref="L50">RHOGREEK($B50,100,0.01,L$44,0.4)</f>
        <v>27.77288209502176</v>
      </c>
      <c r="M50" s="2" cm="1">
        <f t="array" ref="M50">RHOGREEK($B50,100,0.01,M$44,0.4)</f>
        <v>30.900773725543289</v>
      </c>
      <c r="N50" s="2" cm="1">
        <f t="array" ref="N50">RHOGREEK($B50,100,0.01,N$44,0.4)</f>
        <v>34.011840413867731</v>
      </c>
      <c r="O50" s="2" cm="1">
        <f t="array" ref="O50">RHOGREEK($B50,100,0.01,O$44,0.4)</f>
        <v>37.103673479645508</v>
      </c>
      <c r="P50" s="2" cm="1">
        <f t="array" ref="P50">RHOGREEK($B50,100,0.01,P$44,0.4)</f>
        <v>40.174512838750495</v>
      </c>
      <c r="Q50" s="2" cm="1">
        <f t="array" ref="Q50">RHOGREEK($B50,100,0.01,Q$44,0.4)</f>
        <v>43.223066018656354</v>
      </c>
      <c r="R50" s="2" cm="1">
        <f t="array" ref="R50">RHOGREEK($B50,100,0.01,R$44,0.4)</f>
        <v>46.248384633920288</v>
      </c>
      <c r="S50" s="2" cm="1">
        <f t="array" ref="S50">RHOGREEK($B50,100,0.01,S$44,0.4)</f>
        <v>49.249777870866843</v>
      </c>
      <c r="T50" s="2" cm="1">
        <f t="array" ref="T50">RHOGREEK($B50,100,0.01,T$44,0.4)</f>
        <v>52.226750534875691</v>
      </c>
      <c r="U50" s="2" cm="1">
        <f t="array" ref="U50">RHOGREEK($B50,100,0.01,U$44,0.4)</f>
        <v>55.178957827199071</v>
      </c>
      <c r="V50" s="2" cm="1">
        <f t="array" ref="V50">RHOGREEK($B50,100,0.01,V$44,0.4)</f>
        <v>58.106171776385622</v>
      </c>
      <c r="W50" s="2" cm="1">
        <f t="array" ref="W50">RHOGREEK($B50,100,0.01,W$44,0.4)</f>
        <v>61.008255951637999</v>
      </c>
      <c r="X50" s="2" cm="1">
        <f t="array" ref="X50">RHOGREEK($B50,100,0.01,X$44,0.4)</f>
        <v>63.885146165799156</v>
      </c>
      <c r="Y50" s="2" cm="1">
        <f t="array" ref="Y50">RHOGREEK($B50,100,0.01,Y$44,0.4)</f>
        <v>66.736835578526367</v>
      </c>
      <c r="Z50" s="2" cm="1">
        <f t="array" ref="Z50">RHOGREEK($B50,100,0.01,Z$44,0.4)</f>
        <v>69.563363077690823</v>
      </c>
      <c r="AA50" s="2" cm="1">
        <f t="array" ref="AA50">RHOGREEK($B50,100,0.01,AA$44,0.4)</f>
        <v>72.36480413418704</v>
      </c>
      <c r="AB50" s="2" cm="1">
        <f t="array" ref="AB50">RHOGREEK($B50,100,0.01,AB$44,0.4)</f>
        <v>75.141263544374993</v>
      </c>
      <c r="AC50" s="2" cm="1">
        <f t="array" ref="AC50">RHOGREEK($B50,100,0.01,AC$44,0.4)</f>
        <v>77.892869628132388</v>
      </c>
      <c r="AD50" s="2" cm="1">
        <f t="array" ref="AD50">RHOGREEK($B50,100,0.01,AD$44,0.4)</f>
        <v>80.619769560027962</v>
      </c>
      <c r="AE50" s="2" cm="1">
        <f t="array" ref="AE50">RHOGREEK($B50,100,0.01,AE$44,0.4)</f>
        <v>83.322125590219144</v>
      </c>
      <c r="AF50" s="2" cm="1">
        <f t="array" ref="AF50">RHOGREEK($B50,100,0.01,AF$44,0.4)</f>
        <v>86.000111969500693</v>
      </c>
      <c r="AG50" s="2" cm="1">
        <f t="array" ref="AG50">RHOGREEK($B50,100,0.01,AG$44,0.4)</f>
        <v>88.653912435691268</v>
      </c>
      <c r="AH50" s="2" cm="1">
        <f t="array" ref="AH50">RHOGREEK($B50,100,0.01,AH$44,0.4)</f>
        <v>91.283718150500491</v>
      </c>
      <c r="AI50" s="2" cm="1">
        <f t="array" ref="AI50">RHOGREEK($B50,100,0.01,AI$44,0.4)</f>
        <v>93.889726000134246</v>
      </c>
      <c r="AJ50" s="2" cm="1">
        <f t="array" ref="AJ50">RHOGREEK($B50,100,0.01,AJ$44,0.4)</f>
        <v>96.472137191262803</v>
      </c>
      <c r="AK50" s="2" cm="1">
        <f t="array" ref="AK50">RHOGREEK($B50,100,0.01,AK$44,0.4)</f>
        <v>99.031156088079115</v>
      </c>
      <c r="AL50" s="2" cm="1">
        <f t="array" ref="AL50">RHOGREEK($B50,100,0.01,AL$44,0.4)</f>
        <v>101.56698924709426</v>
      </c>
      <c r="AM50" s="2" cm="1">
        <f t="array" ref="AM50">RHOGREEK($B50,100,0.01,AM$44,0.4)</f>
        <v>104.07984461483063</v>
      </c>
      <c r="AN50" s="2" cm="1">
        <f t="array" ref="AN50">RHOGREEK($B50,100,0.01,AN$44,0.4)</f>
        <v>106.56993086025818</v>
      </c>
      <c r="AO50" s="2" cm="1">
        <f t="array" ref="AO50">RHOGREEK($B50,100,0.01,AO$44,0.4)</f>
        <v>109.03745681910293</v>
      </c>
      <c r="AP50" s="2" cm="1">
        <f t="array" ref="AP50">RHOGREEK($B50,100,0.01,AP$44,0.4)</f>
        <v>111.48263103135724</v>
      </c>
      <c r="AQ50" s="2" cm="1">
        <f t="array" ref="AQ50">RHOGREEK($B50,100,0.01,AQ$44,0.4)</f>
        <v>113.90566135668128</v>
      </c>
      <c r="AR50" s="2" cm="1">
        <f t="array" ref="AR50">RHOGREEK($B50,100,0.01,AR$44,0.4)</f>
        <v>116.30675465508543</v>
      </c>
      <c r="AS50" s="2" cm="1">
        <f t="array" ref="AS50">RHOGREEK($B50,100,0.01,AS$44,0.4)</f>
        <v>118.68611652246592</v>
      </c>
      <c r="AT50" s="2" cm="1">
        <f t="array" ref="AT50">RHOGREEK($B50,100,0.01,AT$44,0.4)</f>
        <v>121.04395107233863</v>
      </c>
      <c r="AU50" s="2" cm="1">
        <f t="array" ref="AU50">RHOGREEK($B50,100,0.01,AU$44,0.4)</f>
        <v>123.38046075656101</v>
      </c>
      <c r="AV50" s="2" cm="1">
        <f t="array" ref="AV50">RHOGREEK($B50,100,0.01,AV$44,0.4)</f>
        <v>125.69584621901635</v>
      </c>
      <c r="AW50" s="2" cm="1">
        <f t="array" ref="AW50">RHOGREEK($B50,100,0.01,AW$44,0.4)</f>
        <v>127.99030617720909</v>
      </c>
      <c r="AX50" s="2" cm="1">
        <f t="array" ref="AX50">RHOGREEK($B50,100,0.01,AX$44,0.4)</f>
        <v>130.2640373275224</v>
      </c>
      <c r="AY50" s="2" cm="1">
        <f t="array" ref="AY50">RHOGREEK($B50,100,0.01,AY$44,0.4)</f>
        <v>132.51723427055845</v>
      </c>
      <c r="AZ50" s="2" cm="1">
        <f t="array" ref="AZ50">RHOGREEK($B50,100,0.01,AZ$44,0.4)</f>
        <v>134.75008945353269</v>
      </c>
    </row>
    <row r="51" spans="1:52" x14ac:dyDescent="0.3">
      <c r="A51" s="2"/>
      <c r="B51" s="2">
        <v>90</v>
      </c>
      <c r="C51" s="2" cm="1">
        <f t="array" ref="C51">RHOGREEK($B51,100,0.01,C$44,0.4)</f>
        <v>1.8700586165914483</v>
      </c>
      <c r="D51" s="2" cm="1">
        <f t="array" ref="D51">RHOGREEK($B51,100,0.01,D$44,0.4)</f>
        <v>5.036070672768056</v>
      </c>
      <c r="E51" s="2" cm="1">
        <f t="array" ref="E51">RHOGREEK($B51,100,0.01,E$44,0.4)</f>
        <v>8.4362359164914515</v>
      </c>
      <c r="F51" s="2" cm="1">
        <f t="array" ref="F51">RHOGREEK($B51,100,0.01,F$44,0.4)</f>
        <v>11.913985443079588</v>
      </c>
      <c r="G51" s="2" cm="1">
        <f t="array" ref="G51">RHOGREEK($B51,100,0.01,G$44,0.4)</f>
        <v>15.41569073297264</v>
      </c>
      <c r="H51" s="2" cm="1">
        <f t="array" ref="H51">RHOGREEK($B51,100,0.01,H$44,0.4)</f>
        <v>18.916853040550677</v>
      </c>
      <c r="I51" s="2" cm="1">
        <f t="array" ref="I51">RHOGREEK($B51,100,0.01,I$44,0.4)</f>
        <v>22.404536424546112</v>
      </c>
      <c r="J51" s="2" cm="1">
        <f t="array" ref="J51">RHOGREEK($B51,100,0.01,J$44,0.4)</f>
        <v>25.871309962195181</v>
      </c>
      <c r="K51" s="2" cm="1">
        <f t="array" ref="K51">RHOGREEK($B51,100,0.01,K$44,0.4)</f>
        <v>29.312683899582499</v>
      </c>
      <c r="L51" s="2" cm="1">
        <f t="array" ref="L51">RHOGREEK($B51,100,0.01,L$44,0.4)</f>
        <v>32.725870142600328</v>
      </c>
      <c r="M51" s="2" cm="1">
        <f t="array" ref="M51">RHOGREEK($B51,100,0.01,M$44,0.4)</f>
        <v>36.109123869755926</v>
      </c>
      <c r="N51" s="2" cm="1">
        <f t="array" ref="N51">RHOGREEK($B51,100,0.01,N$44,0.4)</f>
        <v>39.461368361473887</v>
      </c>
      <c r="O51" s="2" cm="1">
        <f t="array" ref="O51">RHOGREEK($B51,100,0.01,O$44,0.4)</f>
        <v>42.781969253903348</v>
      </c>
      <c r="P51" s="2" cm="1">
        <f t="array" ref="P51">RHOGREEK($B51,100,0.01,P$44,0.4)</f>
        <v>46.070592688330763</v>
      </c>
      <c r="Q51" s="2" cm="1">
        <f t="array" ref="Q51">RHOGREEK($B51,100,0.01,Q$44,0.4)</f>
        <v>49.327112985377944</v>
      </c>
      <c r="R51" s="2" cm="1">
        <f t="array" ref="R51">RHOGREEK($B51,100,0.01,R$44,0.4)</f>
        <v>52.551550785101114</v>
      </c>
      <c r="S51" s="2" cm="1">
        <f t="array" ref="S51">RHOGREEK($B51,100,0.01,S$44,0.4)</f>
        <v>55.744030586322872</v>
      </c>
      <c r="T51" s="2" cm="1">
        <f t="array" ref="T51">RHOGREEK($B51,100,0.01,T$44,0.4)</f>
        <v>58.904751004915035</v>
      </c>
      <c r="U51" s="2" cm="1">
        <f t="array" ref="U51">RHOGREEK($B51,100,0.01,U$44,0.4)</f>
        <v>62.033963582654835</v>
      </c>
      <c r="V51" s="2" cm="1">
        <f t="array" ref="V51">RHOGREEK($B51,100,0.01,V$44,0.4)</f>
        <v>65.131957470149146</v>
      </c>
      <c r="W51" s="2" cm="1">
        <f t="array" ref="W51">RHOGREEK($B51,100,0.01,W$44,0.4)</f>
        <v>68.199048221845828</v>
      </c>
      <c r="X51" s="2" cm="1">
        <f t="array" ref="X51">RHOGREEK($B51,100,0.01,X$44,0.4)</f>
        <v>71.23556951749832</v>
      </c>
      <c r="Y51" s="2" cm="1">
        <f t="array" ref="Y51">RHOGREEK($B51,100,0.01,Y$44,0.4)</f>
        <v>74.24186699666096</v>
      </c>
      <c r="Z51" s="2" cm="1">
        <f t="array" ref="Z51">RHOGREEK($B51,100,0.01,Z$44,0.4)</f>
        <v>77.218293638451243</v>
      </c>
      <c r="AA51" s="2" cm="1">
        <f t="array" ref="AA51">RHOGREEK($B51,100,0.01,AA$44,0.4)</f>
        <v>80.16520628413042</v>
      </c>
      <c r="AB51" s="2" cm="1">
        <f t="array" ref="AB51">RHOGREEK($B51,100,0.01,AB$44,0.4)</f>
        <v>83.082963013263054</v>
      </c>
      <c r="AC51" s="2" cm="1">
        <f t="array" ref="AC51">RHOGREEK($B51,100,0.01,AC$44,0.4)</f>
        <v>85.971921162975775</v>
      </c>
      <c r="AD51" s="2" cm="1">
        <f t="array" ref="AD51">RHOGREEK($B51,100,0.01,AD$44,0.4)</f>
        <v>88.832435835418792</v>
      </c>
      <c r="AE51" s="2" cm="1">
        <f t="array" ref="AE51">RHOGREEK($B51,100,0.01,AE$44,0.4)</f>
        <v>91.66485877827327</v>
      </c>
      <c r="AF51" s="2" cm="1">
        <f t="array" ref="AF51">RHOGREEK($B51,100,0.01,AF$44,0.4)</f>
        <v>94.469537551902377</v>
      </c>
      <c r="AG51" s="2" cm="1">
        <f t="array" ref="AG51">RHOGREEK($B51,100,0.01,AG$44,0.4)</f>
        <v>97.246814917774685</v>
      </c>
      <c r="AH51" s="2" cm="1">
        <f t="array" ref="AH51">RHOGREEK($B51,100,0.01,AH$44,0.4)</f>
        <v>99.997028398327572</v>
      </c>
      <c r="AI51" s="2" cm="1">
        <f t="array" ref="AI51">RHOGREEK($B51,100,0.01,AI$44,0.4)</f>
        <v>102.72050997002238</v>
      </c>
      <c r="AJ51" s="2" cm="1">
        <f t="array" ref="AJ51">RHOGREEK($B51,100,0.01,AJ$44,0.4)</f>
        <v>105.4175858600552</v>
      </c>
      <c r="AK51" s="2" cm="1">
        <f t="array" ref="AK51">RHOGREEK($B51,100,0.01,AK$44,0.4)</f>
        <v>108.08857642378834</v>
      </c>
      <c r="AL51" s="2" cm="1">
        <f t="array" ref="AL51">RHOGREEK($B51,100,0.01,AL$44,0.4)</f>
        <v>110.73379608500538</v>
      </c>
      <c r="AM51" s="2" cm="1">
        <f t="array" ref="AM51">RHOGREEK($B51,100,0.01,AM$44,0.4)</f>
        <v>113.35355332496516</v>
      </c>
      <c r="AN51" s="2" cm="1">
        <f t="array" ref="AN51">RHOGREEK($B51,100,0.01,AN$44,0.4)</f>
        <v>115.94815070922164</v>
      </c>
      <c r="AO51" s="2" cm="1">
        <f t="array" ref="AO51">RHOGREEK($B51,100,0.01,AO$44,0.4)</f>
        <v>118.51788494350306</v>
      </c>
      <c r="AP51" s="2" cm="1">
        <f t="array" ref="AP51">RHOGREEK($B51,100,0.01,AP$44,0.4)</f>
        <v>121.0630469517625</v>
      </c>
      <c r="AQ51" s="2" cm="1">
        <f t="array" ref="AQ51">RHOGREEK($B51,100,0.01,AQ$44,0.4)</f>
        <v>123.58392197093748</v>
      </c>
      <c r="AR51" s="2" cm="1">
        <f t="array" ref="AR51">RHOGREEK($B51,100,0.01,AR$44,0.4)</f>
        <v>126.08078965808402</v>
      </c>
      <c r="AS51" s="2" cm="1">
        <f t="array" ref="AS51">RHOGREEK($B51,100,0.01,AS$44,0.4)</f>
        <v>128.55392420643867</v>
      </c>
      <c r="AT51" s="2" cm="1">
        <f t="array" ref="AT51">RHOGREEK($B51,100,0.01,AT$44,0.4)</f>
        <v>131.00359446767192</v>
      </c>
      <c r="AU51" s="2" cm="1">
        <f t="array" ref="AU51">RHOGREEK($B51,100,0.01,AU$44,0.4)</f>
        <v>133.43006407816011</v>
      </c>
      <c r="AV51" s="2" cm="1">
        <f t="array" ref="AV51">RHOGREEK($B51,100,0.01,AV$44,0.4)</f>
        <v>135.83359158755189</v>
      </c>
      <c r="AW51" s="2" cm="1">
        <f t="array" ref="AW51">RHOGREEK($B51,100,0.01,AW$44,0.4)</f>
        <v>138.21443058827006</v>
      </c>
      <c r="AX51" s="2" cm="1">
        <f t="array" ref="AX51">RHOGREEK($B51,100,0.01,AX$44,0.4)</f>
        <v>140.57282984487514</v>
      </c>
      <c r="AY51" s="2" cm="1">
        <f t="array" ref="AY51">RHOGREEK($B51,100,0.01,AY$44,0.4)</f>
        <v>142.90903342245466</v>
      </c>
      <c r="AZ51" s="2" cm="1">
        <f t="array" ref="AZ51">RHOGREEK($B51,100,0.01,AZ$44,0.4)</f>
        <v>145.22328081338557</v>
      </c>
    </row>
    <row r="52" spans="1:52" x14ac:dyDescent="0.3">
      <c r="A52" s="2"/>
      <c r="B52" s="2">
        <v>95</v>
      </c>
      <c r="C52" s="2" cm="1">
        <f t="array" ref="C52">RHOGREEK($B52,100,0.01,C$44,0.4)</f>
        <v>3.2213119523005909</v>
      </c>
      <c r="D52" s="2" cm="1">
        <f t="array" ref="D52">RHOGREEK($B52,100,0.01,D$44,0.4)</f>
        <v>7.1368215691718566</v>
      </c>
      <c r="E52" s="2" cm="1">
        <f t="array" ref="E52">RHOGREEK($B52,100,0.01,E$44,0.4)</f>
        <v>11.088000185964113</v>
      </c>
      <c r="F52" s="2" cm="1">
        <f t="array" ref="F52">RHOGREEK($B52,100,0.01,F$44,0.4)</f>
        <v>15.01881948472977</v>
      </c>
      <c r="G52" s="2" cm="1">
        <f t="array" ref="G52">RHOGREEK($B52,100,0.01,G$44,0.4)</f>
        <v>18.912585839265248</v>
      </c>
      <c r="H52" s="2" cm="1">
        <f t="array" ref="H52">RHOGREEK($B52,100,0.01,H$44,0.4)</f>
        <v>22.763093764832078</v>
      </c>
      <c r="I52" s="2" cm="1">
        <f t="array" ref="I52">RHOGREEK($B52,100,0.01,I$44,0.4)</f>
        <v>26.568020924082695</v>
      </c>
      <c r="J52" s="2" cm="1">
        <f t="array" ref="J52">RHOGREEK($B52,100,0.01,J$44,0.4)</f>
        <v>30.326737320128505</v>
      </c>
      <c r="K52" s="2" cm="1">
        <f t="array" ref="K52">RHOGREEK($B52,100,0.01,K$44,0.4)</f>
        <v>34.039419978794363</v>
      </c>
      <c r="L52" s="2" cm="1">
        <f t="array" ref="L52">RHOGREEK($B52,100,0.01,L$44,0.4)</f>
        <v>37.706647988059238</v>
      </c>
      <c r="M52" s="2" cm="1">
        <f t="array" ref="M52">RHOGREEK($B52,100,0.01,M$44,0.4)</f>
        <v>41.329201159024329</v>
      </c>
      <c r="N52" s="2" cm="1">
        <f t="array" ref="N52">RHOGREEK($B52,100,0.01,N$44,0.4)</f>
        <v>44.907954032882429</v>
      </c>
      <c r="O52" s="2" cm="1">
        <f t="array" ref="O52">RHOGREEK($B52,100,0.01,O$44,0.4)</f>
        <v>48.44381792836522</v>
      </c>
      <c r="P52" s="2" cm="1">
        <f t="array" ref="P52">RHOGREEK($B52,100,0.01,P$44,0.4)</f>
        <v>51.937708571906448</v>
      </c>
      <c r="Q52" s="2" cm="1">
        <f t="array" ref="Q52">RHOGREEK($B52,100,0.01,Q$44,0.4)</f>
        <v>55.390527937387645</v>
      </c>
      <c r="R52" s="2" cm="1">
        <f t="array" ref="R52">RHOGREEK($B52,100,0.01,R$44,0.4)</f>
        <v>58.803154232395833</v>
      </c>
      <c r="S52" s="2" cm="1">
        <f t="array" ref="S52">RHOGREEK($B52,100,0.01,S$44,0.4)</f>
        <v>62.176436662347378</v>
      </c>
      <c r="T52" s="2" cm="1">
        <f t="array" ref="T52">RHOGREEK($B52,100,0.01,T$44,0.4)</f>
        <v>65.511193037224146</v>
      </c>
      <c r="U52" s="2" cm="1">
        <f t="array" ref="U52">RHOGREEK($B52,100,0.01,U$44,0.4)</f>
        <v>68.808209078800132</v>
      </c>
      <c r="V52" s="2" cm="1">
        <f t="array" ref="V52">RHOGREEK($B52,100,0.01,V$44,0.4)</f>
        <v>72.068238739811349</v>
      </c>
      <c r="W52" s="2" cm="1">
        <f t="array" ref="W52">RHOGREEK($B52,100,0.01,W$44,0.4)</f>
        <v>75.292005113209328</v>
      </c>
      <c r="X52" s="2" cm="1">
        <f t="array" ref="X52">RHOGREEK($B52,100,0.01,X$44,0.4)</f>
        <v>78.480201670141852</v>
      </c>
      <c r="Y52" s="2" cm="1">
        <f t="array" ref="Y52">RHOGREEK($B52,100,0.01,Y$44,0.4)</f>
        <v>81.63349366379947</v>
      </c>
      <c r="Z52" s="2" cm="1">
        <f t="array" ref="Z52">RHOGREEK($B52,100,0.01,Z$44,0.4)</f>
        <v>84.75251959767715</v>
      </c>
      <c r="AA52" s="2" cm="1">
        <f t="array" ref="AA52">RHOGREEK($B52,100,0.01,AA$44,0.4)</f>
        <v>87.837892695576798</v>
      </c>
      <c r="AB52" s="2" cm="1">
        <f t="array" ref="AB52">RHOGREEK($B52,100,0.01,AB$44,0.4)</f>
        <v>90.890202335389503</v>
      </c>
      <c r="AC52" s="2" cm="1">
        <f t="array" ref="AC52">RHOGREEK($B52,100,0.01,AC$44,0.4)</f>
        <v>93.910015424536837</v>
      </c>
      <c r="AD52" s="2" cm="1">
        <f t="array" ref="AD52">RHOGREEK($B52,100,0.01,AD$44,0.4)</f>
        <v>96.897877705125737</v>
      </c>
      <c r="AE52" s="2" cm="1">
        <f t="array" ref="AE52">RHOGREEK($B52,100,0.01,AE$44,0.4)</f>
        <v>99.854314983386075</v>
      </c>
      <c r="AF52" s="2" cm="1">
        <f t="array" ref="AF52">RHOGREEK($B52,100,0.01,AF$44,0.4)</f>
        <v>102.77983428209504</v>
      </c>
      <c r="AG52" s="2" cm="1">
        <f t="array" ref="AG52">RHOGREEK($B52,100,0.01,AG$44,0.4)</f>
        <v>105.67492491726991</v>
      </c>
      <c r="AH52" s="2" cm="1">
        <f t="array" ref="AH52">RHOGREEK($B52,100,0.01,AH$44,0.4)</f>
        <v>108.54005950196212</v>
      </c>
      <c r="AI52" s="2" cm="1">
        <f t="array" ref="AI52">RHOGREEK($B52,100,0.01,AI$44,0.4)</f>
        <v>111.37569488086926</v>
      </c>
      <c r="AJ52" s="2" cm="1">
        <f t="array" ref="AJ52">RHOGREEK($B52,100,0.01,AJ$44,0.4)</f>
        <v>114.18227299992442</v>
      </c>
      <c r="AK52" s="2" cm="1">
        <f t="array" ref="AK52">RHOGREEK($B52,100,0.01,AK$44,0.4)</f>
        <v>116.96022171517967</v>
      </c>
      <c r="AL52" s="2" cm="1">
        <f t="array" ref="AL52">RHOGREEK($B52,100,0.01,AL$44,0.4)</f>
        <v>119.70995554527973</v>
      </c>
      <c r="AM52" s="2" cm="1">
        <f t="array" ref="AM52">RHOGREEK($B52,100,0.01,AM$44,0.4)</f>
        <v>122.43187637168542</v>
      </c>
      <c r="AN52" s="2" cm="1">
        <f t="array" ref="AN52">RHOGREEK($B52,100,0.01,AN$44,0.4)</f>
        <v>125.12637409060711</v>
      </c>
      <c r="AO52" s="2" cm="1">
        <f t="array" ref="AO52">RHOGREEK($B52,100,0.01,AO$44,0.4)</f>
        <v>127.79382722036968</v>
      </c>
      <c r="AP52" s="2" cm="1">
        <f t="array" ref="AP52">RHOGREEK($B52,100,0.01,AP$44,0.4)</f>
        <v>130.43460346767992</v>
      </c>
      <c r="AQ52" s="2" cm="1">
        <f t="array" ref="AQ52">RHOGREEK($B52,100,0.01,AQ$44,0.4)</f>
        <v>133.0490602560123</v>
      </c>
      <c r="AR52" s="2" cm="1">
        <f t="array" ref="AR52">RHOGREEK($B52,100,0.01,AR$44,0.4)</f>
        <v>135.6375452190791</v>
      </c>
      <c r="AS52" s="2" cm="1">
        <f t="array" ref="AS52">RHOGREEK($B52,100,0.01,AS$44,0.4)</f>
        <v>138.20039666211468</v>
      </c>
      <c r="AT52" s="2" cm="1">
        <f t="array" ref="AT52">RHOGREEK($B52,100,0.01,AT$44,0.4)</f>
        <v>140.73794399347742</v>
      </c>
      <c r="AU52" s="2" cm="1">
        <f t="array" ref="AU52">RHOGREEK($B52,100,0.01,AU$44,0.4)</f>
        <v>143.25050812886585</v>
      </c>
      <c r="AV52" s="2" cm="1">
        <f t="array" ref="AV52">RHOGREEK($B52,100,0.01,AV$44,0.4)</f>
        <v>145.73840187024976</v>
      </c>
      <c r="AW52" s="2" cm="1">
        <f t="array" ref="AW52">RHOGREEK($B52,100,0.01,AW$44,0.4)</f>
        <v>148.20193026144045</v>
      </c>
      <c r="AX52" s="2" cm="1">
        <f t="array" ref="AX52">RHOGREEK($B52,100,0.01,AX$44,0.4)</f>
        <v>150.64139092205983</v>
      </c>
      <c r="AY52" s="2" cm="1">
        <f t="array" ref="AY52">RHOGREEK($B52,100,0.01,AY$44,0.4)</f>
        <v>153.05707436151957</v>
      </c>
      <c r="AZ52" s="2" cm="1">
        <f t="array" ref="AZ52">RHOGREEK($B52,100,0.01,AZ$44,0.4)</f>
        <v>155.44926427448368</v>
      </c>
    </row>
    <row r="53" spans="1:52" x14ac:dyDescent="0.3">
      <c r="A53" s="2"/>
      <c r="B53" s="2">
        <v>100</v>
      </c>
      <c r="C53" s="2" cm="1">
        <f t="array" ref="C53">RHOGREEK($B53,100,0.01,C$44,0.4)</f>
        <v>4.7745615896881741</v>
      </c>
      <c r="D53" s="2" cm="1">
        <f t="array" ref="D53">RHOGREEK($B53,100,0.01,D$44,0.4)</f>
        <v>9.357459779830597</v>
      </c>
      <c r="E53" s="2" cm="1">
        <f t="array" ref="E53">RHOGREEK($B53,100,0.01,E$44,0.4)</f>
        <v>13.813076890990503</v>
      </c>
      <c r="F53" s="2" cm="1">
        <f t="array" ref="F53">RHOGREEK($B53,100,0.01,F$44,0.4)</f>
        <v>18.164602673684989</v>
      </c>
      <c r="G53" s="2" cm="1">
        <f t="array" ref="G53">RHOGREEK($B53,100,0.01,G$44,0.4)</f>
        <v>22.42554698974585</v>
      </c>
      <c r="H53" s="2" cm="1">
        <f t="array" ref="H53">RHOGREEK($B53,100,0.01,H$44,0.4)</f>
        <v>26.605095852007466</v>
      </c>
      <c r="I53" s="2" cm="1">
        <f t="array" ref="I53">RHOGREEK($B53,100,0.01,I$44,0.4)</f>
        <v>30.710044125946041</v>
      </c>
      <c r="J53" s="2" cm="1">
        <f t="array" ref="J53">RHOGREEK($B53,100,0.01,J$44,0.4)</f>
        <v>34.745695814504138</v>
      </c>
      <c r="K53" s="2" cm="1">
        <f t="array" ref="K53">RHOGREEK($B53,100,0.01,K$44,0.4)</f>
        <v>38.71634959003061</v>
      </c>
      <c r="L53" s="2" cm="1">
        <f t="array" ref="L53">RHOGREEK($B53,100,0.01,L$44,0.4)</f>
        <v>42.625587403764001</v>
      </c>
      <c r="M53" s="2" cm="1">
        <f t="array" ref="M53">RHOGREEK($B53,100,0.01,M$44,0.4)</f>
        <v>46.47645847548366</v>
      </c>
      <c r="N53" s="2" cm="1">
        <f t="array" ref="N53">RHOGREEK($B53,100,0.01,N$44,0.4)</f>
        <v>50.271602971250381</v>
      </c>
      <c r="O53" s="2" cm="1">
        <f t="array" ref="O53">RHOGREEK($B53,100,0.01,O$44,0.4)</f>
        <v>54.01333867408966</v>
      </c>
      <c r="P53" s="2" cm="1">
        <f t="array" ref="P53">RHOGREEK($B53,100,0.01,P$44,0.4)</f>
        <v>57.703723798316034</v>
      </c>
      <c r="Q53" s="2" cm="1">
        <f t="array" ref="Q53">RHOGREEK($B53,100,0.01,Q$44,0.4)</f>
        <v>61.344603795554939</v>
      </c>
      <c r="R53" s="2" cm="1">
        <f t="array" ref="R53">RHOGREEK($B53,100,0.01,R$44,0.4)</f>
        <v>64.93764705515585</v>
      </c>
      <c r="S53" s="2" cm="1">
        <f t="array" ref="S53">RHOGREEK($B53,100,0.01,S$44,0.4)</f>
        <v>68.484372680710493</v>
      </c>
      <c r="T53" s="2" cm="1">
        <f t="array" ref="T53">RHOGREEK($B53,100,0.01,T$44,0.4)</f>
        <v>71.986172475292335</v>
      </c>
      <c r="U53" s="2" cm="1">
        <f t="array" ref="U53">RHOGREEK($B53,100,0.01,U$44,0.4)</f>
        <v>75.444328605049279</v>
      </c>
      <c r="V53" s="2" cm="1">
        <f t="array" ref="V53">RHOGREEK($B53,100,0.01,V$44,0.4)</f>
        <v>78.860027978597216</v>
      </c>
      <c r="W53" s="2" cm="1">
        <f t="array" ref="W53">RHOGREEK($B53,100,0.01,W$44,0.4)</f>
        <v>82.234374090208902</v>
      </c>
      <c r="X53" s="2" cm="1">
        <f t="array" ref="X53">RHOGREEK($B53,100,0.01,X$44,0.4)</f>
        <v>85.568396876271564</v>
      </c>
      <c r="Y53" s="2" cm="1">
        <f t="array" ref="Y53">RHOGREEK($B53,100,0.01,Y$44,0.4)</f>
        <v>88.863060995430189</v>
      </c>
      <c r="Z53" s="2" cm="1">
        <f t="array" ref="Z53">RHOGREEK($B53,100,0.01,Z$44,0.4)</f>
        <v>92.119272843579978</v>
      </c>
      <c r="AA53" s="2" cm="1">
        <f t="array" ref="AA53">RHOGREEK($B53,100,0.01,AA$44,0.4)</f>
        <v>95.337886542820087</v>
      </c>
      <c r="AB53" s="2" cm="1">
        <f t="array" ref="AB53">RHOGREEK($B53,100,0.01,AB$44,0.4)</f>
        <v>98.519709090371364</v>
      </c>
      <c r="AC53" s="2" cm="1">
        <f t="array" ref="AC53">RHOGREEK($B53,100,0.01,AC$44,0.4)</f>
        <v>101.66550481376608</v>
      </c>
      <c r="AD53" s="2" cm="1">
        <f t="array" ref="AD53">RHOGREEK($B53,100,0.01,AD$44,0.4)</f>
        <v>104.77599924857132</v>
      </c>
      <c r="AE53" s="2" cm="1">
        <f t="array" ref="AE53">RHOGREEK($B53,100,0.01,AE$44,0.4)</f>
        <v>107.85188253190066</v>
      </c>
      <c r="AF53" s="2" cm="1">
        <f t="array" ref="AF53">RHOGREEK($B53,100,0.01,AF$44,0.4)</f>
        <v>110.89381238715949</v>
      </c>
      <c r="AG53" s="2" cm="1">
        <f t="array" ref="AG53">RHOGREEK($B53,100,0.01,AG$44,0.4)</f>
        <v>113.90241676155311</v>
      </c>
      <c r="AH53" s="2" cm="1">
        <f t="array" ref="AH53">RHOGREEK($B53,100,0.01,AH$44,0.4)</f>
        <v>116.87829616690543</v>
      </c>
      <c r="AI53" s="2" cm="1">
        <f t="array" ref="AI53">RHOGREEK($B53,100,0.01,AI$44,0.4)</f>
        <v>119.82202576560431</v>
      </c>
      <c r="AJ53" s="2" cm="1">
        <f t="array" ref="AJ53">RHOGREEK($B53,100,0.01,AJ$44,0.4)</f>
        <v>122.73415723648687</v>
      </c>
      <c r="AK53" s="2" cm="1">
        <f t="array" ref="AK53">RHOGREEK($B53,100,0.01,AK$44,0.4)</f>
        <v>125.61522044982264</v>
      </c>
      <c r="AL53" s="2" cm="1">
        <f t="array" ref="AL53">RHOGREEK($B53,100,0.01,AL$44,0.4)</f>
        <v>128.46572497595309</v>
      </c>
      <c r="AM53" s="2" cm="1">
        <f t="array" ref="AM53">RHOGREEK($B53,100,0.01,AM$44,0.4)</f>
        <v>131.28616144838156</v>
      </c>
      <c r="AN53" s="2" cm="1">
        <f t="array" ref="AN53">RHOGREEK($B53,100,0.01,AN$44,0.4)</f>
        <v>134.0770027990074</v>
      </c>
      <c r="AO53" s="2" cm="1">
        <f t="array" ref="AO53">RHOGREEK($B53,100,0.01,AO$44,0.4)</f>
        <v>136.83870538063073</v>
      </c>
      <c r="AP53" s="2" cm="1">
        <f t="array" ref="AP53">RHOGREEK($B53,100,0.01,AP$44,0.4)</f>
        <v>139.57170998971654</v>
      </c>
      <c r="AQ53" s="2" cm="1">
        <f t="array" ref="AQ53">RHOGREEK($B53,100,0.01,AQ$44,0.4)</f>
        <v>142.27644280061719</v>
      </c>
      <c r="AR53" s="2" cm="1">
        <f t="array" ref="AR53">RHOGREEK($B53,100,0.01,AR$44,0.4)</f>
        <v>144.95331622094884</v>
      </c>
      <c r="AS53" s="2" cm="1">
        <f t="array" ref="AS53">RHOGREEK($B53,100,0.01,AS$44,0.4)</f>
        <v>147.60272967654561</v>
      </c>
      <c r="AT53" s="2" cm="1">
        <f t="array" ref="AT53">RHOGREEK($B53,100,0.01,AT$44,0.4)</f>
        <v>150.22507033333707</v>
      </c>
      <c r="AU53" s="2" cm="1">
        <f t="array" ref="AU53">RHOGREEK($B53,100,0.01,AU$44,0.4)</f>
        <v>152.82071376257662</v>
      </c>
      <c r="AV53" s="2" cm="1">
        <f t="array" ref="AV53">RHOGREEK($B53,100,0.01,AV$44,0.4)</f>
        <v>155.39002455506221</v>
      </c>
      <c r="AW53" s="2" cm="1">
        <f t="array" ref="AW53">RHOGREEK($B53,100,0.01,AW$44,0.4)</f>
        <v>157.9333568893166</v>
      </c>
      <c r="AX53" s="2" cm="1">
        <f t="array" ref="AX53">RHOGREEK($B53,100,0.01,AX$44,0.4)</f>
        <v>160.45105505811364</v>
      </c>
      <c r="AY53" s="2" cm="1">
        <f t="array" ref="AY53">RHOGREEK($B53,100,0.01,AY$44,0.4)</f>
        <v>162.94345395723417</v>
      </c>
      <c r="AZ53" s="2" cm="1">
        <f t="array" ref="AZ53">RHOGREEK($B53,100,0.01,AZ$44,0.4)</f>
        <v>165.41087953990137</v>
      </c>
    </row>
    <row r="54" spans="1:52" x14ac:dyDescent="0.3">
      <c r="A54" s="2"/>
      <c r="B54" s="2">
        <v>105</v>
      </c>
      <c r="C54" s="2" cm="1">
        <f t="array" ref="C54">RHOGREEK($B54,100,0.01,C$44,0.4)</f>
        <v>6.2881454200234401</v>
      </c>
      <c r="D54" s="2" cm="1">
        <f t="array" ref="D54">RHOGREEK($B54,100,0.01,D$44,0.4)</f>
        <v>11.518961420101293</v>
      </c>
      <c r="E54" s="2" cm="1">
        <f t="array" ref="E54">RHOGREEK($B54,100,0.01,E$44,0.4)</f>
        <v>16.464576015219418</v>
      </c>
      <c r="F54" s="2" cm="1">
        <f t="array" ref="F54">RHOGREEK($B54,100,0.01,F$44,0.4)</f>
        <v>21.22486437180919</v>
      </c>
      <c r="G54" s="2" cm="1">
        <f t="array" ref="G54">RHOGREEK($B54,100,0.01,G$44,0.4)</f>
        <v>25.842611577444298</v>
      </c>
      <c r="H54" s="2" cm="1">
        <f t="array" ref="H54">RHOGREEK($B54,100,0.01,H$44,0.4)</f>
        <v>30.341932220380727</v>
      </c>
      <c r="I54" s="2" cm="1">
        <f t="array" ref="I54">RHOGREEK($B54,100,0.01,I$44,0.4)</f>
        <v>34.738467942211678</v>
      </c>
      <c r="J54" s="2" cm="1">
        <f t="array" ref="J54">RHOGREEK($B54,100,0.01,J$44,0.4)</f>
        <v>39.04328244755694</v>
      </c>
      <c r="K54" s="2" cm="1">
        <f t="array" ref="K54">RHOGREEK($B54,100,0.01,K$44,0.4)</f>
        <v>43.264675867308831</v>
      </c>
      <c r="L54" s="2" cm="1">
        <f t="array" ref="L54">RHOGREEK($B54,100,0.01,L$44,0.4)</f>
        <v>47.409145943000325</v>
      </c>
      <c r="M54" s="2" cm="1">
        <f t="array" ref="M54">RHOGREEK($B54,100,0.01,M$44,0.4)</f>
        <v>51.481945792506544</v>
      </c>
      <c r="N54" s="2" cm="1">
        <f t="array" ref="N54">RHOGREEK($B54,100,0.01,N$44,0.4)</f>
        <v>55.487430425350226</v>
      </c>
      <c r="O54" s="2" cm="1">
        <f t="array" ref="O54">RHOGREEK($B54,100,0.01,O$44,0.4)</f>
        <v>59.429283760650655</v>
      </c>
      <c r="P54" s="2" cm="1">
        <f t="array" ref="P54">RHOGREEK($B54,100,0.01,P$44,0.4)</f>
        <v>63.310673826033074</v>
      </c>
      <c r="Q54" s="2" cm="1">
        <f t="array" ref="Q54">RHOGREEK($B54,100,0.01,Q$44,0.4)</f>
        <v>67.134362627563775</v>
      </c>
      <c r="R54" s="2" cm="1">
        <f t="array" ref="R54">RHOGREEK($B54,100,0.01,R$44,0.4)</f>
        <v>70.902786230778119</v>
      </c>
      <c r="S54" s="2" cm="1">
        <f t="array" ref="S54">RHOGREEK($B54,100,0.01,S$44,0.4)</f>
        <v>74.618114589750263</v>
      </c>
      <c r="T54" s="2" cm="1">
        <f t="array" ref="T54">RHOGREEK($B54,100,0.01,T$44,0.4)</f>
        <v>78.282297204071753</v>
      </c>
      <c r="U54" s="2" cm="1">
        <f t="array" ref="U54">RHOGREEK($B54,100,0.01,U$44,0.4)</f>
        <v>81.897098607993883</v>
      </c>
      <c r="V54" s="2" cm="1">
        <f t="array" ref="V54">RHOGREEK($B54,100,0.01,V$44,0.4)</f>
        <v>85.464126404385539</v>
      </c>
      <c r="W54" s="2" cm="1">
        <f t="array" ref="W54">RHOGREEK($B54,100,0.01,W$44,0.4)</f>
        <v>88.984853727039166</v>
      </c>
      <c r="X54" s="2" cm="1">
        <f t="array" ref="X54">RHOGREEK($B54,100,0.01,X$44,0.4)</f>
        <v>92.460637467911226</v>
      </c>
      <c r="Y54" s="2" cm="1">
        <f t="array" ref="Y54">RHOGREEK($B54,100,0.01,Y$44,0.4)</f>
        <v>95.89273323626746</v>
      </c>
      <c r="Z54" s="2" cm="1">
        <f t="array" ref="Z54">RHOGREEK($B54,100,0.01,Z$44,0.4)</f>
        <v>99.282307761500434</v>
      </c>
      <c r="AA54" s="2" cm="1">
        <f t="array" ref="AA54">RHOGREEK($B54,100,0.01,AA$44,0.4)</f>
        <v>102.63044927175265</v>
      </c>
      <c r="AB54" s="2" cm="1">
        <f t="array" ref="AB54">RHOGREEK($B54,100,0.01,AB$44,0.4)</f>
        <v>105.93817625181966</v>
      </c>
      <c r="AC54" s="2" cm="1">
        <f t="array" ref="AC54">RHOGREEK($B54,100,0.01,AC$44,0.4)</f>
        <v>109.20644489019509</v>
      </c>
      <c r="AD54" s="2" cm="1">
        <f t="array" ref="AD54">RHOGREEK($B54,100,0.01,AD$44,0.4)</f>
        <v>112.43615545602458</v>
      </c>
      <c r="AE54" s="2" cm="1">
        <f t="array" ref="AE54">RHOGREEK($B54,100,0.01,AE$44,0.4)</f>
        <v>115.62815779505945</v>
      </c>
      <c r="AF54" s="2" cm="1">
        <f t="array" ref="AF54">RHOGREEK($B54,100,0.01,AF$44,0.4)</f>
        <v>118.78325609458879</v>
      </c>
      <c r="AG54" s="2" cm="1">
        <f t="array" ref="AG54">RHOGREEK($B54,100,0.01,AG$44,0.4)</f>
        <v>121.90221303739206</v>
      </c>
      <c r="AH54" s="2" cm="1">
        <f t="array" ref="AH54">RHOGREEK($B54,100,0.01,AH$44,0.4)</f>
        <v>124.98575344160442</v>
      </c>
      <c r="AI54" s="2" cm="1">
        <f t="array" ref="AI54">RHOGREEK($B54,100,0.01,AI$44,0.4)</f>
        <v>128.03456746531666</v>
      </c>
      <c r="AJ54" s="2" cm="1">
        <f t="array" ref="AJ54">RHOGREEK($B54,100,0.01,AJ$44,0.4)</f>
        <v>131.04931344049905</v>
      </c>
      <c r="AK54" s="2" cm="1">
        <f t="array" ref="AK54">RHOGREEK($B54,100,0.01,AK$44,0.4)</f>
        <v>134.03062038953516</v>
      </c>
      <c r="AL54" s="2" cm="1">
        <f t="array" ref="AL54">RHOGREEK($B54,100,0.01,AL$44,0.4)</f>
        <v>136.97909026860836</v>
      </c>
      <c r="AM54" s="2" cm="1">
        <f t="array" ref="AM54">RHOGREEK($B54,100,0.01,AM$44,0.4)</f>
        <v>139.89529997489291</v>
      </c>
      <c r="AN54" s="2" cm="1">
        <f t="array" ref="AN54">RHOGREEK($B54,100,0.01,AN$44,0.4)</f>
        <v>142.77980314858587</v>
      </c>
      <c r="AO54" s="2" cm="1">
        <f t="array" ref="AO54">RHOGREEK($B54,100,0.01,AO$44,0.4)</f>
        <v>145.63313179598441</v>
      </c>
      <c r="AP54" s="2" cm="1">
        <f t="array" ref="AP54">RHOGREEK($B54,100,0.01,AP$44,0.4)</f>
        <v>148.45579775584392</v>
      </c>
      <c r="AQ54" s="2" cm="1">
        <f t="array" ref="AQ54">RHOGREEK($B54,100,0.01,AQ$44,0.4)</f>
        <v>151.24829402797315</v>
      </c>
      <c r="AR54" s="2" cm="1">
        <f t="array" ref="AR54">RHOGREEK($B54,100,0.01,AR$44,0.4)</f>
        <v>154.01109598029731</v>
      </c>
      <c r="AS54" s="2" cm="1">
        <f t="array" ref="AS54">RHOGREEK($B54,100,0.01,AS$44,0.4)</f>
        <v>156.74466244834676</v>
      </c>
      <c r="AT54" s="2" cm="1">
        <f t="array" ref="AT54">RHOGREEK($B54,100,0.01,AT$44,0.4)</f>
        <v>159.44943673922035</v>
      </c>
      <c r="AU54" s="2" cm="1">
        <f t="array" ref="AU54">RHOGREEK($B54,100,0.01,AU$44,0.4)</f>
        <v>162.12584755046529</v>
      </c>
      <c r="AV54" s="2" cm="1">
        <f t="array" ref="AV54">RHOGREEK($B54,100,0.01,AV$44,0.4)</f>
        <v>164.7743098129541</v>
      </c>
      <c r="AW54" s="2" cm="1">
        <f t="array" ref="AW54">RHOGREEK($B54,100,0.01,AW$44,0.4)</f>
        <v>167.39522546568355</v>
      </c>
      <c r="AX54" s="2" cm="1">
        <f t="array" ref="AX54">RHOGREEK($B54,100,0.01,AX$44,0.4)</f>
        <v>169.98898416943314</v>
      </c>
      <c r="AY54" s="2" cm="1">
        <f t="array" ref="AY54">RHOGREEK($B54,100,0.01,AY$44,0.4)</f>
        <v>172.55596396537646</v>
      </c>
      <c r="AZ54" s="2" cm="1">
        <f t="array" ref="AZ54">RHOGREEK($B54,100,0.01,AZ$44,0.4)</f>
        <v>175.09653188401299</v>
      </c>
    </row>
    <row r="55" spans="1:52" x14ac:dyDescent="0.3">
      <c r="A55" s="2"/>
      <c r="B55" s="2">
        <v>110</v>
      </c>
      <c r="C55" s="2" cm="1">
        <f t="array" ref="C55">RHOGREEK($B55,100,0.01,C$44,0.4)</f>
        <v>7.567022463888371</v>
      </c>
      <c r="D55" s="2" cm="1">
        <f t="array" ref="D55">RHOGREEK($B55,100,0.01,D$44,0.4)</f>
        <v>13.478597360508497</v>
      </c>
      <c r="E55" s="2" cm="1">
        <f t="array" ref="E55">RHOGREEK($B55,100,0.01,E$44,0.4)</f>
        <v>18.92600228196601</v>
      </c>
      <c r="F55" s="2" cm="1">
        <f t="array" ref="F55">RHOGREEK($B55,100,0.01,F$44,0.4)</f>
        <v>24.099653791382018</v>
      </c>
      <c r="G55" s="2" cm="1">
        <f t="array" ref="G55">RHOGREEK($B55,100,0.01,G$44,0.4)</f>
        <v>29.075543360705744</v>
      </c>
      <c r="H55" s="2" cm="1">
        <f t="array" ref="H55">RHOGREEK($B55,100,0.01,H$44,0.4)</f>
        <v>33.89426199393823</v>
      </c>
      <c r="I55" s="2" cm="1">
        <f t="array" ref="I55">RHOGREEK($B55,100,0.01,I$44,0.4)</f>
        <v>38.581030015877381</v>
      </c>
      <c r="J55" s="2" cm="1">
        <f t="array" ref="J55">RHOGREEK($B55,100,0.01,J$44,0.4)</f>
        <v>43.153059839065669</v>
      </c>
      <c r="K55" s="2" cm="1">
        <f t="array" ref="K55">RHOGREEK($B55,100,0.01,K$44,0.4)</f>
        <v>47.622877227336751</v>
      </c>
      <c r="L55" s="2" cm="1">
        <f t="array" ref="L55">RHOGREEK($B55,100,0.01,L$44,0.4)</f>
        <v>52.000032731099822</v>
      </c>
      <c r="M55" s="2" cm="1">
        <f t="array" ref="M55">RHOGREEK($B55,100,0.01,M$44,0.4)</f>
        <v>56.292070901528845</v>
      </c>
      <c r="N55" s="2" cm="1">
        <f t="array" ref="N55">RHOGREEK($B55,100,0.01,N$44,0.4)</f>
        <v>60.505119439979104</v>
      </c>
      <c r="O55" s="2" cm="1">
        <f t="array" ref="O55">RHOGREEK($B55,100,0.01,O$44,0.4)</f>
        <v>64.644267641350822</v>
      </c>
      <c r="P55" s="2" cm="1">
        <f t="array" ref="P55">RHOGREEK($B55,100,0.01,P$44,0.4)</f>
        <v>68.713820499050058</v>
      </c>
      <c r="Q55" s="2" cm="1">
        <f t="array" ref="Q55">RHOGREEK($B55,100,0.01,Q$44,0.4)</f>
        <v>72.717475641202867</v>
      </c>
      <c r="R55" s="2" cm="1">
        <f t="array" ref="R55">RHOGREEK($B55,100,0.01,R$44,0.4)</f>
        <v>76.658450335705979</v>
      </c>
      <c r="S55" s="2" cm="1">
        <f t="array" ref="S55">RHOGREEK($B55,100,0.01,S$44,0.4)</f>
        <v>80.539575036532838</v>
      </c>
      <c r="T55" s="2" cm="1">
        <f t="array" ref="T55">RHOGREEK($B55,100,0.01,T$44,0.4)</f>
        <v>84.363363829890886</v>
      </c>
      <c r="U55" s="2" cm="1">
        <f t="array" ref="U55">RHOGREEK($B55,100,0.01,U$44,0.4)</f>
        <v>88.132068515565905</v>
      </c>
      <c r="V55" s="2" cm="1">
        <f t="array" ref="V55">RHOGREEK($B55,100,0.01,V$44,0.4)</f>
        <v>91.847720831513612</v>
      </c>
      <c r="W55" s="2" cm="1">
        <f t="array" ref="W55">RHOGREEK($B55,100,0.01,W$44,0.4)</f>
        <v>95.512165916400491</v>
      </c>
      <c r="X55" s="2" cm="1">
        <f t="array" ref="X55">RHOGREEK($B55,100,0.01,X$44,0.4)</f>
        <v>99.12708918256341</v>
      </c>
      <c r="Y55" s="2" cm="1">
        <f t="array" ref="Y55">RHOGREEK($B55,100,0.01,Y$44,0.4)</f>
        <v>102.69403815505804</v>
      </c>
      <c r="Z55" s="2" cm="1">
        <f t="array" ref="Z55">RHOGREEK($B55,100,0.01,Z$44,0.4)</f>
        <v>106.21444041077471</v>
      </c>
      <c r="AA55" s="2" cm="1">
        <f t="array" ref="AA55">RHOGREEK($B55,100,0.01,AA$44,0.4)</f>
        <v>109.68961845755629</v>
      </c>
      <c r="AB55" s="2" cm="1">
        <f t="array" ref="AB55">RHOGREEK($B55,100,0.01,AB$44,0.4)</f>
        <v>113.12080218453727</v>
      </c>
      <c r="AC55" s="2" cm="1">
        <f t="array" ref="AC55">RHOGREEK($B55,100,0.01,AC$44,0.4)</f>
        <v>116.50913936436379</v>
      </c>
      <c r="AD55" s="2" cm="1">
        <f t="array" ref="AD55">RHOGREEK($B55,100,0.01,AD$44,0.4)</f>
        <v>119.85570457774004</v>
      </c>
      <c r="AE55" s="2" cm="1">
        <f t="array" ref="AE55">RHOGREEK($B55,100,0.01,AE$44,0.4)</f>
        <v>123.16150684897124</v>
      </c>
      <c r="AF55" s="2" cm="1">
        <f t="array" ref="AF55">RHOGREEK($B55,100,0.01,AF$44,0.4)</f>
        <v>126.42749621974821</v>
      </c>
      <c r="AG55" s="2" cm="1">
        <f t="array" ref="AG55">RHOGREEK($B55,100,0.01,AG$44,0.4)</f>
        <v>129.65456944174818</v>
      </c>
      <c r="AH55" s="2" cm="1">
        <f t="array" ref="AH55">RHOGREEK($B55,100,0.01,AH$44,0.4)</f>
        <v>132.84357493279319</v>
      </c>
      <c r="AI55" s="2" cm="1">
        <f t="array" ref="AI55">RHOGREEK($B55,100,0.01,AI$44,0.4)</f>
        <v>135.99531711352421</v>
      </c>
      <c r="AJ55" s="2" cm="1">
        <f t="array" ref="AJ55">RHOGREEK($B55,100,0.01,AJ$44,0.4)</f>
        <v>139.11056021981241</v>
      </c>
      <c r="AK55" s="2" cm="1">
        <f t="array" ref="AK55">RHOGREEK($B55,100,0.01,AK$44,0.4)</f>
        <v>142.19003166897571</v>
      </c>
      <c r="AL55" s="2" cm="1">
        <f t="array" ref="AL55">RHOGREEK($B55,100,0.01,AL$44,0.4)</f>
        <v>145.23442504422889</v>
      </c>
      <c r="AM55" s="2" cm="1">
        <f t="array" ref="AM55">RHOGREEK($B55,100,0.01,AM$44,0.4)</f>
        <v>148.24440275086482</v>
      </c>
      <c r="AN55" s="2" cm="1">
        <f t="array" ref="AN55">RHOGREEK($B55,100,0.01,AN$44,0.4)</f>
        <v>151.22059838884684</v>
      </c>
      <c r="AO55" s="2" cm="1">
        <f t="array" ref="AO55">RHOGREEK($B55,100,0.01,AO$44,0.4)</f>
        <v>154.16361887933016</v>
      </c>
      <c r="AP55" s="2" cm="1">
        <f t="array" ref="AP55">RHOGREEK($B55,100,0.01,AP$44,0.4)</f>
        <v>157.07404637677999</v>
      </c>
      <c r="AQ55" s="2" cm="1">
        <f t="array" ref="AQ55">RHOGREEK($B55,100,0.01,AQ$44,0.4)</f>
        <v>159.95243999354361</v>
      </c>
      <c r="AR55" s="2" cm="1">
        <f t="array" ref="AR55">RHOGREEK($B55,100,0.01,AR$44,0.4)</f>
        <v>162.79933735975965</v>
      </c>
      <c r="AS55" s="2" cm="1">
        <f t="array" ref="AS55">RHOGREEK($B55,100,0.01,AS$44,0.4)</f>
        <v>165.6152560381872</v>
      </c>
      <c r="AT55" s="2" cm="1">
        <f t="array" ref="AT55">RHOGREEK($B55,100,0.01,AT$44,0.4)</f>
        <v>168.40069481077924</v>
      </c>
      <c r="AU55" s="2" cm="1">
        <f t="array" ref="AU55">RHOGREEK($B55,100,0.01,AU$44,0.4)</f>
        <v>171.15613485151627</v>
      </c>
      <c r="AV55" s="2" cm="1">
        <f t="array" ref="AV55">RHOGREEK($B55,100,0.01,AV$44,0.4)</f>
        <v>173.88204079806533</v>
      </c>
      <c r="AW55" s="2" cm="1">
        <f t="array" ref="AW55">RHOGREEK($B55,100,0.01,AW$44,0.4)</f>
        <v>176.57886173318511</v>
      </c>
      <c r="AX55" s="2" cm="1">
        <f t="array" ref="AX55">RHOGREEK($B55,100,0.01,AX$44,0.4)</f>
        <v>179.24703208539549</v>
      </c>
      <c r="AY55" s="2" cm="1">
        <f t="array" ref="AY55">RHOGREEK($B55,100,0.01,AY$44,0.4)</f>
        <v>181.88697245723966</v>
      </c>
      <c r="AZ55" s="2" cm="1">
        <f t="array" ref="AZ55">RHOGREEK($B55,100,0.01,AZ$44,0.4)</f>
        <v>184.49909038844223</v>
      </c>
    </row>
    <row r="56" spans="1:52" x14ac:dyDescent="0.3">
      <c r="A56" s="2"/>
      <c r="B56" s="2">
        <v>115</v>
      </c>
      <c r="C56" s="2" cm="1">
        <f t="array" ref="C56">RHOGREEK($B56,100,0.01,C$44,0.4)</f>
        <v>8.5219067657974712</v>
      </c>
      <c r="D56" s="2" cm="1">
        <f t="array" ref="D56">RHOGREEK($B56,100,0.01,D$44,0.4)</f>
        <v>15.14930446214589</v>
      </c>
      <c r="E56" s="2" cm="1">
        <f t="array" ref="E56">RHOGREEK($B56,100,0.01,E$44,0.4)</f>
        <v>21.12000735043156</v>
      </c>
      <c r="F56" s="2" cm="1">
        <f t="array" ref="F56">RHOGREEK($B56,100,0.01,F$44,0.4)</f>
        <v>26.719907203265898</v>
      </c>
      <c r="G56" s="2" cm="1">
        <f t="array" ref="G56">RHOGREEK($B56,100,0.01,G$44,0.4)</f>
        <v>32.061979379986759</v>
      </c>
      <c r="H56" s="2" cm="1">
        <f t="array" ref="H56">RHOGREEK($B56,100,0.01,H$44,0.4)</f>
        <v>37.205212625747272</v>
      </c>
      <c r="I56" s="2" cm="1">
        <f t="array" ref="I56">RHOGREEK($B56,100,0.01,I$44,0.4)</f>
        <v>42.185448918602226</v>
      </c>
      <c r="J56" s="2" cm="1">
        <f t="array" ref="J56">RHOGREEK($B56,100,0.01,J$44,0.4)</f>
        <v>47.026659296002926</v>
      </c>
      <c r="K56" s="2" cm="1">
        <f t="array" ref="K56">RHOGREEK($B56,100,0.01,K$44,0.4)</f>
        <v>51.745974425113666</v>
      </c>
      <c r="L56" s="2" cm="1">
        <f t="array" ref="L56">RHOGREEK($B56,100,0.01,L$44,0.4)</f>
        <v>56.356245401488813</v>
      </c>
      <c r="M56" s="2" cm="1">
        <f t="array" ref="M56">RHOGREEK($B56,100,0.01,M$44,0.4)</f>
        <v>60.86747657498843</v>
      </c>
      <c r="N56" s="2" cm="1">
        <f t="array" ref="N56">RHOGREEK($B56,100,0.01,N$44,0.4)</f>
        <v>65.287686531160162</v>
      </c>
      <c r="O56" s="2" cm="1">
        <f t="array" ref="O56">RHOGREEK($B56,100,0.01,O$44,0.4)</f>
        <v>69.623455169001588</v>
      </c>
      <c r="P56" s="2" cm="1">
        <f t="array" ref="P56">RHOGREEK($B56,100,0.01,P$44,0.4)</f>
        <v>73.880287304733116</v>
      </c>
      <c r="Q56" s="2" cm="1">
        <f t="array" ref="Q56">RHOGREEK($B56,100,0.01,Q$44,0.4)</f>
        <v>78.062863439056656</v>
      </c>
      <c r="R56" s="2" cm="1">
        <f t="array" ref="R56">RHOGREEK($B56,100,0.01,R$44,0.4)</f>
        <v>82.175218144784481</v>
      </c>
      <c r="S56" s="2" cm="1">
        <f t="array" ref="S56">RHOGREEK($B56,100,0.01,S$44,0.4)</f>
        <v>86.220870350210987</v>
      </c>
      <c r="T56" s="2" cm="1">
        <f t="array" ref="T56">RHOGREEK($B56,100,0.01,T$44,0.4)</f>
        <v>90.202920669075695</v>
      </c>
      <c r="U56" s="2" cm="1">
        <f t="array" ref="U56">RHOGREEK($B56,100,0.01,U$44,0.4)</f>
        <v>94.124125557722095</v>
      </c>
      <c r="V56" s="2" cm="1">
        <f t="array" ref="V56">RHOGREEK($B56,100,0.01,V$44,0.4)</f>
        <v>97.986954800818481</v>
      </c>
      <c r="W56" s="2" cm="1">
        <f t="array" ref="W56">RHOGREEK($B56,100,0.01,W$44,0.4)</f>
        <v>101.7936367594146</v>
      </c>
      <c r="X56" s="2" cm="1">
        <f t="array" ref="X56">RHOGREEK($B56,100,0.01,X$44,0.4)</f>
        <v>105.54619447427272</v>
      </c>
      <c r="Y56" s="2" cm="1">
        <f t="array" ref="Y56">RHOGREEK($B56,100,0.01,Y$44,0.4)</f>
        <v>109.24647482594999</v>
      </c>
      <c r="Z56" s="2" cm="1">
        <f t="array" ref="Z56">RHOGREEK($B56,100,0.01,Z$44,0.4)</f>
        <v>112.89617234709874</v>
      </c>
      <c r="AA56" s="2" cm="1">
        <f t="array" ref="AA56">RHOGREEK($B56,100,0.01,AA$44,0.4)</f>
        <v>116.49684886219701</v>
      </c>
      <c r="AB56" s="2" cm="1">
        <f t="array" ref="AB56">RHOGREEK($B56,100,0.01,AB$44,0.4)</f>
        <v>120.04994983318896</v>
      </c>
      <c r="AC56" s="2" cm="1">
        <f t="array" ref="AC56">RHOGREEK($B56,100,0.01,AC$44,0.4)</f>
        <v>123.55681807655284</v>
      </c>
      <c r="AD56" s="2" cm="1">
        <f t="array" ref="AD56">RHOGREEK($B56,100,0.01,AD$44,0.4)</f>
        <v>127.01870536217996</v>
      </c>
      <c r="AE56" s="2" cm="1">
        <f t="array" ref="AE56">RHOGREEK($B56,100,0.01,AE$44,0.4)</f>
        <v>130.43678228989032</v>
      </c>
      <c r="AF56" s="2" cm="1">
        <f t="array" ref="AF56">RHOGREEK($B56,100,0.01,AF$44,0.4)</f>
        <v>133.81214675375247</v>
      </c>
      <c r="AG56" s="2" cm="1">
        <f t="array" ref="AG56">RHOGREEK($B56,100,0.01,AG$44,0.4)</f>
        <v>137.14583123958082</v>
      </c>
      <c r="AH56" s="2" cm="1">
        <f t="array" ref="AH56">RHOGREEK($B56,100,0.01,AH$44,0.4)</f>
        <v>140.43880915144803</v>
      </c>
      <c r="AI56" s="2" cm="1">
        <f t="array" ref="AI56">RHOGREEK($B56,100,0.01,AI$44,0.4)</f>
        <v>143.69200032480254</v>
      </c>
      <c r="AJ56" s="2" cm="1">
        <f t="array" ref="AJ56">RHOGREEK($B56,100,0.01,AJ$44,0.4)</f>
        <v>146.90627585397482</v>
      </c>
      <c r="AK56" s="2" cm="1">
        <f t="array" ref="AK56">RHOGREEK($B56,100,0.01,AK$44,0.4)</f>
        <v>150.08246233843164</v>
      </c>
      <c r="AL56" s="2" cm="1">
        <f t="array" ref="AL56">RHOGREEK($B56,100,0.01,AL$44,0.4)</f>
        <v>153.22134563357494</v>
      </c>
      <c r="AM56" s="2" cm="1">
        <f t="array" ref="AM56">RHOGREEK($B56,100,0.01,AM$44,0.4)</f>
        <v>156.32367417706766</v>
      </c>
      <c r="AN56" s="2" cm="1">
        <f t="array" ref="AN56">RHOGREEK($B56,100,0.01,AN$44,0.4)</f>
        <v>159.39016194975522</v>
      </c>
      <c r="AO56" s="2" cm="1">
        <f t="array" ref="AO56">RHOGREEK($B56,100,0.01,AO$44,0.4)</f>
        <v>162.42149112061341</v>
      </c>
      <c r="AP56" s="2" cm="1">
        <f t="array" ref="AP56">RHOGREEK($B56,100,0.01,AP$44,0.4)</f>
        <v>165.41831441730233</v>
      </c>
      <c r="AQ56" s="2" cm="1">
        <f t="array" ref="AQ56">RHOGREEK($B56,100,0.01,AQ$44,0.4)</f>
        <v>168.38125725747688</v>
      </c>
      <c r="AR56" s="2" cm="1">
        <f t="array" ref="AR56">RHOGREEK($B56,100,0.01,AR$44,0.4)</f>
        <v>171.31091967070526</v>
      </c>
      <c r="AS56" s="2" cm="1">
        <f t="array" ref="AS56">RHOGREEK($B56,100,0.01,AS$44,0.4)</f>
        <v>174.20787803646328</v>
      </c>
      <c r="AT56" s="2" cm="1">
        <f t="array" ref="AT56">RHOGREEK($B56,100,0.01,AT$44,0.4)</f>
        <v>177.07268666001863</v>
      </c>
      <c r="AU56" s="2" cm="1">
        <f t="array" ref="AU56">RHOGREEK($B56,100,0.01,AU$44,0.4)</f>
        <v>179.90587920496912</v>
      </c>
      <c r="AV56" s="2" cm="1">
        <f t="array" ref="AV56">RHOGREEK($B56,100,0.01,AV$44,0.4)</f>
        <v>182.70796999863268</v>
      </c>
      <c r="AW56" s="2" cm="1">
        <f t="array" ref="AW56">RHOGREEK($B56,100,0.01,AW$44,0.4)</f>
        <v>185.47945522432539</v>
      </c>
      <c r="AX56" s="2" cm="1">
        <f t="array" ref="AX56">RHOGREEK($B56,100,0.01,AX$44,0.4)</f>
        <v>188.22081401272936</v>
      </c>
      <c r="AY56" s="2" cm="1">
        <f t="array" ref="AY56">RHOGREEK($B56,100,0.01,AY$44,0.4)</f>
        <v>190.93250944299538</v>
      </c>
      <c r="AZ56" s="2" cm="1">
        <f t="array" ref="AZ56">RHOGREEK($B56,100,0.01,AZ$44,0.4)</f>
        <v>193.61498946289515</v>
      </c>
    </row>
    <row r="57" spans="1:52" x14ac:dyDescent="0.3">
      <c r="A57" s="2"/>
      <c r="B57" s="2">
        <v>120</v>
      </c>
      <c r="C57" s="2" cm="1">
        <f t="array" ref="C57">RHOGREEK($B57,100,0.01,C$44,0.4)</f>
        <v>9.1621576828050184</v>
      </c>
      <c r="D57" s="2" cm="1">
        <f t="array" ref="D57">RHOGREEK($B57,100,0.01,D$44,0.4)</f>
        <v>16.49964291723095</v>
      </c>
      <c r="E57" s="2" cm="1">
        <f t="array" ref="E57">RHOGREEK($B57,100,0.01,E$44,0.4)</f>
        <v>23.007913244948508</v>
      </c>
      <c r="F57" s="2" cm="1">
        <f t="array" ref="F57">RHOGREEK($B57,100,0.01,F$44,0.4)</f>
        <v>29.046471333625377</v>
      </c>
      <c r="G57" s="2" cm="1">
        <f t="array" ref="G57">RHOGREEK($B57,100,0.01,G$44,0.4)</f>
        <v>34.764142712887654</v>
      </c>
      <c r="H57" s="2" cm="1">
        <f t="array" ref="H57">RHOGREEK($B57,100,0.01,H$44,0.4)</f>
        <v>40.238913140243085</v>
      </c>
      <c r="I57" s="2" cm="1">
        <f t="array" ref="I57">RHOGREEK($B57,100,0.01,I$44,0.4)</f>
        <v>45.517857948704858</v>
      </c>
      <c r="J57" s="2" cm="1">
        <f t="array" ref="J57">RHOGREEK($B57,100,0.01,J$44,0.4)</f>
        <v>50.632164038407694</v>
      </c>
      <c r="K57" s="2" cm="1">
        <f t="array" ref="K57">RHOGREEK($B57,100,0.01,K$44,0.4)</f>
        <v>55.603893594464068</v>
      </c>
      <c r="L57" s="2" cm="1">
        <f t="array" ref="L57">RHOGREEK($B57,100,0.01,L$44,0.4)</f>
        <v>60.449432190585469</v>
      </c>
      <c r="M57" s="2" cm="1">
        <f t="array" ref="M57">RHOGREEK($B57,100,0.01,M$44,0.4)</f>
        <v>65.181414053966321</v>
      </c>
      <c r="N57" s="2" cm="1">
        <f t="array" ref="N57">RHOGREEK($B57,100,0.01,N$44,0.4)</f>
        <v>69.809874520345261</v>
      </c>
      <c r="O57" s="2" cm="1">
        <f t="array" ref="O57">RHOGREEK($B57,100,0.01,O$44,0.4)</f>
        <v>74.342978880590152</v>
      </c>
      <c r="P57" s="2" cm="1">
        <f t="array" ref="P57">RHOGREEK($B57,100,0.01,P$44,0.4)</f>
        <v>78.787504324567962</v>
      </c>
      <c r="Q57" s="2" cm="1">
        <f t="array" ref="Q57">RHOGREEK($B57,100,0.01,Q$44,0.4)</f>
        <v>83.149170580294566</v>
      </c>
      <c r="R57" s="2" cm="1">
        <f t="array" ref="R57">RHOGREEK($B57,100,0.01,R$44,0.4)</f>
        <v>87.43287388387283</v>
      </c>
      <c r="S57" s="2" cm="1">
        <f t="array" ref="S57">RHOGREEK($B57,100,0.01,S$44,0.4)</f>
        <v>91.642856971362619</v>
      </c>
      <c r="T57" s="2" cm="1">
        <f t="array" ref="T57">RHOGREEK($B57,100,0.01,T$44,0.4)</f>
        <v>95.782835430595767</v>
      </c>
      <c r="U57" s="2" cm="1">
        <f t="array" ref="U57">RHOGREEK($B57,100,0.01,U$44,0.4)</f>
        <v>99.856093496983121</v>
      </c>
      <c r="V57" s="2" cm="1">
        <f t="array" ref="V57">RHOGREEK($B57,100,0.01,V$44,0.4)</f>
        <v>103.86555795954639</v>
      </c>
      <c r="W57" s="2" cm="1">
        <f t="array" ref="W57">RHOGREEK($B57,100,0.01,W$44,0.4)</f>
        <v>107.81385606593483</v>
      </c>
      <c r="X57" s="2" cm="1">
        <f t="array" ref="X57">RHOGREEK($B57,100,0.01,X$44,0.4)</f>
        <v>111.70336151943341</v>
      </c>
      <c r="Y57" s="2" cm="1">
        <f t="array" ref="Y57">RHOGREEK($B57,100,0.01,Y$44,0.4)</f>
        <v>115.53623147075565</v>
      </c>
      <c r="Z57" s="2" cm="1">
        <f t="array" ref="Z57">RHOGREEK($B57,100,0.01,Z$44,0.4)</f>
        <v>119.31443660085529</v>
      </c>
      <c r="AA57" s="2" cm="1">
        <f t="array" ref="AA57">RHOGREEK($B57,100,0.01,AA$44,0.4)</f>
        <v>123.03978583342263</v>
      </c>
      <c r="AB57" s="2" cm="1">
        <f t="array" ref="AB57">RHOGREEK($B57,100,0.01,AB$44,0.4)</f>
        <v>126.71394682327606</v>
      </c>
      <c r="AC57" s="2" cm="1">
        <f t="array" ref="AC57">RHOGREEK($B57,100,0.01,AC$44,0.4)</f>
        <v>130.33846308607502</v>
      </c>
      <c r="AD57" s="2" cm="1">
        <f t="array" ref="AD57">RHOGREEK($B57,100,0.01,AD$44,0.4)</f>
        <v>133.91476843086437</v>
      </c>
      <c r="AE57" s="2" cm="1">
        <f t="array" ref="AE57">RHOGREEK($B57,100,0.01,AE$44,0.4)</f>
        <v>137.44419920683646</v>
      </c>
      <c r="AF57" s="2" cm="1">
        <f t="array" ref="AF57">RHOGREEK($B57,100,0.01,AF$44,0.4)</f>
        <v>140.92800476377539</v>
      </c>
      <c r="AG57" s="2" cm="1">
        <f t="array" ref="AG57">RHOGREEK($B57,100,0.01,AG$44,0.4)</f>
        <v>144.36735644123632</v>
      </c>
      <c r="AH57" s="2" cm="1">
        <f t="array" ref="AH57">RHOGREEK($B57,100,0.01,AH$44,0.4)</f>
        <v>147.76335533715962</v>
      </c>
      <c r="AI57" s="2" cm="1">
        <f t="array" ref="AI57">RHOGREEK($B57,100,0.01,AI$44,0.4)</f>
        <v>151.11703905707219</v>
      </c>
      <c r="AJ57" s="2" cm="1">
        <f t="array" ref="AJ57">RHOGREEK($B57,100,0.01,AJ$44,0.4)</f>
        <v>154.42938760652231</v>
      </c>
      <c r="AK57" s="2" cm="1">
        <f t="array" ref="AK57">RHOGREEK($B57,100,0.01,AK$44,0.4)</f>
        <v>157.70132855920963</v>
      </c>
      <c r="AL57" s="2" cm="1">
        <f t="array" ref="AL57">RHOGREEK($B57,100,0.01,AL$44,0.4)</f>
        <v>160.93374160942091</v>
      </c>
      <c r="AM57" s="2" cm="1">
        <f t="array" ref="AM57">RHOGREEK($B57,100,0.01,AM$44,0.4)</f>
        <v>164.12746259838912</v>
      </c>
      <c r="AN57" s="2" cm="1">
        <f t="array" ref="AN57">RHOGREEK($B57,100,0.01,AN$44,0.4)</f>
        <v>167.28328708896365</v>
      </c>
      <c r="AO57" s="2" cm="1">
        <f t="array" ref="AO57">RHOGREEK($B57,100,0.01,AO$44,0.4)</f>
        <v>170.40197355068531</v>
      </c>
      <c r="AP57" s="2" cm="1">
        <f t="array" ref="AP57">RHOGREEK($B57,100,0.01,AP$44,0.4)</f>
        <v>173.48424620736904</v>
      </c>
      <c r="AQ57" s="2" cm="1">
        <f t="array" ref="AQ57">RHOGREEK($B57,100,0.01,AQ$44,0.4)</f>
        <v>176.53079759113726</v>
      </c>
      <c r="AR57" s="2" cm="1">
        <f t="array" ref="AR57">RHOGREEK($B57,100,0.01,AR$44,0.4)</f>
        <v>179.54229084013497</v>
      </c>
      <c r="AS57" s="2" cm="1">
        <f t="array" ref="AS57">RHOGREEK($B57,100,0.01,AS$44,0.4)</f>
        <v>182.51936177161693</v>
      </c>
      <c r="AT57" s="2" cm="1">
        <f t="array" ref="AT57">RHOGREEK($B57,100,0.01,AT$44,0.4)</f>
        <v>185.46262075749226</v>
      </c>
      <c r="AU57" s="2" cm="1">
        <f t="array" ref="AU57">RHOGREEK($B57,100,0.01,AU$44,0.4)</f>
        <v>188.3726544255729</v>
      </c>
      <c r="AV57" s="2" cm="1">
        <f t="array" ref="AV57">RHOGREEK($B57,100,0.01,AV$44,0.4)</f>
        <v>191.2500272065503</v>
      </c>
      <c r="AW57" s="2" cm="1">
        <f t="array" ref="AW57">RHOGREEK($B57,100,0.01,AW$44,0.4)</f>
        <v>194.09528274401703</v>
      </c>
      <c r="AX57" s="2" cm="1">
        <f t="array" ref="AX57">RHOGREEK($B57,100,0.01,AX$44,0.4)</f>
        <v>196.90894518255541</v>
      </c>
      <c r="AY57" s="2" cm="1">
        <f t="array" ref="AY57">RHOGREEK($B57,100,0.01,AY$44,0.4)</f>
        <v>199.6915203469741</v>
      </c>
      <c r="AZ57" s="2" cm="1">
        <f t="array" ref="AZ57">RHOGREEK($B57,100,0.01,AZ$44,0.4)</f>
        <v>202.44349682411348</v>
      </c>
    </row>
    <row r="58" spans="1:52" x14ac:dyDescent="0.3">
      <c r="A58" s="2"/>
      <c r="B58" s="2">
        <v>125</v>
      </c>
      <c r="C58" s="2" cm="1">
        <f t="array" ref="C58">RHOGREEK($B58,100,0.01,C$44,0.4)</f>
        <v>9.5529696337487309</v>
      </c>
      <c r="D58" s="2" cm="1">
        <f t="array" ref="D58">RHOGREEK($B58,100,0.01,D$44,0.4)</f>
        <v>17.541441911416481</v>
      </c>
      <c r="E58" s="2" cm="1">
        <f t="array" ref="E58">RHOGREEK($B58,100,0.01,E$44,0.4)</f>
        <v>24.583332796931099</v>
      </c>
      <c r="F58" s="2" cm="1">
        <f t="array" ref="F58">RHOGREEK($B58,100,0.01,F$44,0.4)</f>
        <v>31.065766045525407</v>
      </c>
      <c r="G58" s="2" cm="1">
        <f t="array" ref="G58">RHOGREEK($B58,100,0.01,G$44,0.4)</f>
        <v>37.16544951841945</v>
      </c>
      <c r="H58" s="2" cm="1">
        <f t="array" ref="H58">RHOGREEK($B58,100,0.01,H$44,0.4)</f>
        <v>42.977630555261058</v>
      </c>
      <c r="I58" s="2" cm="1">
        <f t="array" ref="I58">RHOGREEK($B58,100,0.01,I$44,0.4)</f>
        <v>48.560280291930063</v>
      </c>
      <c r="J58" s="2" cm="1">
        <f t="array" ref="J58">RHOGREEK($B58,100,0.01,J$44,0.4)</f>
        <v>53.951822548211993</v>
      </c>
      <c r="K58" s="2" cm="1">
        <f t="array" ref="K58">RHOGREEK($B58,100,0.01,K$44,0.4)</f>
        <v>59.179358958870388</v>
      </c>
      <c r="L58" s="2" cm="1">
        <f t="array" ref="L58">RHOGREEK($B58,100,0.01,L$44,0.4)</f>
        <v>64.262926708077231</v>
      </c>
      <c r="M58" s="2" cm="1">
        <f t="array" ref="M58">RHOGREEK($B58,100,0.01,M$44,0.4)</f>
        <v>69.217894660375123</v>
      </c>
      <c r="N58" s="2" cm="1">
        <f t="array" ref="N58">RHOGREEK($B58,100,0.01,N$44,0.4)</f>
        <v>74.056403038436144</v>
      </c>
      <c r="O58" s="2" cm="1">
        <f t="array" ref="O58">RHOGREEK($B58,100,0.01,O$44,0.4)</f>
        <v>78.788275068244673</v>
      </c>
      <c r="P58" s="2" cm="1">
        <f t="array" ref="P58">RHOGREEK($B58,100,0.01,P$44,0.4)</f>
        <v>83.421619633911376</v>
      </c>
      <c r="Q58" s="2" cm="1">
        <f t="array" ref="Q58">RHOGREEK($B58,100,0.01,Q$44,0.4)</f>
        <v>87.963244215565823</v>
      </c>
      <c r="R58" s="2" cm="1">
        <f t="array" ref="R58">RHOGREEK($B58,100,0.01,R$44,0.4)</f>
        <v>92.418946548154238</v>
      </c>
      <c r="S58" s="2" cm="1">
        <f t="array" ref="S58">RHOGREEK($B58,100,0.01,S$44,0.4)</f>
        <v>96.793726043781888</v>
      </c>
      <c r="T58" s="2" cm="1">
        <f t="array" ref="T58">RHOGREEK($B58,100,0.01,T$44,0.4)</f>
        <v>101.09194053868768</v>
      </c>
      <c r="U58" s="2" cm="1">
        <f t="array" ref="U58">RHOGREEK($B58,100,0.01,U$44,0.4)</f>
        <v>105.31742481270703</v>
      </c>
      <c r="V58" s="2" cm="1">
        <f t="array" ref="V58">RHOGREEK($B58,100,0.01,V$44,0.4)</f>
        <v>109.47358177120364</v>
      </c>
      <c r="W58" s="2" cm="1">
        <f t="array" ref="W58">RHOGREEK($B58,100,0.01,W$44,0.4)</f>
        <v>113.56345368306198</v>
      </c>
      <c r="X58" s="2" cm="1">
        <f t="array" ref="X58">RHOGREEK($B58,100,0.01,X$44,0.4)</f>
        <v>117.58977860767848</v>
      </c>
      <c r="Y58" s="2" cm="1">
        <f t="array" ref="Y58">RHOGREEK($B58,100,0.01,Y$44,0.4)</f>
        <v>121.55503564613599</v>
      </c>
      <c r="Z58" s="2" cm="1">
        <f t="array" ref="Z58">RHOGREEK($B58,100,0.01,Z$44,0.4)</f>
        <v>125.46148163752059</v>
      </c>
      <c r="AA58" s="2" cm="1">
        <f t="array" ref="AA58">RHOGREEK($B58,100,0.01,AA$44,0.4)</f>
        <v>129.31118122089728</v>
      </c>
      <c r="AB58" s="2" cm="1">
        <f t="array" ref="AB58">RHOGREEK($B58,100,0.01,AB$44,0.4)</f>
        <v>133.10603169102748</v>
      </c>
      <c r="AC58" s="2" cm="1">
        <f t="array" ref="AC58">RHOGREEK($B58,100,0.01,AC$44,0.4)</f>
        <v>136.84778372405302</v>
      </c>
      <c r="AD58" s="2" cm="1">
        <f t="array" ref="AD58">RHOGREEK($B58,100,0.01,AD$44,0.4)</f>
        <v>140.5380587942154</v>
      </c>
      <c r="AE58" s="2" cm="1">
        <f t="array" ref="AE58">RHOGREEK($B58,100,0.01,AE$44,0.4)</f>
        <v>144.17836391511017</v>
      </c>
      <c r="AF58" s="2" cm="1">
        <f t="array" ref="AF58">RHOGREEK($B58,100,0.01,AF$44,0.4)</f>
        <v>147.7701041993632</v>
      </c>
      <c r="AG58" s="2" cm="1">
        <f t="array" ref="AG58">RHOGREEK($B58,100,0.01,AG$44,0.4)</f>
        <v>151.31459362548887</v>
      </c>
      <c r="AH58" s="2" cm="1">
        <f t="array" ref="AH58">RHOGREEK($B58,100,0.01,AH$44,0.4)</f>
        <v>154.81306432067859</v>
      </c>
      <c r="AI58" s="2" cm="1">
        <f t="array" ref="AI58">RHOGREEK($B58,100,0.01,AI$44,0.4)</f>
        <v>158.26667460676677</v>
      </c>
      <c r="AJ58" s="2" cm="1">
        <f t="array" ref="AJ58">RHOGREEK($B58,100,0.01,AJ$44,0.4)</f>
        <v>161.67651600890633</v>
      </c>
      <c r="AK58" s="2" cm="1">
        <f t="array" ref="AK58">RHOGREEK($B58,100,0.01,AK$44,0.4)</f>
        <v>165.04361938914727</v>
      </c>
      <c r="AL58" s="2" cm="1">
        <f t="array" ref="AL58">RHOGREEK($B58,100,0.01,AL$44,0.4)</f>
        <v>168.36896033765521</v>
      </c>
      <c r="AM58" s="2" cm="1">
        <f t="array" ref="AM58">RHOGREEK($B58,100,0.01,AM$44,0.4)</f>
        <v>171.65346393089243</v>
      </c>
      <c r="AN58" s="2" cm="1">
        <f t="array" ref="AN58">RHOGREEK($B58,100,0.01,AN$44,0.4)</f>
        <v>174.89800894733796</v>
      </c>
      <c r="AO58" s="2" cm="1">
        <f t="array" ref="AO58">RHOGREEK($B58,100,0.01,AO$44,0.4)</f>
        <v>178.10343161621702</v>
      </c>
      <c r="AP58" s="2" cm="1">
        <f t="array" ref="AP58">RHOGREEK($B58,100,0.01,AP$44,0.4)</f>
        <v>181.27052896245576</v>
      </c>
      <c r="AQ58" s="2" cm="1">
        <f t="array" ref="AQ58">RHOGREEK($B58,100,0.01,AQ$44,0.4)</f>
        <v>184.40006180108074</v>
      </c>
      <c r="AR58" s="2" cm="1">
        <f t="array" ref="AR58">RHOGREEK($B58,100,0.01,AR$44,0.4)</f>
        <v>187.49275742607892</v>
      </c>
      <c r="AS58" s="2" cm="1">
        <f t="array" ref="AS58">RHOGREEK($B58,100,0.01,AS$44,0.4)</f>
        <v>190.54931203196776</v>
      </c>
      <c r="AT58" s="2" cm="1">
        <f t="array" ref="AT58">RHOGREEK($B58,100,0.01,AT$44,0.4)</f>
        <v>193.57039290071327</v>
      </c>
      <c r="AU58" s="2" cm="1">
        <f t="array" ref="AU58">RHOGREEK($B58,100,0.01,AU$44,0.4)</f>
        <v>196.55664038196124</v>
      </c>
      <c r="AV58" s="2" cm="1">
        <f t="array" ref="AV58">RHOGREEK($B58,100,0.01,AV$44,0.4)</f>
        <v>199.50866969063327</v>
      </c>
      <c r="AW58" s="2" cm="1">
        <f t="array" ref="AW58">RHOGREEK($B58,100,0.01,AW$44,0.4)</f>
        <v>202.42707254265218</v>
      </c>
      <c r="AX58" s="2" cm="1">
        <f t="array" ref="AX58">RHOGREEK($B58,100,0.01,AX$44,0.4)</f>
        <v>205.31241864678384</v>
      </c>
      <c r="AY58" s="2" cm="1">
        <f t="array" ref="AY58">RHOGREEK($B58,100,0.01,AY$44,0.4)</f>
        <v>208.16525706823205</v>
      </c>
      <c r="AZ58" s="2" cm="1">
        <f t="array" ref="AZ58">RHOGREEK($B58,100,0.01,AZ$44,0.4)</f>
        <v>210.98611747762055</v>
      </c>
    </row>
    <row r="59" spans="1:52" x14ac:dyDescent="0.3">
      <c r="A59" s="2"/>
      <c r="B59" s="2">
        <v>130</v>
      </c>
      <c r="C59" s="2" cm="1">
        <f t="array" ref="C59">RHOGREEK($B59,100,0.01,C$44,0.4)</f>
        <v>9.7726988752408737</v>
      </c>
      <c r="D59" s="2" cm="1">
        <f t="array" ref="D59">RHOGREEK($B59,100,0.01,D$44,0.4)</f>
        <v>18.313179497960096</v>
      </c>
      <c r="E59" s="2" cm="1">
        <f t="array" ref="E59">RHOGREEK($B59,100,0.01,E$44,0.4)</f>
        <v>25.863230062349118</v>
      </c>
      <c r="F59" s="2" cm="1">
        <f t="array" ref="F59">RHOGREEK($B59,100,0.01,F$44,0.4)</f>
        <v>32.783902237962401</v>
      </c>
      <c r="G59" s="2" cm="1">
        <f t="array" ref="G59">RHOGREEK($B59,100,0.01,G$44,0.4)</f>
        <v>39.266146102889898</v>
      </c>
      <c r="H59" s="2" cm="1">
        <f t="array" ref="H59">RHOGREEK($B59,100,0.01,H$44,0.4)</f>
        <v>45.418282062177518</v>
      </c>
      <c r="I59" s="2" cm="1">
        <f t="array" ref="I59">RHOGREEK($B59,100,0.01,I$44,0.4)</f>
        <v>51.307700479279859</v>
      </c>
      <c r="J59" s="2" cm="1">
        <f t="array" ref="J59">RHOGREEK($B59,100,0.01,J$44,0.4)</f>
        <v>56.979505759871245</v>
      </c>
      <c r="K59" s="2" cm="1">
        <f t="array" ref="K59">RHOGREEK($B59,100,0.01,K$44,0.4)</f>
        <v>62.465631882083152</v>
      </c>
      <c r="L59" s="2" cm="1">
        <f t="array" ref="L59">RHOGREEK($B59,100,0.01,L$44,0.4)</f>
        <v>67.789702399757374</v>
      </c>
      <c r="M59" s="2" cm="1">
        <f t="array" ref="M59">RHOGREEK($B59,100,0.01,M$44,0.4)</f>
        <v>72.969814846367996</v>
      </c>
      <c r="N59" s="2" cm="1">
        <f t="array" ref="N59">RHOGREEK($B59,100,0.01,N$44,0.4)</f>
        <v>78.02023258440326</v>
      </c>
      <c r="O59" s="2" cm="1">
        <f t="array" ref="O59">RHOGREEK($B59,100,0.01,O$44,0.4)</f>
        <v>82.952463789925531</v>
      </c>
      <c r="P59" s="2" cm="1">
        <f t="array" ref="P59">RHOGREEK($B59,100,0.01,P$44,0.4)</f>
        <v>87.775977913953739</v>
      </c>
      <c r="Q59" s="2" cm="1">
        <f t="array" ref="Q59">RHOGREEK($B59,100,0.01,Q$44,0.4)</f>
        <v>92.498697905119954</v>
      </c>
      <c r="R59" s="2" cm="1">
        <f t="array" ref="R59">RHOGREEK($B59,100,0.01,R$44,0.4)</f>
        <v>97.12734835575661</v>
      </c>
      <c r="S59" s="2" cm="1">
        <f t="array" ref="S59">RHOGREEK($B59,100,0.01,S$44,0.4)</f>
        <v>101.66770800208192</v>
      </c>
      <c r="T59" s="2" cm="1">
        <f t="array" ref="T59">RHOGREEK($B59,100,0.01,T$44,0.4)</f>
        <v>106.12479690312566</v>
      </c>
      <c r="U59" s="2" cm="1">
        <f t="array" ref="U59">RHOGREEK($B59,100,0.01,U$44,0.4)</f>
        <v>110.50301788730789</v>
      </c>
      <c r="V59" s="2" cm="1">
        <f t="array" ref="V59">RHOGREEK($B59,100,0.01,V$44,0.4)</f>
        <v>114.80626527221051</v>
      </c>
      <c r="W59" s="2" cm="1">
        <f t="array" ref="W59">RHOGREEK($B59,100,0.01,W$44,0.4)</f>
        <v>119.0380097043747</v>
      </c>
      <c r="X59" s="2" cm="1">
        <f t="array" ref="X59">RHOGREEK($B59,100,0.01,X$44,0.4)</f>
        <v>123.2013652686915</v>
      </c>
      <c r="Y59" s="2" cm="1">
        <f t="array" ref="Y59">RHOGREEK($B59,100,0.01,Y$44,0.4)</f>
        <v>127.29914322579741</v>
      </c>
      <c r="Z59" s="2" cm="1">
        <f t="array" ref="Z59">RHOGREEK($B59,100,0.01,Z$44,0.4)</f>
        <v>131.33389552095295</v>
      </c>
      <c r="AA59" s="2" cm="1">
        <f t="array" ref="AA59">RHOGREEK($B59,100,0.01,AA$44,0.4)</f>
        <v>135.30795036784463</v>
      </c>
      <c r="AB59" s="2" cm="1">
        <f t="array" ref="AB59">RHOGREEK($B59,100,0.01,AB$44,0.4)</f>
        <v>139.22344161972947</v>
      </c>
      <c r="AC59" s="2" cm="1">
        <f t="array" ref="AC59">RHOGREEK($B59,100,0.01,AC$44,0.4)</f>
        <v>143.08233321786048</v>
      </c>
      <c r="AD59" s="2" cm="1">
        <f t="array" ref="AD59">RHOGREEK($B59,100,0.01,AD$44,0.4)</f>
        <v>146.88643970071161</v>
      </c>
      <c r="AE59" s="2" cm="1">
        <f t="array" ref="AE59">RHOGREEK($B59,100,0.01,AE$44,0.4)</f>
        <v>150.63744353228108</v>
      </c>
      <c r="AF59" s="2" cm="1">
        <f t="array" ref="AF59">RHOGREEK($B59,100,0.01,AF$44,0.4)</f>
        <v>154.33690984014336</v>
      </c>
      <c r="AG59" s="2" cm="1">
        <f t="array" ref="AG59">RHOGREEK($B59,100,0.01,AG$44,0.4)</f>
        <v>157.98629902775781</v>
      </c>
      <c r="AH59" s="2" cm="1">
        <f t="array" ref="AH59">RHOGREEK($B59,100,0.01,AH$44,0.4)</f>
        <v>161.58697762957468</v>
      </c>
      <c r="AI59" s="2" cm="1">
        <f t="array" ref="AI59">RHOGREEK($B59,100,0.01,AI$44,0.4)</f>
        <v>165.14022770375652</v>
      </c>
      <c r="AJ59" s="2" cm="1">
        <f t="array" ref="AJ59">RHOGREEK($B59,100,0.01,AJ$44,0.4)</f>
        <v>168.64725500017664</v>
      </c>
      <c r="AK59" s="2" cm="1">
        <f t="array" ref="AK59">RHOGREEK($B59,100,0.01,AK$44,0.4)</f>
        <v>172.10919609666658</v>
      </c>
      <c r="AL59" s="2" cm="1">
        <f t="array" ref="AL59">RHOGREEK($B59,100,0.01,AL$44,0.4)</f>
        <v>175.5271246612528</v>
      </c>
      <c r="AM59" s="2" cm="1">
        <f t="array" ref="AM59">RHOGREEK($B59,100,0.01,AM$44,0.4)</f>
        <v>178.90205697014932</v>
      </c>
      <c r="AN59" s="2" cm="1">
        <f t="array" ref="AN59">RHOGREEK($B59,100,0.01,AN$44,0.4)</f>
        <v>182.23495678889213</v>
      </c>
      <c r="AO59" s="2" cm="1">
        <f t="array" ref="AO59">RHOGREEK($B59,100,0.01,AO$44,0.4)</f>
        <v>185.52673970598386</v>
      </c>
      <c r="AP59" s="2" cm="1">
        <f t="array" ref="AP59">RHOGREEK($B59,100,0.01,AP$44,0.4)</f>
        <v>188.77827699381879</v>
      </c>
      <c r="AQ59" s="2" cm="1">
        <f t="array" ref="AQ59">RHOGREEK($B59,100,0.01,AQ$44,0.4)</f>
        <v>191.99039905975752</v>
      </c>
      <c r="AR59" s="2" cm="1">
        <f t="array" ref="AR59">RHOGREEK($B59,100,0.01,AR$44,0.4)</f>
        <v>195.16389854046565</v>
      </c>
      <c r="AS59" s="2" cm="1">
        <f t="array" ref="AS59">RHOGREEK($B59,100,0.01,AS$44,0.4)</f>
        <v>198.29953308459403</v>
      </c>
      <c r="AT59" s="2" cm="1">
        <f t="array" ref="AT59">RHOGREEK($B59,100,0.01,AT$44,0.4)</f>
        <v>201.39802786221884</v>
      </c>
      <c r="AU59" s="2" cm="1">
        <f t="array" ref="AU59">RHOGREEK($B59,100,0.01,AU$44,0.4)</f>
        <v>204.46007783391974</v>
      </c>
      <c r="AV59" s="2" cm="1">
        <f t="array" ref="AV59">RHOGREEK($B59,100,0.01,AV$44,0.4)</f>
        <v>207.48634980774071</v>
      </c>
      <c r="AW59" s="2" cm="1">
        <f t="array" ref="AW59">RHOGREEK($B59,100,0.01,AW$44,0.4)</f>
        <v>210.47748430838982</v>
      </c>
      <c r="AX59" s="2" cm="1">
        <f t="array" ref="AX59">RHOGREEK($B59,100,0.01,AX$44,0.4)</f>
        <v>213.43409727975049</v>
      </c>
      <c r="AY59" s="2" cm="1">
        <f t="array" ref="AY59">RHOGREEK($B59,100,0.01,AY$44,0.4)</f>
        <v>216.35678163900391</v>
      </c>
      <c r="AZ59" s="2" cm="1">
        <f t="array" ref="AZ59">RHOGREEK($B59,100,0.01,AZ$44,0.4)</f>
        <v>219.24610869829903</v>
      </c>
    </row>
    <row r="60" spans="1:52" x14ac:dyDescent="0.3">
      <c r="A60" s="2"/>
      <c r="B60" s="2">
        <v>135</v>
      </c>
      <c r="C60" s="2" cm="1">
        <f t="array" ref="C60">RHOGREEK($B60,100,0.01,C$44,0.4)</f>
        <v>9.8876419250341243</v>
      </c>
      <c r="D60" s="2" cm="1">
        <f t="array" ref="D60">RHOGREEK($B60,100,0.01,D$44,0.4)</f>
        <v>18.864855706335121</v>
      </c>
      <c r="E60" s="2" cm="1">
        <f t="array" ref="E60">RHOGREEK($B60,100,0.01,E$44,0.4)</f>
        <v>26.87893120881029</v>
      </c>
      <c r="F60" s="2" cm="1">
        <f t="array" ref="F60">RHOGREEK($B60,100,0.01,F$44,0.4)</f>
        <v>34.220610885205488</v>
      </c>
      <c r="G60" s="2" cm="1">
        <f t="array" ref="G60">RHOGREEK($B60,100,0.01,G$44,0.4)</f>
        <v>41.078808592676815</v>
      </c>
      <c r="H60" s="2" cm="1">
        <f t="array" ref="H60">RHOGREEK($B60,100,0.01,H$44,0.4)</f>
        <v>47.568877392186032</v>
      </c>
      <c r="I60" s="2" cm="1">
        <f t="array" ref="I60">RHOGREEK($B60,100,0.01,I$44,0.4)</f>
        <v>53.765121835776469</v>
      </c>
      <c r="J60" s="2" cm="1">
        <f t="array" ref="J60">RHOGREEK($B60,100,0.01,J$44,0.4)</f>
        <v>59.718192405301181</v>
      </c>
      <c r="K60" s="2" cm="1">
        <f t="array" ref="K60">RHOGREEK($B60,100,0.01,K$44,0.4)</f>
        <v>65.464309190246212</v>
      </c>
      <c r="L60" s="2" cm="1">
        <f t="array" ref="L60">RHOGREEK($B60,100,0.01,L$44,0.4)</f>
        <v>71.030409119699939</v>
      </c>
      <c r="M60" s="2" cm="1">
        <f t="array" ref="M60">RHOGREEK($B60,100,0.01,M$44,0.4)</f>
        <v>76.437180097317977</v>
      </c>
      <c r="N60" s="2" cm="1">
        <f t="array" ref="N60">RHOGREEK($B60,100,0.01,N$44,0.4)</f>
        <v>81.700939694373929</v>
      </c>
      <c r="O60" s="2" cm="1">
        <f t="array" ref="O60">RHOGREEK($B60,100,0.01,O$44,0.4)</f>
        <v>86.83484891910048</v>
      </c>
      <c r="P60" s="2" cm="1">
        <f t="array" ref="P60">RHOGREEK($B60,100,0.01,P$44,0.4)</f>
        <v>91.849725539211946</v>
      </c>
      <c r="Q60" s="2" cm="1">
        <f t="array" ref="Q60">RHOGREEK($B60,100,0.01,Q$44,0.4)</f>
        <v>96.754606465204262</v>
      </c>
      <c r="R60" s="2" cm="1">
        <f t="array" ref="R60">RHOGREEK($B60,100,0.01,R$44,0.4)</f>
        <v>101.55714734535033</v>
      </c>
      <c r="S60" s="2" cm="1">
        <f t="array" ref="S60">RHOGREEK($B60,100,0.01,S$44,0.4)</f>
        <v>106.2639133137548</v>
      </c>
      <c r="T60" s="2" cm="1">
        <f t="array" ref="T60">RHOGREEK($B60,100,0.01,T$44,0.4)</f>
        <v>110.88059499838963</v>
      </c>
      <c r="U60" s="2" cm="1">
        <f t="array" ref="U60">RHOGREEK($B60,100,0.01,U$44,0.4)</f>
        <v>115.41217198886103</v>
      </c>
      <c r="V60" s="2" cm="1">
        <f t="array" ref="V60">RHOGREEK($B60,100,0.01,V$44,0.4)</f>
        <v>119.86303859037977</v>
      </c>
      <c r="W60" s="2" cm="1">
        <f t="array" ref="W60">RHOGREEK($B60,100,0.01,W$44,0.4)</f>
        <v>124.23710199641842</v>
      </c>
      <c r="X60" s="2" cm="1">
        <f t="array" ref="X60">RHOGREEK($B60,100,0.01,X$44,0.4)</f>
        <v>128.53785994906795</v>
      </c>
      <c r="Y60" s="2" cm="1">
        <f t="array" ref="Y60">RHOGREEK($B60,100,0.01,Y$44,0.4)</f>
        <v>132.76846291151347</v>
      </c>
      <c r="Z60" s="2" cm="1">
        <f t="array" ref="Z60">RHOGREEK($B60,100,0.01,Z$44,0.4)</f>
        <v>136.9317643845495</v>
      </c>
      <c r="AA60" s="2" cm="1">
        <f t="array" ref="AA60">RHOGREEK($B60,100,0.01,AA$44,0.4)</f>
        <v>141.03036203306306</v>
      </c>
      <c r="AB60" s="2" cm="1">
        <f t="array" ref="AB60">RHOGREEK($B60,100,0.01,AB$44,0.4)</f>
        <v>145.06663160695652</v>
      </c>
      <c r="AC60" s="2" cm="1">
        <f t="array" ref="AC60">RHOGREEK($B60,100,0.01,AC$44,0.4)</f>
        <v>149.04275515280682</v>
      </c>
      <c r="AD60" s="2" cm="1">
        <f t="array" ref="AD60">RHOGREEK($B60,100,0.01,AD$44,0.4)</f>
        <v>152.96074465787649</v>
      </c>
      <c r="AE60" s="2" cm="1">
        <f t="array" ref="AE60">RHOGREEK($B60,100,0.01,AE$44,0.4)</f>
        <v>156.82246200702704</v>
      </c>
      <c r="AF60" s="2" cm="1">
        <f t="array" ref="AF60">RHOGREEK($B60,100,0.01,AF$44,0.4)</f>
        <v>160.62963593860266</v>
      </c>
      <c r="AG60" s="2" cm="1">
        <f t="array" ref="AG60">RHOGREEK($B60,100,0.01,AG$44,0.4)</f>
        <v>164.38387653885076</v>
      </c>
      <c r="AH60" s="2" cm="1">
        <f t="array" ref="AH60">RHOGREEK($B60,100,0.01,AH$44,0.4)</f>
        <v>168.08668770293687</v>
      </c>
      <c r="AI60" s="2" cm="1">
        <f t="array" ref="AI60">RHOGREEK($B60,100,0.01,AI$44,0.4)</f>
        <v>171.73947790491314</v>
      </c>
      <c r="AJ60" s="2" cm="1">
        <f t="array" ref="AJ60">RHOGREEK($B60,100,0.01,AJ$44,0.4)</f>
        <v>175.34356955254918</v>
      </c>
      <c r="AK60" s="2" cm="1">
        <f t="array" ref="AK60">RHOGREEK($B60,100,0.01,AK$44,0.4)</f>
        <v>178.90020715095966</v>
      </c>
      <c r="AL60" s="2" cm="1">
        <f t="array" ref="AL60">RHOGREEK($B60,100,0.01,AL$44,0.4)</f>
        <v>182.41056445800183</v>
      </c>
      <c r="AM60" s="2" cm="1">
        <f t="array" ref="AM60">RHOGREEK($B60,100,0.01,AM$44,0.4)</f>
        <v>185.8757507818849</v>
      </c>
      <c r="AN60" s="2" cm="1">
        <f t="array" ref="AN60">RHOGREEK($B60,100,0.01,AN$44,0.4)</f>
        <v>189.29681654541753</v>
      </c>
      <c r="AO60" s="2" cm="1">
        <f t="array" ref="AO60">RHOGREEK($B60,100,0.01,AO$44,0.4)</f>
        <v>192.67475822038125</v>
      </c>
      <c r="AP60" s="2" cm="1">
        <f t="array" ref="AP60">RHOGREEK($B60,100,0.01,AP$44,0.4)</f>
        <v>196.01052271855349</v>
      </c>
      <c r="AQ60" s="2" cm="1">
        <f t="array" ref="AQ60">RHOGREEK($B60,100,0.01,AQ$44,0.4)</f>
        <v>199.30501131208524</v>
      </c>
      <c r="AR60" s="2" cm="1">
        <f t="array" ref="AR60">RHOGREEK($B60,100,0.01,AR$44,0.4)</f>
        <v>202.55908314461303</v>
      </c>
      <c r="AS60" s="2" cm="1">
        <f t="array" ref="AS60">RHOGREEK($B60,100,0.01,AS$44,0.4)</f>
        <v>205.7735583851599</v>
      </c>
      <c r="AT60" s="2" cm="1">
        <f t="array" ref="AT60">RHOGREEK($B60,100,0.01,AT$44,0.4)</f>
        <v>208.94922106915502</v>
      </c>
      <c r="AU60" s="2" cm="1">
        <f t="array" ref="AU60">RHOGREEK($B60,100,0.01,AU$44,0.4)</f>
        <v>212.08682166448406</v>
      </c>
      <c r="AV60" s="2" cm="1">
        <f t="array" ref="AV60">RHOGREEK($B60,100,0.01,AV$44,0.4)</f>
        <v>215.18707939511003</v>
      </c>
      <c r="AW60" s="2" cm="1">
        <f t="array" ref="AW60">RHOGREEK($B60,100,0.01,AW$44,0.4)</f>
        <v>218.25068435030542</v>
      </c>
      <c r="AX60" s="2" cm="1">
        <f t="array" ref="AX60">RHOGREEK($B60,100,0.01,AX$44,0.4)</f>
        <v>221.27829940373579</v>
      </c>
      <c r="AY60" s="2" cm="1">
        <f t="array" ref="AY60">RHOGREEK($B60,100,0.01,AY$44,0.4)</f>
        <v>224.27056196342875</v>
      </c>
      <c r="AZ60" s="2" cm="1">
        <f t="array" ref="AZ60">RHOGREEK($B60,100,0.01,AZ$44,0.4)</f>
        <v>227.22808557093137</v>
      </c>
    </row>
    <row r="61" spans="1:52" x14ac:dyDescent="0.3">
      <c r="A61" s="2"/>
      <c r="B61" s="2">
        <v>140</v>
      </c>
      <c r="C61" s="2" cm="1">
        <f t="array" ref="C61">RHOGREEK($B61,100,0.01,C$44,0.4)</f>
        <v>9.9440744875448654</v>
      </c>
      <c r="D61" s="2" cm="1">
        <f t="array" ref="D61">RHOGREEK($B61,100,0.01,D$44,0.4)</f>
        <v>19.247074004842013</v>
      </c>
      <c r="E61" s="2" cm="1">
        <f t="array" ref="E61">RHOGREEK($B61,100,0.01,E$44,0.4)</f>
        <v>27.668549635095594</v>
      </c>
      <c r="F61" s="2" cm="1">
        <f t="array" ref="F61">RHOGREEK($B61,100,0.01,F$44,0.4)</f>
        <v>35.403824791734948</v>
      </c>
      <c r="G61" s="2" cm="1">
        <f t="array" ref="G61">RHOGREEK($B61,100,0.01,G$44,0.4)</f>
        <v>42.624231884996099</v>
      </c>
      <c r="H61" s="2" cm="1">
        <f t="array" ref="H61">RHOGREEK($B61,100,0.01,H$44,0.4)</f>
        <v>49.445242484886492</v>
      </c>
      <c r="I61" s="2" cm="1">
        <f t="array" ref="I61">RHOGREEK($B61,100,0.01,I$44,0.4)</f>
        <v>55.944854737480313</v>
      </c>
      <c r="J61" s="2" cm="1">
        <f t="array" ref="J61">RHOGREEK($B61,100,0.01,J$44,0.4)</f>
        <v>62.177658666529453</v>
      </c>
      <c r="K61" s="2" cm="1">
        <f t="array" ref="K61">RHOGREEK($B61,100,0.01,K$44,0.4)</f>
        <v>68.183310269126082</v>
      </c>
      <c r="L61" s="2" cm="1">
        <f t="array" ref="L61">RHOGREEK($B61,100,0.01,L$44,0.4)</f>
        <v>73.991588331677207</v>
      </c>
      <c r="M61" s="2" cm="1">
        <f t="array" ref="M61">RHOGREEK($B61,100,0.01,M$44,0.4)</f>
        <v>79.62550012858911</v>
      </c>
      <c r="N61" s="2" cm="1">
        <f t="array" ref="N61">RHOGREEK($B61,100,0.01,N$44,0.4)</f>
        <v>85.103257618257544</v>
      </c>
      <c r="O61" s="2" cm="1">
        <f t="array" ref="O61">RHOGREEK($B61,100,0.01,O$44,0.4)</f>
        <v>90.439578817525785</v>
      </c>
      <c r="P61" s="2" cm="1">
        <f t="array" ref="P61">RHOGREEK($B61,100,0.01,P$44,0.4)</f>
        <v>95.646571959944382</v>
      </c>
      <c r="Q61" s="2" cm="1">
        <f t="array" ref="Q61">RHOGREEK($B61,100,0.01,Q$44,0.4)</f>
        <v>100.73435314667654</v>
      </c>
      <c r="R61" s="2" cm="1">
        <f t="array" ref="R61">RHOGREEK($B61,100,0.01,R$44,0.4)</f>
        <v>105.71148860018934</v>
      </c>
      <c r="S61" s="2" cm="1">
        <f t="array" ref="S61">RHOGREEK($B61,100,0.01,S$44,0.4)</f>
        <v>110.58531833525235</v>
      </c>
      <c r="T61" s="2" cm="1">
        <f t="array" ref="T61">RHOGREEK($B61,100,0.01,T$44,0.4)</f>
        <v>115.36219769937601</v>
      </c>
      <c r="U61" s="2" cm="1">
        <f t="array" ref="U61">RHOGREEK($B61,100,0.01,U$44,0.4)</f>
        <v>120.04768078370155</v>
      </c>
      <c r="V61" s="2" cm="1">
        <f t="array" ref="V61">RHOGREEK($B61,100,0.01,V$44,0.4)</f>
        <v>124.64666188211991</v>
      </c>
      <c r="W61" s="2" cm="1">
        <f t="array" ref="W61">RHOGREEK($B61,100,0.01,W$44,0.4)</f>
        <v>129.16348613722147</v>
      </c>
      <c r="X61" s="2" cm="1">
        <f t="array" ref="X61">RHOGREEK($B61,100,0.01,X$44,0.4)</f>
        <v>133.60203719132892</v>
      </c>
      <c r="Y61" s="2" cm="1">
        <f t="array" ref="Y61">RHOGREEK($B61,100,0.01,Y$44,0.4)</f>
        <v>137.96580742730049</v>
      </c>
      <c r="Z61" s="2" cm="1">
        <f t="array" ref="Z61">RHOGREEK($B61,100,0.01,Z$44,0.4)</f>
        <v>142.25795485260085</v>
      </c>
      <c r="AA61" s="2" cm="1">
        <f t="array" ref="AA61">RHOGREEK($B61,100,0.01,AA$44,0.4)</f>
        <v>146.48134961210729</v>
      </c>
      <c r="AB61" s="2" cm="1">
        <f t="array" ref="AB61">RHOGREEK($B61,100,0.01,AB$44,0.4)</f>
        <v>150.63861235820511</v>
      </c>
      <c r="AC61" s="2" cm="1">
        <f t="array" ref="AC61">RHOGREEK($B61,100,0.01,AC$44,0.4)</f>
        <v>154.73214616239338</v>
      </c>
      <c r="AD61" s="2" cm="1">
        <f t="array" ref="AD61">RHOGREEK($B61,100,0.01,AD$44,0.4)</f>
        <v>158.76416325584017</v>
      </c>
      <c r="AE61" s="2" cm="1">
        <f t="array" ref="AE61">RHOGREEK($B61,100,0.01,AE$44,0.4)</f>
        <v>162.73670759346038</v>
      </c>
      <c r="AF61" s="2" cm="1">
        <f t="array" ref="AF61">RHOGREEK($B61,100,0.01,AF$44,0.4)</f>
        <v>166.65167401740655</v>
      </c>
      <c r="AG61" s="2" cm="1">
        <f t="array" ref="AG61">RHOGREEK($B61,100,0.01,AG$44,0.4)</f>
        <v>170.51082463080229</v>
      </c>
      <c r="AH61" s="2" cm="1">
        <f t="array" ref="AH61">RHOGREEK($B61,100,0.01,AH$44,0.4)</f>
        <v>174.3158028667003</v>
      </c>
      <c r="AI61" s="2" cm="1">
        <f t="array" ref="AI61">RHOGREEK($B61,100,0.01,AI$44,0.4)</f>
        <v>178.06814564039774</v>
      </c>
      <c r="AJ61" s="2" cm="1">
        <f t="array" ref="AJ61">RHOGREEK($B61,100,0.01,AJ$44,0.4)</f>
        <v>181.76929389804869</v>
      </c>
      <c r="AK61" s="2" cm="1">
        <f t="array" ref="AK61">RHOGREEK($B61,100,0.01,AK$44,0.4)</f>
        <v>185.42060181565034</v>
      </c>
      <c r="AL61" s="2" cm="1">
        <f t="array" ref="AL61">RHOGREEK($B61,100,0.01,AL$44,0.4)</f>
        <v>189.02334485604834</v>
      </c>
      <c r="AM61" s="2" cm="1">
        <f t="array" ref="AM61">RHOGREEK($B61,100,0.01,AM$44,0.4)</f>
        <v>192.57872685470556</v>
      </c>
      <c r="AN61" s="2" cm="1">
        <f t="array" ref="AN61">RHOGREEK($B61,100,0.01,AN$44,0.4)</f>
        <v>196.08788627545908</v>
      </c>
      <c r="AO61" s="2" cm="1">
        <f t="array" ref="AO61">RHOGREEK($B61,100,0.01,AO$44,0.4)</f>
        <v>199.55190175371351</v>
      </c>
      <c r="AP61" s="2" cm="1">
        <f t="array" ref="AP61">RHOGREEK($B61,100,0.01,AP$44,0.4)</f>
        <v>202.97179702525756</v>
      </c>
      <c r="AQ61" s="2" cm="1">
        <f t="array" ref="AQ61">RHOGREEK($B61,100,0.01,AQ$44,0.4)</f>
        <v>206.34854532319221</v>
      </c>
      <c r="AR61" s="2" cm="1">
        <f t="array" ref="AR61">RHOGREEK($B61,100,0.01,AR$44,0.4)</f>
        <v>209.68307331259288</v>
      </c>
      <c r="AS61" s="2" cm="1">
        <f t="array" ref="AS61">RHOGREEK($B61,100,0.01,AS$44,0.4)</f>
        <v>212.97626462193546</v>
      </c>
      <c r="AT61" s="2" cm="1">
        <f t="array" ref="AT61">RHOGREEK($B61,100,0.01,AT$44,0.4)</f>
        <v>216.2289630215376</v>
      </c>
      <c r="AU61" s="2" cm="1">
        <f t="array" ref="AU61">RHOGREEK($B61,100,0.01,AU$44,0.4)</f>
        <v>219.44197529197882</v>
      </c>
      <c r="AV61" s="2" cm="1">
        <f t="array" ref="AV61">RHOGREEK($B61,100,0.01,AV$44,0.4)</f>
        <v>222.61607381935735</v>
      </c>
      <c r="AW61" s="2" cm="1">
        <f t="array" ref="AW61">RHOGREEK($B61,100,0.01,AW$44,0.4)</f>
        <v>225.7519989491355</v>
      </c>
      <c r="AX61" s="2" cm="1">
        <f t="array" ref="AX61">RHOGREEK($B61,100,0.01,AX$44,0.4)</f>
        <v>228.85046112600793</v>
      </c>
      <c r="AY61" s="2" cm="1">
        <f t="array" ref="AY61">RHOGREEK($B61,100,0.01,AY$44,0.4)</f>
        <v>231.91214284358742</v>
      </c>
      <c r="AZ61" s="2" cm="1">
        <f t="array" ref="AZ61">RHOGREEK($B61,100,0.01,AZ$44,0.4)</f>
        <v>234.93770042460429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8A454-32F3-4363-B61D-173328C13522}">
  <sheetPr codeName="Sheet5"/>
  <dimension ref="A1:AZ61"/>
  <sheetViews>
    <sheetView topLeftCell="AR58" workbookViewId="0">
      <selection activeCell="G21" sqref="G21"/>
    </sheetView>
  </sheetViews>
  <sheetFormatPr defaultRowHeight="14.4" x14ac:dyDescent="0.3"/>
  <cols>
    <col min="3" max="3" width="12.6640625" bestFit="1" customWidth="1"/>
  </cols>
  <sheetData>
    <row r="1" spans="1:52" x14ac:dyDescent="0.3">
      <c r="A1" s="2" t="s">
        <v>13</v>
      </c>
      <c r="B1" s="2"/>
      <c r="C1" s="2" t="s">
        <v>12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</row>
    <row r="2" spans="1:52" x14ac:dyDescent="0.3">
      <c r="A2" s="2"/>
      <c r="B2" s="2"/>
      <c r="C2" s="2">
        <v>0.1</v>
      </c>
      <c r="D2" s="2">
        <v>0.2</v>
      </c>
      <c r="E2" s="2">
        <v>0.3</v>
      </c>
      <c r="F2" s="2">
        <v>0.4</v>
      </c>
      <c r="G2" s="2">
        <v>0.5</v>
      </c>
      <c r="H2" s="2">
        <v>0.6</v>
      </c>
      <c r="I2" s="2">
        <v>0.7</v>
      </c>
      <c r="J2" s="2">
        <v>0.8</v>
      </c>
      <c r="K2" s="2">
        <v>0.9</v>
      </c>
      <c r="L2" s="2">
        <v>1</v>
      </c>
      <c r="M2" s="2">
        <v>1.1000000000000001</v>
      </c>
      <c r="N2" s="2">
        <v>1.2</v>
      </c>
      <c r="O2" s="2">
        <v>1.3</v>
      </c>
      <c r="P2" s="2">
        <v>1.4</v>
      </c>
      <c r="Q2" s="2">
        <v>1.5</v>
      </c>
      <c r="R2" s="2">
        <v>1.6</v>
      </c>
      <c r="S2" s="2">
        <v>1.7</v>
      </c>
      <c r="T2" s="2">
        <v>1.8</v>
      </c>
      <c r="U2" s="2">
        <v>1.9</v>
      </c>
      <c r="V2" s="2">
        <v>2</v>
      </c>
      <c r="W2" s="2">
        <v>2.1</v>
      </c>
      <c r="X2" s="2">
        <v>2.2000000000000002</v>
      </c>
      <c r="Y2" s="2">
        <v>2.2999999999999998</v>
      </c>
      <c r="Z2" s="2">
        <v>2.4</v>
      </c>
      <c r="AA2" s="2">
        <v>2.5</v>
      </c>
      <c r="AB2" s="2">
        <v>2.6</v>
      </c>
      <c r="AC2" s="2">
        <v>2.7</v>
      </c>
      <c r="AD2" s="2">
        <v>2.8</v>
      </c>
      <c r="AE2" s="2">
        <v>2.9</v>
      </c>
      <c r="AF2" s="2">
        <v>3</v>
      </c>
      <c r="AG2" s="2">
        <v>3.1</v>
      </c>
      <c r="AH2" s="2">
        <v>3.2</v>
      </c>
      <c r="AI2" s="2">
        <v>3.3</v>
      </c>
      <c r="AJ2" s="2">
        <v>3.4</v>
      </c>
      <c r="AK2" s="2">
        <v>3.5</v>
      </c>
      <c r="AL2" s="2">
        <v>3.6</v>
      </c>
      <c r="AM2" s="2">
        <v>3.7</v>
      </c>
      <c r="AN2" s="2">
        <v>3.8</v>
      </c>
      <c r="AO2" s="2">
        <v>3.9</v>
      </c>
      <c r="AP2" s="2">
        <v>4</v>
      </c>
      <c r="AQ2" s="2">
        <v>4.0999999999999996</v>
      </c>
      <c r="AR2" s="2">
        <v>4.2</v>
      </c>
      <c r="AS2" s="2">
        <v>4.3</v>
      </c>
      <c r="AT2" s="2">
        <v>4.4000000000000004</v>
      </c>
      <c r="AU2" s="2">
        <v>4.5</v>
      </c>
      <c r="AV2" s="2">
        <v>4.5999999999999996</v>
      </c>
      <c r="AW2" s="2">
        <v>4.7</v>
      </c>
      <c r="AX2" s="2">
        <v>4.8</v>
      </c>
      <c r="AY2" s="2">
        <v>4.9000000000000004</v>
      </c>
      <c r="AZ2" s="2">
        <v>5</v>
      </c>
    </row>
    <row r="3" spans="1:52" x14ac:dyDescent="0.3">
      <c r="A3" s="2" t="s">
        <v>11</v>
      </c>
      <c r="B3" s="2">
        <v>60</v>
      </c>
      <c r="C3" s="2" cm="1">
        <f t="array" ref="C3">THETAGREEK($B3,100,0.01,C$2,0.1)</f>
        <v>-1.7679600007399667E-55</v>
      </c>
      <c r="D3" s="2" cm="1">
        <f t="array" ref="D3">THETAGREEK($B3,100,0.01,D$2,0.1)</f>
        <v>-2.6800559022937503E-27</v>
      </c>
      <c r="E3" s="2" cm="1">
        <f t="array" ref="E3">THETAGREEK($B3,100,0.01,E$2,0.1)</f>
        <v>-6.075928913710345E-18</v>
      </c>
      <c r="F3" s="2" cm="1">
        <f t="array" ref="F3">THETAGREEK($B3,100,0.01,F$2,0.1)</f>
        <v>-2.7716544816216898E-13</v>
      </c>
      <c r="G3" s="2" cm="1">
        <f t="array" ref="G3">THETAGREEK($B3,100,0.01,G$2,0.1)</f>
        <v>-1.6869874250426192E-10</v>
      </c>
      <c r="H3" s="2" cm="1">
        <f t="array" ref="H3">THETAGREEK($B3,100,0.01,H$2,0.1)</f>
        <v>-1.1911447711131831E-8</v>
      </c>
      <c r="I3" s="2" cm="1">
        <f t="array" ref="I3">THETAGREEK($B3,100,0.01,I$2,0.1)</f>
        <v>-2.461987681727331E-7</v>
      </c>
      <c r="J3" s="2" cm="1">
        <f t="array" ref="J3">THETAGREEK($B3,100,0.01,J$2,0.1)</f>
        <v>-2.3648518907066315E-6</v>
      </c>
      <c r="K3" s="2" cm="1">
        <f t="array" ref="K3">THETAGREEK($B3,100,0.01,K$2,0.1)</f>
        <v>-1.3642302857830947E-5</v>
      </c>
      <c r="L3" s="2" cm="1">
        <f t="array" ref="L3">THETAGREEK($B3,100,0.01,L$2,0.1)</f>
        <v>-5.5115136698072929E-5</v>
      </c>
      <c r="M3" s="2" cm="1">
        <f t="array" ref="M3">THETAGREEK($B3,100,0.01,M$2,0.1)</f>
        <v>-1.7193527388923791E-4</v>
      </c>
      <c r="N3" s="2" cm="1">
        <f t="array" ref="N3">THETAGREEK($B3,100,0.01,N$2,0.1)</f>
        <v>-4.4198480185979143E-4</v>
      </c>
      <c r="O3" s="2" cm="1">
        <f t="array" ref="O3">THETAGREEK($B3,100,0.01,O$2,0.1)</f>
        <v>-9.7931265734415998E-4</v>
      </c>
      <c r="P3" s="2" cm="1">
        <f t="array" ref="P3">THETAGREEK($B3,100,0.01,P$2,0.1)</f>
        <v>-1.9312308174246568E-3</v>
      </c>
      <c r="Q3" s="2" cm="1">
        <f t="array" ref="Q3">THETAGREEK($B3,100,0.01,Q$2,0.1)</f>
        <v>-3.4701293061948704E-3</v>
      </c>
      <c r="R3" s="2" cm="1">
        <f t="array" ref="R3">THETAGREEK($B3,100,0.01,R$2,0.1)</f>
        <v>-5.7822346145533204E-3</v>
      </c>
      <c r="S3" s="2" cm="1">
        <f t="array" ref="S3">THETAGREEK($B3,100,0.01,S$2,0.1)</f>
        <v>-9.0556367067857035E-3</v>
      </c>
      <c r="T3" s="2" cm="1">
        <f t="array" ref="T3">THETAGREEK($B3,100,0.01,T$2,0.1)</f>
        <v>-1.3469380902112041E-2</v>
      </c>
      <c r="U3" s="2" cm="1">
        <f t="array" ref="U3">THETAGREEK($B3,100,0.01,U$2,0.1)</f>
        <v>-1.9184697448230658E-2</v>
      </c>
      <c r="V3" s="2" cm="1">
        <f t="array" ref="V3">THETAGREEK($B3,100,0.01,V$2,0.1)</f>
        <v>-2.6338792395197271E-2</v>
      </c>
      <c r="W3" s="2" cm="1">
        <f t="array" ref="W3">THETAGREEK($B3,100,0.01,W$2,0.1)</f>
        <v>-3.5041156754391657E-2</v>
      </c>
      <c r="X3" s="2" cm="1">
        <f t="array" ref="X3">THETAGREEK($B3,100,0.01,X$2,0.1)</f>
        <v>-4.5372074449114778E-2</v>
      </c>
      <c r="Y3" s="2" cm="1">
        <f t="array" ref="Y3">THETAGREEK($B3,100,0.01,Y$2,0.1)</f>
        <v>-5.738288525848919E-2</v>
      </c>
      <c r="Z3" s="2" cm="1">
        <f t="array" ref="Z3">THETAGREEK($B3,100,0.01,Z$2,0.1)</f>
        <v>-7.1097538033991436E-2</v>
      </c>
      <c r="AA3" s="2" cm="1">
        <f t="array" ref="AA3">THETAGREEK($B3,100,0.01,AA$2,0.1)</f>
        <v>-8.6515008990767778E-2</v>
      </c>
      <c r="AB3" s="2" cm="1">
        <f t="array" ref="AB3">THETAGREEK($B3,100,0.01,AB$2,0.1)</f>
        <v>-0.1036122281575305</v>
      </c>
      <c r="AC3" s="2" cm="1">
        <f t="array" ref="AC3">THETAGREEK($B3,100,0.01,AC$2,0.1)</f>
        <v>-0.12234723345939152</v>
      </c>
      <c r="AD3" s="2" cm="1">
        <f t="array" ref="AD3">THETAGREEK($B3,100,0.01,AD$2,0.1)</f>
        <v>-0.14266234447384915</v>
      </c>
      <c r="AE3" s="2" cm="1">
        <f t="array" ref="AE3">THETAGREEK($B3,100,0.01,AE$2,0.1)</f>
        <v>-0.16448721078225825</v>
      </c>
      <c r="AF3" s="2" cm="1">
        <f t="array" ref="AF3">THETAGREEK($B3,100,0.01,AF$2,0.1)</f>
        <v>-0.18774164101932242</v>
      </c>
      <c r="AG3" s="2" cm="1">
        <f t="array" ref="AG3">THETAGREEK($B3,100,0.01,AG$2,0.1)</f>
        <v>-0.21233815838360773</v>
      </c>
      <c r="AH3" s="2" cm="1">
        <f t="array" ref="AH3">THETAGREEK($B3,100,0.01,AH$2,0.1)</f>
        <v>-0.23818425779752439</v>
      </c>
      <c r="AI3" s="2" cm="1">
        <f t="array" ref="AI3">THETAGREEK($B3,100,0.01,AI$2,0.1)</f>
        <v>-0.26518436080411339</v>
      </c>
      <c r="AJ3" s="2" cm="1">
        <f t="array" ref="AJ3">THETAGREEK($B3,100,0.01,AJ$2,0.1)</f>
        <v>-0.29324147840582704</v>
      </c>
      <c r="AK3" s="2" cm="1">
        <f t="array" ref="AK3">THETAGREEK($B3,100,0.01,AK$2,0.1)</f>
        <v>-0.32225860097326786</v>
      </c>
      <c r="AL3" s="2" cm="1">
        <f t="array" ref="AL3">THETAGREEK($B3,100,0.01,AL$2,0.1)</f>
        <v>-0.35213983942492177</v>
      </c>
      <c r="AM3" s="2" cm="1">
        <f t="array" ref="AM3">THETAGREEK($B3,100,0.01,AM$2,0.1)</f>
        <v>-0.38279134419152422</v>
      </c>
      <c r="AN3" s="2" cm="1">
        <f t="array" ref="AN3">THETAGREEK($B3,100,0.01,AN$2,0.1)</f>
        <v>-0.4141220288823611</v>
      </c>
      <c r="AO3" s="2" cm="1">
        <f t="array" ref="AO3">THETAGREEK($B3,100,0.01,AO$2,0.1)</f>
        <v>-0.44604412471206745</v>
      </c>
      <c r="AP3" s="2" cm="1">
        <f t="array" ref="AP3">THETAGREEK($B3,100,0.01,AP$2,0.1)</f>
        <v>-0.47847359010372875</v>
      </c>
      <c r="AQ3" s="2" cm="1">
        <f t="array" ref="AQ3">THETAGREEK($B3,100,0.01,AQ$2,0.1)</f>
        <v>-0.51133039780232914</v>
      </c>
      <c r="AR3" s="2" cm="1">
        <f t="array" ref="AR3">THETAGREEK($B3,100,0.01,AR$2,0.1)</f>
        <v>-0.5445387195538236</v>
      </c>
      <c r="AS3" s="2" cm="1">
        <f t="array" ref="AS3">THETAGREEK($B3,100,0.01,AS$2,0.1)</f>
        <v>-0.57802702609383638</v>
      </c>
      <c r="AT3" s="2" cm="1">
        <f t="array" ref="AT3">THETAGREEK($B3,100,0.01,AT$2,0.1)</f>
        <v>-0.61172811795327686</v>
      </c>
      <c r="AU3" s="2" cm="1">
        <f t="array" ref="AU3">THETAGREEK($B3,100,0.01,AU$2,0.1)</f>
        <v>-0.64557910049149403</v>
      </c>
      <c r="AV3" s="2" cm="1">
        <f t="array" ref="AV3">THETAGREEK($B3,100,0.01,AV$2,0.1)</f>
        <v>-0.67952131464730825</v>
      </c>
      <c r="AW3" s="2" cm="1">
        <f t="array" ref="AW3">THETAGREEK($B3,100,0.01,AW$2,0.1)</f>
        <v>-0.71350023316993616</v>
      </c>
      <c r="AX3" s="2" cm="1">
        <f t="array" ref="AX3">THETAGREEK($B3,100,0.01,AX$2,0.1)</f>
        <v>-0.74746533055785414</v>
      </c>
      <c r="AY3" s="2" cm="1">
        <f t="array" ref="AY3">THETAGREEK($B3,100,0.01,AY$2,0.1)</f>
        <v>-0.78136993358728779</v>
      </c>
      <c r="AZ3" s="2" cm="1">
        <f t="array" ref="AZ3">THETAGREEK($B3,100,0.01,AZ$2,0.1)</f>
        <v>-0.81517105814142266</v>
      </c>
    </row>
    <row r="4" spans="1:52" x14ac:dyDescent="0.3">
      <c r="A4" s="2"/>
      <c r="B4" s="2">
        <v>65</v>
      </c>
      <c r="C4" s="2" cm="1">
        <f t="array" ref="C4">THETAGREEK($B4,100,0.01,C$2,0.1)</f>
        <v>-3.9470321326028994E-39</v>
      </c>
      <c r="D4" s="2" cm="1">
        <f t="array" ref="D4">THETAGREEK($B4,100,0.01,D$2,0.1)</f>
        <v>-3.925532325198077E-19</v>
      </c>
      <c r="E4" s="2" cm="1">
        <f t="array" ref="E4">THETAGREEK($B4,100,0.01,E$2,0.1)</f>
        <v>-1.6661184828399499E-12</v>
      </c>
      <c r="F4" s="2" cm="1">
        <f t="array" ref="F4">THETAGREEK($B4,100,0.01,F$2,0.1)</f>
        <v>-3.2886360945747663E-9</v>
      </c>
      <c r="G4" s="2" cm="1">
        <f t="array" ref="G4">THETAGREEK($B4,100,0.01,G$2,0.1)</f>
        <v>-3.0416537650971246E-7</v>
      </c>
      <c r="H4" s="2" cm="1">
        <f t="array" ref="H4">THETAGREEK($B4,100,0.01,H$2,0.1)</f>
        <v>-6.1157855400856871E-6</v>
      </c>
      <c r="I4" s="2" cm="1">
        <f t="array" ref="I4">THETAGREEK($B4,100,0.01,I$2,0.1)</f>
        <v>-5.153839391664152E-5</v>
      </c>
      <c r="J4" s="2" cm="1">
        <f t="array" ref="J4">THETAGREEK($B4,100,0.01,J$2,0.1)</f>
        <v>-2.5259415203088731E-4</v>
      </c>
      <c r="K4" s="2" cm="1">
        <f t="array" ref="K4">THETAGREEK($B4,100,0.01,K$2,0.1)</f>
        <v>-8.6342757606333999E-4</v>
      </c>
      <c r="L4" s="2" cm="1">
        <f t="array" ref="L4">THETAGREEK($B4,100,0.01,L$2,0.1)</f>
        <v>-2.295033637211479E-3</v>
      </c>
      <c r="M4" s="2" cm="1">
        <f t="array" ref="M4">THETAGREEK($B4,100,0.01,M$2,0.1)</f>
        <v>-5.0830638733911542E-3</v>
      </c>
      <c r="N4" s="2" cm="1">
        <f t="array" ref="N4">THETAGREEK($B4,100,0.01,N$2,0.1)</f>
        <v>-9.8221621559539691E-3</v>
      </c>
      <c r="O4" s="2" cm="1">
        <f t="array" ref="O4">THETAGREEK($B4,100,0.01,O$2,0.1)</f>
        <v>-1.7093644462763059E-2</v>
      </c>
      <c r="P4" s="2" cm="1">
        <f t="array" ref="P4">THETAGREEK($B4,100,0.01,P$2,0.1)</f>
        <v>-2.7406144140226751E-2</v>
      </c>
      <c r="Q4" s="2" cm="1">
        <f t="array" ref="Q4">THETAGREEK($B4,100,0.01,Q$2,0.1)</f>
        <v>-4.1157533526106287E-2</v>
      </c>
      <c r="R4" s="2" cm="1">
        <f t="array" ref="R4">THETAGREEK($B4,100,0.01,R$2,0.1)</f>
        <v>-5.8617961234128255E-2</v>
      </c>
      <c r="S4" s="2" cm="1">
        <f t="array" ref="S4">THETAGREEK($B4,100,0.01,S$2,0.1)</f>
        <v>-7.992958876738189E-2</v>
      </c>
      <c r="T4" s="2" cm="1">
        <f t="array" ref="T4">THETAGREEK($B4,100,0.01,T$2,0.1)</f>
        <v>-0.10511749132413965</v>
      </c>
      <c r="U4" s="2" cm="1">
        <f t="array" ref="U4">THETAGREEK($B4,100,0.01,U$2,0.1)</f>
        <v>-0.13410675557292553</v>
      </c>
      <c r="V4" s="2" cm="1">
        <f t="array" ref="V4">THETAGREEK($B4,100,0.01,V$2,0.1)</f>
        <v>-0.1667420034809575</v>
      </c>
      <c r="W4" s="2" cm="1">
        <f t="array" ref="W4">THETAGREEK($B4,100,0.01,W$2,0.1)</f>
        <v>-0.20280680870746937</v>
      </c>
      <c r="X4" s="2" cm="1">
        <f t="array" ref="X4">THETAGREEK($B4,100,0.01,X$2,0.1)</f>
        <v>-0.24204149887622217</v>
      </c>
      <c r="Y4" s="2" cm="1">
        <f t="array" ref="Y4">THETAGREEK($B4,100,0.01,Y$2,0.1)</f>
        <v>-0.28415859044223574</v>
      </c>
      <c r="Z4" s="2" cm="1">
        <f t="array" ref="Z4">THETAGREEK($B4,100,0.01,Z$2,0.1)</f>
        <v>-0.32885560728835539</v>
      </c>
      <c r="AA4" s="2" cm="1">
        <f t="array" ref="AA4">THETAGREEK($B4,100,0.01,AA$2,0.1)</f>
        <v>-0.37582534357584174</v>
      </c>
      <c r="AB4" s="2" cm="1">
        <f t="array" ref="AB4">THETAGREEK($B4,100,0.01,AB$2,0.1)</f>
        <v>-0.42476380139726139</v>
      </c>
      <c r="AC4" s="2" cm="1">
        <f t="array" ref="AC4">THETAGREEK($B4,100,0.01,AC$2,0.1)</f>
        <v>-0.47537611097186039</v>
      </c>
      <c r="AD4" s="2" cm="1">
        <f t="array" ref="AD4">THETAGREEK($B4,100,0.01,AD$2,0.1)</f>
        <v>-0.52738076043075999</v>
      </c>
      <c r="AE4" s="2" cm="1">
        <f t="array" ref="AE4">THETAGREEK($B4,100,0.01,AE$2,0.1)</f>
        <v>-0.58051244813560166</v>
      </c>
      <c r="AF4" s="2" cm="1">
        <f t="array" ref="AF4">THETAGREEK($B4,100,0.01,AF$2,0.1)</f>
        <v>-0.63452383918317068</v>
      </c>
      <c r="AG4" s="2" cm="1">
        <f t="array" ref="AG4">THETAGREEK($B4,100,0.01,AG$2,0.1)</f>
        <v>-0.68918646948639173</v>
      </c>
      <c r="AH4" s="2" cm="1">
        <f t="array" ref="AH4">THETAGREEK($B4,100,0.01,AH$2,0.1)</f>
        <v>-0.74429100166264972</v>
      </c>
      <c r="AI4" s="2" cm="1">
        <f t="array" ref="AI4">THETAGREEK($B4,100,0.01,AI$2,0.1)</f>
        <v>-0.79964700024229374</v>
      </c>
      <c r="AJ4" s="2" cm="1">
        <f t="array" ref="AJ4">THETAGREEK($B4,100,0.01,AJ$2,0.1)</f>
        <v>-0.85508236103880064</v>
      </c>
      <c r="AK4" s="2" cm="1">
        <f t="array" ref="AK4">THETAGREEK($B4,100,0.01,AK$2,0.1)</f>
        <v>-0.91044250145169903</v>
      </c>
      <c r="AL4" s="2" cm="1">
        <f t="array" ref="AL4">THETAGREEK($B4,100,0.01,AL$2,0.1)</f>
        <v>-0.96558939495691498</v>
      </c>
      <c r="AM4" s="2" cm="1">
        <f t="array" ref="AM4">THETAGREEK($B4,100,0.01,AM$2,0.1)</f>
        <v>-1.0204005137135725</v>
      </c>
      <c r="AN4" s="2" cm="1">
        <f t="array" ref="AN4">THETAGREEK($B4,100,0.01,AN$2,0.1)</f>
        <v>-1.0747677275788301</v>
      </c>
      <c r="AO4" s="2" cm="1">
        <f t="array" ref="AO4">THETAGREEK($B4,100,0.01,AO$2,0.1)</f>
        <v>-1.1285961953336159</v>
      </c>
      <c r="AP4" s="2" cm="1">
        <f t="array" ref="AP4">THETAGREEK($B4,100,0.01,AP$2,0.1)</f>
        <v>-1.1818032740635449</v>
      </c>
      <c r="AQ4" s="2" cm="1">
        <f t="array" ref="AQ4">THETAGREEK($B4,100,0.01,AQ$2,0.1)</f>
        <v>-1.2343174649416166</v>
      </c>
      <c r="AR4" s="2" cm="1">
        <f t="array" ref="AR4">THETAGREEK($B4,100,0.01,AR$2,0.1)</f>
        <v>-1.2860774077135573</v>
      </c>
      <c r="AS4" s="2" cm="1">
        <f t="array" ref="AS4">THETAGREEK($B4,100,0.01,AS$2,0.1)</f>
        <v>-1.3370309316461211</v>
      </c>
      <c r="AT4" s="2" cm="1">
        <f t="array" ref="AT4">THETAGREEK($B4,100,0.01,AT$2,0.1)</f>
        <v>-1.3871341672746478</v>
      </c>
      <c r="AU4" s="2" cm="1">
        <f t="array" ref="AU4">THETAGREEK($B4,100,0.01,AU$2,0.1)</f>
        <v>-1.4363507207417059</v>
      </c>
      <c r="AV4" s="2" cm="1">
        <f t="array" ref="AV4">THETAGREEK($B4,100,0.01,AV$2,0.1)</f>
        <v>-1.4846509106618415</v>
      </c>
      <c r="AW4" s="2" cm="1">
        <f t="array" ref="AW4">THETAGREEK($B4,100,0.01,AW$2,0.1)</f>
        <v>-1.5320110661236996</v>
      </c>
      <c r="AX4" s="2" cm="1">
        <f t="array" ref="AX4">THETAGREEK($B4,100,0.01,AX$2,0.1)</f>
        <v>-1.5784128835272657</v>
      </c>
      <c r="AY4" s="2" cm="1">
        <f t="array" ref="AY4">THETAGREEK($B4,100,0.01,AY$2,0.1)</f>
        <v>-1.623842839352923</v>
      </c>
      <c r="AZ4" s="2" cm="1">
        <f t="array" ref="AZ4">THETAGREEK($B4,100,0.01,AZ$2,0.1)</f>
        <v>-1.6682916555940459</v>
      </c>
    </row>
    <row r="5" spans="1:52" x14ac:dyDescent="0.3">
      <c r="A5" s="2"/>
      <c r="B5" s="2">
        <v>70</v>
      </c>
      <c r="C5" s="2" cm="1">
        <f t="array" ref="C5">THETAGREEK($B5,100,0.01,C$2,0.1)</f>
        <v>-1.7875592337370058E-26</v>
      </c>
      <c r="D5" s="2" cm="1">
        <f t="array" ref="D5">THETAGREEK($B5,100,0.01,D$2,0.1)</f>
        <v>-8.2017718769931129E-13</v>
      </c>
      <c r="E5" s="2" cm="1">
        <f t="array" ref="E5">THETAGREEK($B5,100,0.01,E$2,0.1)</f>
        <v>-2.6899658423205685E-8</v>
      </c>
      <c r="F5" s="2" cm="1">
        <f t="array" ref="F5">THETAGREEK($B5,100,0.01,F$2,0.1)</f>
        <v>-4.6675687579254725E-6</v>
      </c>
      <c r="G5" s="2" cm="1">
        <f t="array" ref="G5">THETAGREEK($B5,100,0.01,G$2,0.1)</f>
        <v>-1.0037348570311813E-4</v>
      </c>
      <c r="H5" s="2" cm="1">
        <f t="array" ref="H5">THETAGREEK($B5,100,0.01,H$2,0.1)</f>
        <v>-7.6312467459528567E-4</v>
      </c>
      <c r="I5" s="2" cm="1">
        <f t="array" ref="I5">THETAGREEK($B5,100,0.01,I$2,0.1)</f>
        <v>-3.21065267969463E-3</v>
      </c>
      <c r="J5" s="2" cm="1">
        <f t="array" ref="J5">THETAGREEK($B5,100,0.01,J$2,0.1)</f>
        <v>-9.3461529767725985E-3</v>
      </c>
      <c r="K5" s="2" cm="1">
        <f t="array" ref="K5">THETAGREEK($B5,100,0.01,K$2,0.1)</f>
        <v>-2.1304321984955053E-2</v>
      </c>
      <c r="L5" s="2" cm="1">
        <f t="array" ref="L5">THETAGREEK($B5,100,0.01,L$2,0.1)</f>
        <v>-4.0950801992583968E-2</v>
      </c>
      <c r="M5" s="2" cm="1">
        <f t="array" ref="M5">THETAGREEK($B5,100,0.01,M$2,0.1)</f>
        <v>-6.9571254433050067E-2</v>
      </c>
      <c r="N5" s="2" cm="1">
        <f t="array" ref="N5">THETAGREEK($B5,100,0.01,N$2,0.1)</f>
        <v>-0.10778086181925479</v>
      </c>
      <c r="O5" s="2" cm="1">
        <f t="array" ref="O5">THETAGREEK($B5,100,0.01,O$2,0.1)</f>
        <v>-0.15558514533021123</v>
      </c>
      <c r="P5" s="2" cm="1">
        <f t="array" ref="P5">THETAGREEK($B5,100,0.01,P$2,0.1)</f>
        <v>-0.21251232584427515</v>
      </c>
      <c r="Q5" s="2" cm="1">
        <f t="array" ref="Q5">THETAGREEK($B5,100,0.01,Q$2,0.1)</f>
        <v>-0.2777609615807819</v>
      </c>
      <c r="R5" s="2" cm="1">
        <f t="array" ref="R5">THETAGREEK($B5,100,0.01,R$2,0.1)</f>
        <v>-0.35033261692918249</v>
      </c>
      <c r="S5" s="2" cm="1">
        <f t="array" ref="S5">THETAGREEK($B5,100,0.01,S$2,0.1)</f>
        <v>-0.42913771708550108</v>
      </c>
      <c r="T5" s="2" cm="1">
        <f t="array" ref="T5">THETAGREEK($B5,100,0.01,T$2,0.1)</f>
        <v>-0.51307317898564575</v>
      </c>
      <c r="U5" s="2" cm="1">
        <f t="array" ref="U5">THETAGREEK($B5,100,0.01,U$2,0.1)</f>
        <v>-0.6010752580839267</v>
      </c>
      <c r="V5" s="2" cm="1">
        <f t="array" ref="V5">THETAGREEK($B5,100,0.01,V$2,0.1)</f>
        <v>-0.69215264819992117</v>
      </c>
      <c r="W5" s="2" cm="1">
        <f t="array" ref="W5">THETAGREEK($B5,100,0.01,W$2,0.1)</f>
        <v>-0.78540483565470387</v>
      </c>
      <c r="X5" s="2" cm="1">
        <f t="array" ref="X5">THETAGREEK($B5,100,0.01,X$2,0.1)</f>
        <v>-0.88002999270268245</v>
      </c>
      <c r="Y5" s="2" cm="1">
        <f t="array" ref="Y5">THETAGREEK($B5,100,0.01,Y$2,0.1)</f>
        <v>-0.97532579882823867</v>
      </c>
      <c r="Z5" s="2" cm="1">
        <f t="array" ref="Z5">THETAGREEK($B5,100,0.01,Z$2,0.1)</f>
        <v>-1.0706857330061428</v>
      </c>
      <c r="AA5" s="2" cm="1">
        <f t="array" ref="AA5">THETAGREEK($B5,100,0.01,AA$2,0.1)</f>
        <v>-1.1655926721080339</v>
      </c>
      <c r="AB5" s="2" cm="1">
        <f t="array" ref="AB5">THETAGREEK($B5,100,0.01,AB$2,0.1)</f>
        <v>-1.2596110760050774</v>
      </c>
      <c r="AC5" s="2" cm="1">
        <f t="array" ref="AC5">THETAGREEK($B5,100,0.01,AC$2,0.1)</f>
        <v>-1.35237862375716</v>
      </c>
      <c r="AD5" s="2" cm="1">
        <f t="array" ref="AD5">THETAGREEK($B5,100,0.01,AD$2,0.1)</f>
        <v>-1.4435978627089483</v>
      </c>
      <c r="AE5" s="2" cm="1">
        <f t="array" ref="AE5">THETAGREEK($B5,100,0.01,AE$2,0.1)</f>
        <v>-1.5330282178940959</v>
      </c>
      <c r="AF5" s="2" cm="1">
        <f t="array" ref="AF5">THETAGREEK($B5,100,0.01,AF$2,0.1)</f>
        <v>-1.6204785607053303</v>
      </c>
      <c r="AG5" s="2" cm="1">
        <f t="array" ref="AG5">THETAGREEK($B5,100,0.01,AG$2,0.1)</f>
        <v>-1.7058004354527672</v>
      </c>
      <c r="AH5" s="2" cm="1">
        <f t="array" ref="AH5">THETAGREEK($B5,100,0.01,AH$2,0.1)</f>
        <v>-1.7888819764655639</v>
      </c>
      <c r="AI5" s="2" cm="1">
        <f t="array" ref="AI5">THETAGREEK($B5,100,0.01,AI$2,0.1)</f>
        <v>-1.8696425065460553</v>
      </c>
      <c r="AJ5" s="2" cm="1">
        <f t="array" ref="AJ5">THETAGREEK($B5,100,0.01,AJ$2,0.1)</f>
        <v>-1.9480277823848233</v>
      </c>
      <c r="AK5" s="2" cm="1">
        <f t="array" ref="AK5">THETAGREEK($B5,100,0.01,AK$2,0.1)</f>
        <v>-2.0240058386267483</v>
      </c>
      <c r="AL5" s="2" cm="1">
        <f t="array" ref="AL5">THETAGREEK($B5,100,0.01,AL$2,0.1)</f>
        <v>-2.0975633758483143</v>
      </c>
      <c r="AM5" s="2" cm="1">
        <f t="array" ref="AM5">THETAGREEK($B5,100,0.01,AM$2,0.1)</f>
        <v>-2.1687026361158499</v>
      </c>
      <c r="AN5" s="2" cm="1">
        <f t="array" ref="AN5">THETAGREEK($B5,100,0.01,AN$2,0.1)</f>
        <v>-2.2374387112159462</v>
      </c>
      <c r="AO5" s="2" cm="1">
        <f t="array" ref="AO5">THETAGREEK($B5,100,0.01,AO$2,0.1)</f>
        <v>-2.303797231840365</v>
      </c>
      <c r="AP5" s="2" cm="1">
        <f t="array" ref="AP5">THETAGREEK($B5,100,0.01,AP$2,0.1)</f>
        <v>-2.3678123901366508</v>
      </c>
      <c r="AQ5" s="2" cm="1">
        <f t="array" ref="AQ5">THETAGREEK($B5,100,0.01,AQ$2,0.1)</f>
        <v>-2.4295252525574291</v>
      </c>
      <c r="AR5" s="2" cm="1">
        <f t="array" ref="AR5">THETAGREEK($B5,100,0.01,AR$2,0.1)</f>
        <v>-2.4889823245084872</v>
      </c>
      <c r="AS5" s="2" cm="1">
        <f t="array" ref="AS5">THETAGREEK($B5,100,0.01,AS$2,0.1)</f>
        <v>-2.5462343326958323</v>
      </c>
      <c r="AT5" s="2" cm="1">
        <f t="array" ref="AT5">THETAGREEK($B5,100,0.01,AT$2,0.1)</f>
        <v>-2.6013351951835384</v>
      </c>
      <c r="AU5" s="2" cm="1">
        <f t="array" ref="AU5">THETAGREEK($B5,100,0.01,AU$2,0.1)</f>
        <v>-2.6543411529360976</v>
      </c>
      <c r="AV5" s="2" cm="1">
        <f t="array" ref="AV5">THETAGREEK($B5,100,0.01,AV$2,0.1)</f>
        <v>-2.7053100400092904</v>
      </c>
      <c r="AW5" s="2" cm="1">
        <f t="array" ref="AW5">THETAGREEK($B5,100,0.01,AW$2,0.1)</f>
        <v>-2.7543006725747139</v>
      </c>
      <c r="AX5" s="2" cm="1">
        <f t="array" ref="AX5">THETAGREEK($B5,100,0.01,AX$2,0.1)</f>
        <v>-2.8013723396325929</v>
      </c>
      <c r="AY5" s="2" cm="1">
        <f t="array" ref="AY5">THETAGREEK($B5,100,0.01,AY$2,0.1)</f>
        <v>-2.8465843806106941</v>
      </c>
      <c r="AZ5" s="2" cm="1">
        <f t="array" ref="AZ5">THETAGREEK($B5,100,0.01,AZ$2,0.1)</f>
        <v>-2.8899958370936676</v>
      </c>
    </row>
    <row r="6" spans="1:52" x14ac:dyDescent="0.3">
      <c r="A6" s="2"/>
      <c r="B6" s="2">
        <v>75</v>
      </c>
      <c r="C6" s="2" cm="1">
        <f t="array" ref="C6">THETAGREEK($B6,100,0.01,C$2,0.1)</f>
        <v>-7.7775413165978579E-17</v>
      </c>
      <c r="D6" s="2" cm="1">
        <f t="array" ref="D6">THETAGREEK($B6,100,0.01,D$2,0.1)</f>
        <v>-5.3185149357530166E-8</v>
      </c>
      <c r="E6" s="2" cm="1">
        <f t="array" ref="E6">THETAGREEK($B6,100,0.01,E$2,0.1)</f>
        <v>-4.2930244650064154E-5</v>
      </c>
      <c r="F6" s="2" cm="1">
        <f t="array" ref="F6">THETAGREEK($B6,100,0.01,F$2,0.1)</f>
        <v>-1.1686862125943633E-3</v>
      </c>
      <c r="G6" s="2" cm="1">
        <f t="array" ref="G6">THETAGREEK($B6,100,0.01,G$2,0.1)</f>
        <v>-8.271768726880421E-3</v>
      </c>
      <c r="H6" s="2" cm="1">
        <f t="array" ref="H6">THETAGREEK($B6,100,0.01,H$2,0.1)</f>
        <v>-2.9980373611627319E-2</v>
      </c>
      <c r="I6" s="2" cm="1">
        <f t="array" ref="I6">THETAGREEK($B6,100,0.01,I$2,0.1)</f>
        <v>-7.4307655940315645E-2</v>
      </c>
      <c r="J6" s="2" cm="1">
        <f t="array" ref="J6">THETAGREEK($B6,100,0.01,J$2,0.1)</f>
        <v>-0.14545600487234484</v>
      </c>
      <c r="K6" s="2" cm="1">
        <f t="array" ref="K6">THETAGREEK($B6,100,0.01,K$2,0.1)</f>
        <v>-0.24351807416175186</v>
      </c>
      <c r="L6" s="2" cm="1">
        <f t="array" ref="L6">THETAGREEK($B6,100,0.01,L$2,0.1)</f>
        <v>-0.36568287107559205</v>
      </c>
      <c r="M6" s="2" cm="1">
        <f t="array" ref="M6">THETAGREEK($B6,100,0.01,M$2,0.1)</f>
        <v>-0.50763504990064656</v>
      </c>
      <c r="N6" s="2" cm="1">
        <f t="array" ref="N6">THETAGREEK($B6,100,0.01,N$2,0.1)</f>
        <v>-0.66461231754191852</v>
      </c>
      <c r="O6" s="2" cm="1">
        <f t="array" ref="O6">THETAGREEK($B6,100,0.01,O$2,0.1)</f>
        <v>-0.83205102280243493</v>
      </c>
      <c r="P6" s="2" cm="1">
        <f t="array" ref="P6">THETAGREEK($B6,100,0.01,P$2,0.1)</f>
        <v>-1.0059126593775169</v>
      </c>
      <c r="Q6" s="2" cm="1">
        <f t="array" ref="Q6">THETAGREEK($B6,100,0.01,Q$2,0.1)</f>
        <v>-1.1828043650430415</v>
      </c>
      <c r="R6" s="2" cm="1">
        <f t="array" ref="R6">THETAGREEK($B6,100,0.01,R$2,0.1)</f>
        <v>-1.3599818437665376</v>
      </c>
      <c r="S6" s="2" cm="1">
        <f t="array" ref="S6">THETAGREEK($B6,100,0.01,S$2,0.1)</f>
        <v>-1.5352932365018073</v>
      </c>
      <c r="T6" s="2" cm="1">
        <f t="array" ref="T6">THETAGREEK($B6,100,0.01,T$2,0.1)</f>
        <v>-1.7070990531211745</v>
      </c>
      <c r="U6" s="2" cm="1">
        <f t="array" ref="U6">THETAGREEK($B6,100,0.01,U$2,0.1)</f>
        <v>-1.8741875961569956</v>
      </c>
      <c r="V6" s="2" cm="1">
        <f t="array" ref="V6">THETAGREEK($B6,100,0.01,V$2,0.1)</f>
        <v>-2.0356956609583294</v>
      </c>
      <c r="W6" s="2" cm="1">
        <f t="array" ref="W6">THETAGREEK($B6,100,0.01,W$2,0.1)</f>
        <v>-2.1910387151889426</v>
      </c>
      <c r="X6" s="2" cm="1">
        <f t="array" ref="X6">THETAGREEK($B6,100,0.01,X$2,0.1)</f>
        <v>-2.3398517130048511</v>
      </c>
      <c r="Y6" s="2" cm="1">
        <f t="array" ref="Y6">THETAGREEK($B6,100,0.01,Y$2,0.1)</f>
        <v>-2.4819401535136265</v>
      </c>
      <c r="Z6" s="2" cm="1">
        <f t="array" ref="Z6">THETAGREEK($B6,100,0.01,Z$2,0.1)</f>
        <v>-2.6172403008387519</v>
      </c>
      <c r="AA6" s="2" cm="1">
        <f t="array" ref="AA6">THETAGREEK($B6,100,0.01,AA$2,0.1)</f>
        <v>-2.7457872546798092</v>
      </c>
      <c r="AB6" s="2" cm="1">
        <f t="array" ref="AB6">THETAGREEK($B6,100,0.01,AB$2,0.1)</f>
        <v>-2.8676895692524913</v>
      </c>
      <c r="AC6" s="2" cm="1">
        <f t="array" ref="AC6">THETAGREEK($B6,100,0.01,AC$2,0.1)</f>
        <v>-2.9831092373519175</v>
      </c>
      <c r="AD6" s="2" cm="1">
        <f t="array" ref="AD6">THETAGREEK($B6,100,0.01,AD$2,0.1)</f>
        <v>-3.0922460156770408</v>
      </c>
      <c r="AE6" s="2" cm="1">
        <f t="array" ref="AE6">THETAGREEK($B6,100,0.01,AE$2,0.1)</f>
        <v>-3.1953252316446847</v>
      </c>
      <c r="AF6" s="2" cm="1">
        <f t="array" ref="AF6">THETAGREEK($B6,100,0.01,AF$2,0.1)</f>
        <v>-3.2925883636748998</v>
      </c>
      <c r="AG6" s="2" cm="1">
        <f t="array" ref="AG6">THETAGREEK($B6,100,0.01,AG$2,0.1)</f>
        <v>-3.384285819557991</v>
      </c>
      <c r="AH6" s="2" cm="1">
        <f t="array" ref="AH6">THETAGREEK($B6,100,0.01,AH$2,0.1)</f>
        <v>-3.4706714495799535</v>
      </c>
      <c r="AI6" s="2" cm="1">
        <f t="array" ref="AI6">THETAGREEK($B6,100,0.01,AI$2,0.1)</f>
        <v>-3.5519984237500766</v>
      </c>
      <c r="AJ6" s="2" cm="1">
        <f t="array" ref="AJ6">THETAGREEK($B6,100,0.01,AJ$2,0.1)</f>
        <v>-3.6285161780018429</v>
      </c>
      <c r="AK6" s="2" cm="1">
        <f t="array" ref="AK6">THETAGREEK($B6,100,0.01,AK$2,0.1)</f>
        <v>-3.7004681951901381</v>
      </c>
      <c r="AL6" s="2" cm="1">
        <f t="array" ref="AL6">THETAGREEK($B6,100,0.01,AL$2,0.1)</f>
        <v>-3.7680904355599143</v>
      </c>
      <c r="AM6" s="2" cm="1">
        <f t="array" ref="AM6">THETAGREEK($B6,100,0.01,AM$2,0.1)</f>
        <v>-3.8316102703277628</v>
      </c>
      <c r="AN6" s="2" cm="1">
        <f t="array" ref="AN6">THETAGREEK($B6,100,0.01,AN$2,0.1)</f>
        <v>-3.8912458029943404</v>
      </c>
      <c r="AO6" s="2" cm="1">
        <f t="array" ref="AO6">THETAGREEK($B6,100,0.01,AO$2,0.1)</f>
        <v>-3.94720548757273</v>
      </c>
      <c r="AP6" s="2" cm="1">
        <f t="array" ref="AP6">THETAGREEK($B6,100,0.01,AP$2,0.1)</f>
        <v>-3.9996879723697849</v>
      </c>
      <c r="AQ6" s="2" cm="1">
        <f t="array" ref="AQ6">THETAGREEK($B6,100,0.01,AQ$2,0.1)</f>
        <v>-4.048882113341941</v>
      </c>
      <c r="AR6" s="2" cm="1">
        <f t="array" ref="AR6">THETAGREEK($B6,100,0.01,AR$2,0.1)</f>
        <v>-4.0949671132044116</v>
      </c>
      <c r="AS6" s="2" cm="1">
        <f t="array" ref="AS6">THETAGREEK($B6,100,0.01,AS$2,0.1)</f>
        <v>-4.1381127520740142</v>
      </c>
      <c r="AT6" s="2" cm="1">
        <f t="array" ref="AT6">THETAGREEK($B6,100,0.01,AT$2,0.1)</f>
        <v>-4.1784796830046913</v>
      </c>
      <c r="AU6" s="2" cm="1">
        <f t="array" ref="AU6">THETAGREEK($B6,100,0.01,AU$2,0.1)</f>
        <v>-4.2162197717536136</v>
      </c>
      <c r="AV6" s="2" cm="1">
        <f t="array" ref="AV6">THETAGREEK($B6,100,0.01,AV$2,0.1)</f>
        <v>-4.2514764648297838</v>
      </c>
      <c r="AW6" s="2" cm="1">
        <f t="array" ref="AW6">THETAGREEK($B6,100,0.01,AW$2,0.1)</f>
        <v>-4.2843851735906178</v>
      </c>
      <c r="AX6" s="2" cm="1">
        <f t="array" ref="AX6">THETAGREEK($B6,100,0.01,AX$2,0.1)</f>
        <v>-4.3150736650746317</v>
      </c>
      <c r="AY6" s="2" cm="1">
        <f t="array" ref="AY6">THETAGREEK($B6,100,0.01,AY$2,0.1)</f>
        <v>-4.3436624525553489</v>
      </c>
      <c r="AZ6" s="2" cm="1">
        <f t="array" ref="AZ6">THETAGREEK($B6,100,0.01,AZ$2,0.1)</f>
        <v>-4.3702651806035639</v>
      </c>
    </row>
    <row r="7" spans="1:52" x14ac:dyDescent="0.3">
      <c r="A7" s="2"/>
      <c r="B7" s="2">
        <v>80</v>
      </c>
      <c r="C7" s="2" cm="1">
        <f t="array" ref="C7">THETAGREEK($B7,100,0.01,C$2,0.1)</f>
        <v>-1.0859423889672623E-9</v>
      </c>
      <c r="D7" s="2" cm="1">
        <f t="array" ref="D7">THETAGREEK($B7,100,0.01,D$2,0.1)</f>
        <v>-1.9560713794414961E-4</v>
      </c>
      <c r="E7" s="2" cm="1">
        <f t="array" ref="E7">THETAGREEK($B7,100,0.01,E$2,0.1)</f>
        <v>-1.0122334176383608E-2</v>
      </c>
      <c r="F7" s="2" cm="1">
        <f t="array" ref="F7">THETAGREEK($B7,100,0.01,F$2,0.1)</f>
        <v>-6.9776368374696862E-2</v>
      </c>
      <c r="G7" s="2" cm="1">
        <f t="array" ref="G7">THETAGREEK($B7,100,0.01,G$2,0.1)</f>
        <v>-0.21663466215637461</v>
      </c>
      <c r="H7" s="2" cm="1">
        <f t="array" ref="H7">THETAGREEK($B7,100,0.01,H$2,0.1)</f>
        <v>-0.45331205432784033</v>
      </c>
      <c r="I7" s="2" cm="1">
        <f t="array" ref="I7">THETAGREEK($B7,100,0.01,I$2,0.1)</f>
        <v>-0.75892946558644458</v>
      </c>
      <c r="J7" s="2" cm="1">
        <f t="array" ref="J7">THETAGREEK($B7,100,0.01,J$2,0.1)</f>
        <v>-1.1069217717270452</v>
      </c>
      <c r="K7" s="2" cm="1">
        <f t="array" ref="K7">THETAGREEK($B7,100,0.01,K$2,0.1)</f>
        <v>-1.4741436282882312</v>
      </c>
      <c r="L7" s="2" cm="1">
        <f t="array" ref="L7">THETAGREEK($B7,100,0.01,L$2,0.1)</f>
        <v>-1.8434025119674142</v>
      </c>
      <c r="M7" s="2" cm="1">
        <f t="array" ref="M7">THETAGREEK($B7,100,0.01,M$2,0.1)</f>
        <v>-2.2031016482531589</v>
      </c>
      <c r="N7" s="2" cm="1">
        <f t="array" ref="N7">THETAGREEK($B7,100,0.01,N$2,0.1)</f>
        <v>-2.5460309677400117</v>
      </c>
      <c r="O7" s="2" cm="1">
        <f t="array" ref="O7">THETAGREEK($B7,100,0.01,O$2,0.1)</f>
        <v>-2.868135290568711</v>
      </c>
      <c r="P7" s="2" cm="1">
        <f t="array" ref="P7">THETAGREEK($B7,100,0.01,P$2,0.1)</f>
        <v>-3.1675139509270402</v>
      </c>
      <c r="Q7" s="2" cm="1">
        <f t="array" ref="Q7">THETAGREEK($B7,100,0.01,Q$2,0.1)</f>
        <v>-3.4436811909367626</v>
      </c>
      <c r="R7" s="2" cm="1">
        <f t="array" ref="R7">THETAGREEK($B7,100,0.01,R$2,0.1)</f>
        <v>-3.6970454742485961</v>
      </c>
      <c r="S7" s="2" cm="1">
        <f t="array" ref="S7">THETAGREEK($B7,100,0.01,S$2,0.1)</f>
        <v>-3.9285536689687244</v>
      </c>
      <c r="T7" s="2" cm="1">
        <f t="array" ref="T7">THETAGREEK($B7,100,0.01,T$2,0.1)</f>
        <v>-4.1394530402433807</v>
      </c>
      <c r="U7" s="2" cm="1">
        <f t="array" ref="U7">THETAGREEK($B7,100,0.01,U$2,0.1)</f>
        <v>-4.3311350278732572</v>
      </c>
      <c r="V7" s="2" cm="1">
        <f t="array" ref="V7">THETAGREEK($B7,100,0.01,V$2,0.1)</f>
        <v>-4.5050348123649773</v>
      </c>
      <c r="W7" s="2" cm="1">
        <f t="array" ref="W7">THETAGREEK($B7,100,0.01,W$2,0.1)</f>
        <v>-4.6625684801708571</v>
      </c>
      <c r="X7" s="2" cm="1">
        <f t="array" ref="X7">THETAGREEK($B7,100,0.01,X$2,0.1)</f>
        <v>-4.8050952801397688</v>
      </c>
      <c r="Y7" s="2" cm="1">
        <f t="array" ref="Y7">THETAGREEK($B7,100,0.01,Y$2,0.1)</f>
        <v>-4.9338964577550923</v>
      </c>
      <c r="Z7" s="2" cm="1">
        <f t="array" ref="Z7">THETAGREEK($B7,100,0.01,Z$2,0.1)</f>
        <v>-5.0501649105829847</v>
      </c>
      <c r="AA7" s="2" cm="1">
        <f t="array" ref="AA7">THETAGREEK($B7,100,0.01,AA$2,0.1)</f>
        <v>-5.1550017915442394</v>
      </c>
      <c r="AB7" s="2" cm="1">
        <f t="array" ref="AB7">THETAGREEK($B7,100,0.01,AB$2,0.1)</f>
        <v>-5.2494174657506223</v>
      </c>
      <c r="AC7" s="2" cm="1">
        <f t="array" ref="AC7">THETAGREEK($B7,100,0.01,AC$2,0.1)</f>
        <v>-5.3343350927464837</v>
      </c>
      <c r="AD7" s="2" cm="1">
        <f t="array" ref="AD7">THETAGREEK($B7,100,0.01,AD$2,0.1)</f>
        <v>-5.4105956913161135</v>
      </c>
      <c r="AE7" s="2" cm="1">
        <f t="array" ref="AE7">THETAGREEK($B7,100,0.01,AE$2,0.1)</f>
        <v>-5.4789639389672011</v>
      </c>
      <c r="AF7" s="2" cm="1">
        <f t="array" ref="AF7">THETAGREEK($B7,100,0.01,AF$2,0.1)</f>
        <v>-5.540134224195743</v>
      </c>
      <c r="AG7" s="2" cm="1">
        <f t="array" ref="AG7">THETAGREEK($B7,100,0.01,AG$2,0.1)</f>
        <v>-5.5947366482780323</v>
      </c>
      <c r="AH7" s="2" cm="1">
        <f t="array" ref="AH7">THETAGREEK($B7,100,0.01,AH$2,0.1)</f>
        <v>-5.6433427927821596</v>
      </c>
      <c r="AI7" s="2" cm="1">
        <f t="array" ref="AI7">THETAGREEK($B7,100,0.01,AI$2,0.1)</f>
        <v>-5.6864711483201225</v>
      </c>
      <c r="AJ7" s="2" cm="1">
        <f t="array" ref="AJ7">THETAGREEK($B7,100,0.01,AJ$2,0.1)</f>
        <v>-5.7245921522094214</v>
      </c>
      <c r="AK7" s="2" cm="1">
        <f t="array" ref="AK7">THETAGREEK($B7,100,0.01,AK$2,0.1)</f>
        <v>-5.7581328164683878</v>
      </c>
      <c r="AL7" s="2" cm="1">
        <f t="array" ref="AL7">THETAGREEK($B7,100,0.01,AL$2,0.1)</f>
        <v>-5.7874809489106038</v>
      </c>
      <c r="AM7" s="2" cm="1">
        <f t="array" ref="AM7">THETAGREEK($B7,100,0.01,AM$2,0.1)</f>
        <v>-5.8129889831025698</v>
      </c>
      <c r="AN7" s="2" cm="1">
        <f t="array" ref="AN7">THETAGREEK($B7,100,0.01,AN$2,0.1)</f>
        <v>-5.8349774403797463</v>
      </c>
      <c r="AO7" s="2" cm="1">
        <f t="array" ref="AO7">THETAGREEK($B7,100,0.01,AO$2,0.1)</f>
        <v>-5.8537380508697474</v>
      </c>
      <c r="AP7" s="2" cm="1">
        <f t="array" ref="AP7">THETAGREEK($B7,100,0.01,AP$2,0.1)</f>
        <v>-5.869536561833999</v>
      </c>
      <c r="AQ7" s="2" cm="1">
        <f t="array" ref="AQ7">THETAGREEK($B7,100,0.01,AQ$2,0.1)</f>
        <v>-5.8826152614833074</v>
      </c>
      <c r="AR7" s="2" cm="1">
        <f t="array" ref="AR7">THETAGREEK($B7,100,0.01,AR$2,0.1)</f>
        <v>-5.8931952453381218</v>
      </c>
      <c r="AS7" s="2" cm="1">
        <f t="array" ref="AS7">THETAGREEK($B7,100,0.01,AS$2,0.1)</f>
        <v>-5.9014784505858646</v>
      </c>
      <c r="AT7" s="2" cm="1">
        <f t="array" ref="AT7">THETAGREEK($B7,100,0.01,AT$2,0.1)</f>
        <v>-5.9076494819980283</v>
      </c>
      <c r="AU7" s="2" cm="1">
        <f t="array" ref="AU7">THETAGREEK($B7,100,0.01,AU$2,0.1)</f>
        <v>-5.9118772509798179</v>
      </c>
      <c r="AV7" s="2" cm="1">
        <f t="array" ref="AV7">THETAGREEK($B7,100,0.01,AV$2,0.1)</f>
        <v>-5.9143164473441345</v>
      </c>
      <c r="AW7" s="2" cm="1">
        <f t="array" ref="AW7">THETAGREEK($B7,100,0.01,AW$2,0.1)</f>
        <v>-5.9151088614968135</v>
      </c>
      <c r="AX7" s="2" cm="1">
        <f t="array" ref="AX7">THETAGREEK($B7,100,0.01,AX$2,0.1)</f>
        <v>-5.914384572929662</v>
      </c>
      <c r="AY7" s="2" cm="1">
        <f t="array" ref="AY7">THETAGREEK($B7,100,0.01,AY$2,0.1)</f>
        <v>-5.912263019262034</v>
      </c>
      <c r="AZ7" s="2" cm="1">
        <f t="array" ref="AZ7">THETAGREEK($B7,100,0.01,AZ$2,0.1)</f>
        <v>-5.9088539585576392</v>
      </c>
    </row>
    <row r="8" spans="1:52" x14ac:dyDescent="0.3">
      <c r="A8" s="2"/>
      <c r="B8" s="2">
        <v>85</v>
      </c>
      <c r="C8" s="2" cm="1">
        <f t="array" ref="C8">THETAGREEK($B8,100,0.01,C$2,0.1)</f>
        <v>-1.2584010132960953E-4</v>
      </c>
      <c r="D8" s="2" cm="1">
        <f t="array" ref="D8">THETAGREEK($B8,100,0.01,D$2,0.1)</f>
        <v>-6.5613662064275033E-2</v>
      </c>
      <c r="E8" s="2" cm="1">
        <f t="array" ref="E8">THETAGREEK($B8,100,0.01,E$2,0.1)</f>
        <v>-0.48397449782227436</v>
      </c>
      <c r="F8" s="2" cm="1">
        <f t="array" ref="F8">THETAGREEK($B8,100,0.01,F$2,0.1)</f>
        <v>-1.2596778182500061</v>
      </c>
      <c r="G8" s="2" cm="1">
        <f t="array" ref="G8">THETAGREEK($B8,100,0.01,G$2,0.1)</f>
        <v>-2.1802946085507839</v>
      </c>
      <c r="H8" s="2" cm="1">
        <f t="array" ref="H8">THETAGREEK($B8,100,0.01,H$2,0.1)</f>
        <v>-3.0905186611763074</v>
      </c>
      <c r="I8" s="2" cm="1">
        <f t="array" ref="I8">THETAGREEK($B8,100,0.01,I$2,0.1)</f>
        <v>-3.9176852952152079</v>
      </c>
      <c r="J8" s="2" cm="1">
        <f t="array" ref="J8">THETAGREEK($B8,100,0.01,J$2,0.1)</f>
        <v>-4.6382561896522034</v>
      </c>
      <c r="K8" s="2" cm="1">
        <f t="array" ref="K8">THETAGREEK($B8,100,0.01,K$2,0.1)</f>
        <v>-5.2520643266136915</v>
      </c>
      <c r="L8" s="2" cm="1">
        <f t="array" ref="L8">THETAGREEK($B8,100,0.01,L$2,0.1)</f>
        <v>-5.7684882279142808</v>
      </c>
      <c r="M8" s="2" cm="1">
        <f t="array" ref="M8">THETAGREEK($B8,100,0.01,M$2,0.1)</f>
        <v>-6.1998517333227667</v>
      </c>
      <c r="N8" s="2" cm="1">
        <f t="array" ref="N8">THETAGREEK($B8,100,0.01,N$2,0.1)</f>
        <v>-6.5585056801483317</v>
      </c>
      <c r="O8" s="2" cm="1">
        <f t="array" ref="O8">THETAGREEK($B8,100,0.01,O$2,0.1)</f>
        <v>-6.8556702222349379</v>
      </c>
      <c r="P8" s="2" cm="1">
        <f t="array" ref="P8">THETAGREEK($B8,100,0.01,P$2,0.1)</f>
        <v>-7.1010858956267517</v>
      </c>
      <c r="Q8" s="2" cm="1">
        <f t="array" ref="Q8">THETAGREEK($B8,100,0.01,Q$2,0.1)</f>
        <v>-7.3030175229481591</v>
      </c>
      <c r="R8" s="2" cm="1">
        <f t="array" ref="R8">THETAGREEK($B8,100,0.01,R$2,0.1)</f>
        <v>-7.4683969461650914</v>
      </c>
      <c r="S8" s="2" cm="1">
        <f t="array" ref="S8">THETAGREEK($B8,100,0.01,S$2,0.1)</f>
        <v>-7.603006630395595</v>
      </c>
      <c r="T8" s="2" cm="1">
        <f t="array" ref="T8">THETAGREEK($B8,100,0.01,T$2,0.1)</f>
        <v>-7.711661407842862</v>
      </c>
      <c r="U8" s="2" cm="1">
        <f t="array" ref="U8">THETAGREEK($B8,100,0.01,U$2,0.1)</f>
        <v>-7.7983716240838659</v>
      </c>
      <c r="V8" s="2" cm="1">
        <f t="array" ref="V8">THETAGREEK($B8,100,0.01,V$2,0.1)</f>
        <v>-7.8664829016364894</v>
      </c>
      <c r="W8" s="2" cm="1">
        <f t="array" ref="W8">THETAGREEK($B8,100,0.01,W$2,0.1)</f>
        <v>-7.9187929622777231</v>
      </c>
      <c r="X8" s="2" cm="1">
        <f t="array" ref="X8">THETAGREEK($B8,100,0.01,X$2,0.1)</f>
        <v>-7.9576479862323426</v>
      </c>
      <c r="Y8" s="2" cm="1">
        <f t="array" ref="Y8">THETAGREEK($B8,100,0.01,Y$2,0.1)</f>
        <v>-7.985021547368695</v>
      </c>
      <c r="Z8" s="2" cm="1">
        <f t="array" ref="Z8">THETAGREEK($B8,100,0.01,Z$2,0.1)</f>
        <v>-8.0025790780185062</v>
      </c>
      <c r="AA8" s="2" cm="1">
        <f t="array" ref="AA8">THETAGREEK($B8,100,0.01,AA$2,0.1)</f>
        <v>-8.0117304813759862</v>
      </c>
      <c r="AB8" s="2" cm="1">
        <f t="array" ref="AB8">THETAGREEK($B8,100,0.01,AB$2,0.1)</f>
        <v>-8.0136731079857046</v>
      </c>
      <c r="AC8" s="2" cm="1">
        <f t="array" ref="AC8">THETAGREEK($B8,100,0.01,AC$2,0.1)</f>
        <v>-8.0094269264339051</v>
      </c>
      <c r="AD8" s="2" cm="1">
        <f t="array" ref="AD8">THETAGREEK($B8,100,0.01,AD$2,0.1)</f>
        <v>-7.9998633779936617</v>
      </c>
      <c r="AE8" s="2" cm="1">
        <f t="array" ref="AE8">THETAGREEK($B8,100,0.01,AE$2,0.1)</f>
        <v>-7.9857291183343593</v>
      </c>
      <c r="AF8" s="2" cm="1">
        <f t="array" ref="AF8">THETAGREEK($B8,100,0.01,AF$2,0.1)</f>
        <v>-7.9676656139810893</v>
      </c>
      <c r="AG8" s="2" cm="1">
        <f t="array" ref="AG8">THETAGREEK($B8,100,0.01,AG$2,0.1)</f>
        <v>-7.9462253706265953</v>
      </c>
      <c r="AH8" s="2" cm="1">
        <f t="array" ref="AH8">THETAGREEK($B8,100,0.01,AH$2,0.1)</f>
        <v>-7.9218854173904925</v>
      </c>
      <c r="AI8" s="2" cm="1">
        <f t="array" ref="AI8">THETAGREEK($B8,100,0.01,AI$2,0.1)</f>
        <v>-7.8950585488247889</v>
      </c>
      <c r="AJ8" s="2" cm="1">
        <f t="array" ref="AJ8">THETAGREEK($B8,100,0.01,AJ$2,0.1)</f>
        <v>-7.8661027289077072</v>
      </c>
      <c r="AK8" s="2" cm="1">
        <f t="array" ref="AK8">THETAGREEK($B8,100,0.01,AK$2,0.1)</f>
        <v>-7.8353289834678224</v>
      </c>
      <c r="AL8" s="2" cm="1">
        <f t="array" ref="AL8">THETAGREEK($B8,100,0.01,AL$2,0.1)</f>
        <v>-7.8030080453835726</v>
      </c>
      <c r="AM8" s="2" cm="1">
        <f t="array" ref="AM8">THETAGREEK($B8,100,0.01,AM$2,0.1)</f>
        <v>-7.7693759672589513</v>
      </c>
      <c r="AN8" s="2" cm="1">
        <f t="array" ref="AN8">THETAGREEK($B8,100,0.01,AN$2,0.1)</f>
        <v>-7.734638876500922</v>
      </c>
      <c r="AO8" s="2" cm="1">
        <f t="array" ref="AO8">THETAGREEK($B8,100,0.01,AO$2,0.1)</f>
        <v>-7.6989770157745232</v>
      </c>
      <c r="AP8" s="2" cm="1">
        <f t="array" ref="AP8">THETAGREEK($B8,100,0.01,AP$2,0.1)</f>
        <v>-7.6625481860761155</v>
      </c>
      <c r="AQ8" s="2" cm="1">
        <f t="array" ref="AQ8">THETAGREEK($B8,100,0.01,AQ$2,0.1)</f>
        <v>-7.62549068887337</v>
      </c>
      <c r="AR8" s="2" cm="1">
        <f t="array" ref="AR8">THETAGREEK($B8,100,0.01,AR$2,0.1)</f>
        <v>-7.5879258469112205</v>
      </c>
      <c r="AS8" s="2" cm="1">
        <f t="array" ref="AS8">THETAGREEK($B8,100,0.01,AS$2,0.1)</f>
        <v>-7.5499601695856446</v>
      </c>
      <c r="AT8" s="2" cm="1">
        <f t="array" ref="AT8">THETAGREEK($B8,100,0.01,AT$2,0.1)</f>
        <v>-7.5116872176170775</v>
      </c>
      <c r="AU8" s="2" cm="1">
        <f t="array" ref="AU8">THETAGREEK($B8,100,0.01,AU$2,0.1)</f>
        <v>-7.4731892126175463</v>
      </c>
      <c r="AV8" s="2" cm="1">
        <f t="array" ref="AV8">THETAGREEK($B8,100,0.01,AV$2,0.1)</f>
        <v>-7.4345384296469632</v>
      </c>
      <c r="AW8" s="2" cm="1">
        <f t="array" ref="AW8">THETAGREEK($B8,100,0.01,AW$2,0.1)</f>
        <v>-7.3957984046816216</v>
      </c>
      <c r="AX8" s="2" cm="1">
        <f t="array" ref="AX8">THETAGREEK($B8,100,0.01,AX$2,0.1)</f>
        <v>-7.3570249838215656</v>
      </c>
      <c r="AY8" s="2" cm="1">
        <f t="array" ref="AY8">THETAGREEK($B8,100,0.01,AY$2,0.1)</f>
        <v>-7.3182672368432486</v>
      </c>
      <c r="AZ8" s="2" cm="1">
        <f t="array" ref="AZ8">THETAGREEK($B8,100,0.01,AZ$2,0.1)</f>
        <v>-7.2795682541987237</v>
      </c>
    </row>
    <row r="9" spans="1:52" x14ac:dyDescent="0.3">
      <c r="A9" s="2"/>
      <c r="B9" s="2">
        <v>90</v>
      </c>
      <c r="C9" s="2" cm="1">
        <f t="array" ref="C9">THETAGREEK($B9,100,0.01,C$2,0.1)</f>
        <v>-0.25853584758188691</v>
      </c>
      <c r="D9" s="2" cm="1">
        <f t="array" ref="D9">THETAGREEK($B9,100,0.01,D$2,0.1)</f>
        <v>-2.9339987774989447</v>
      </c>
      <c r="E9" s="2" cm="1">
        <f t="array" ref="E9">THETAGREEK($B9,100,0.01,E$2,0.1)</f>
        <v>-6.0437585294850038</v>
      </c>
      <c r="F9" s="2" cm="1">
        <f t="array" ref="F9">THETAGREEK($B9,100,0.01,F$2,0.1)</f>
        <v>-8.3140421448886812</v>
      </c>
      <c r="G9" s="2" cm="1">
        <f t="array" ref="G9">THETAGREEK($B9,100,0.01,G$2,0.1)</f>
        <v>-9.8163007159602653</v>
      </c>
      <c r="H9" s="2" cm="1">
        <f t="array" ref="H9">THETAGREEK($B9,100,0.01,H$2,0.1)</f>
        <v>-10.783138641037302</v>
      </c>
      <c r="I9" s="2" cm="1">
        <f t="array" ref="I9">THETAGREEK($B9,100,0.01,I$2,0.1)</f>
        <v>-11.394081066810374</v>
      </c>
      <c r="J9" s="2" cm="1">
        <f t="array" ref="J9">THETAGREEK($B9,100,0.01,J$2,0.1)</f>
        <v>-11.768540252535685</v>
      </c>
      <c r="K9" s="2" cm="1">
        <f t="array" ref="K9">THETAGREEK($B9,100,0.01,K$2,0.1)</f>
        <v>-11.984022951725793</v>
      </c>
      <c r="L9" s="2" cm="1">
        <f t="array" ref="L9">THETAGREEK($B9,100,0.01,L$2,0.1)</f>
        <v>-12.091185348338001</v>
      </c>
      <c r="M9" s="2" cm="1">
        <f t="array" ref="M9">THETAGREEK($B9,100,0.01,M$2,0.1)</f>
        <v>-12.123667186218327</v>
      </c>
      <c r="N9" s="2" cm="1">
        <f t="array" ref="N9">THETAGREEK($B9,100,0.01,N$2,0.1)</f>
        <v>-12.104210311587385</v>
      </c>
      <c r="O9" s="2" cm="1">
        <f t="array" ref="O9">THETAGREEK($B9,100,0.01,O$2,0.1)</f>
        <v>-12.048455773597711</v>
      </c>
      <c r="P9" s="2" cm="1">
        <f t="array" ref="P9">THETAGREEK($B9,100,0.01,P$2,0.1)</f>
        <v>-11.96733005819585</v>
      </c>
      <c r="Q9" s="2" cm="1">
        <f t="array" ref="Q9">THETAGREEK($B9,100,0.01,Q$2,0.1)</f>
        <v>-11.868571371842389</v>
      </c>
      <c r="R9" s="2" cm="1">
        <f t="array" ref="R9">THETAGREEK($B9,100,0.01,R$2,0.1)</f>
        <v>-11.757724482826351</v>
      </c>
      <c r="S9" s="2" cm="1">
        <f t="array" ref="S9">THETAGREEK($B9,100,0.01,S$2,0.1)</f>
        <v>-11.638801285650006</v>
      </c>
      <c r="T9" s="2" cm="1">
        <f t="array" ref="T9">THETAGREEK($B9,100,0.01,T$2,0.1)</f>
        <v>-11.51472715733839</v>
      </c>
      <c r="U9" s="2" cm="1">
        <f t="array" ref="U9">THETAGREEK($B9,100,0.01,U$2,0.1)</f>
        <v>-11.387647513905588</v>
      </c>
      <c r="V9" s="2" cm="1">
        <f t="array" ref="V9">THETAGREEK($B9,100,0.01,V$2,0.1)</f>
        <v>-11.259141525485473</v>
      </c>
      <c r="W9" s="2" cm="1">
        <f t="array" ref="W9">THETAGREEK($B9,100,0.01,W$2,0.1)</f>
        <v>-11.130373160404417</v>
      </c>
      <c r="X9" s="2" cm="1">
        <f t="array" ref="X9">THETAGREEK($B9,100,0.01,X$2,0.1)</f>
        <v>-11.002199277100317</v>
      </c>
      <c r="Y9" s="2" cm="1">
        <f t="array" ref="Y9">THETAGREEK($B9,100,0.01,Y$2,0.1)</f>
        <v>-10.875247861921617</v>
      </c>
      <c r="Z9" s="2" cm="1">
        <f t="array" ref="Z9">THETAGREEK($B9,100,0.01,Z$2,0.1)</f>
        <v>-10.74997524572143</v>
      </c>
      <c r="AA9" s="2" cm="1">
        <f t="array" ref="AA9">THETAGREEK($B9,100,0.01,AA$2,0.1)</f>
        <v>-10.626708340605214</v>
      </c>
      <c r="AB9" s="2" cm="1">
        <f t="array" ref="AB9">THETAGREEK($B9,100,0.01,AB$2,0.1)</f>
        <v>-10.505676083548062</v>
      </c>
      <c r="AC9" s="2" cm="1">
        <f t="array" ref="AC9">THETAGREEK($B9,100,0.01,AC$2,0.1)</f>
        <v>-10.38703302399748</v>
      </c>
      <c r="AD9" s="2" cm="1">
        <f t="array" ref="AD9">THETAGREEK($B9,100,0.01,AD$2,0.1)</f>
        <v>-10.270877139494118</v>
      </c>
      <c r="AE9" s="2" cm="1">
        <f t="array" ref="AE9">THETAGREEK($B9,100,0.01,AE$2,0.1)</f>
        <v>-10.157263373747995</v>
      </c>
      <c r="AF9" s="2" cm="1">
        <f t="array" ref="AF9">THETAGREEK($B9,100,0.01,AF$2,0.1)</f>
        <v>-10.04621397940344</v>
      </c>
      <c r="AG9" s="2" cm="1">
        <f t="array" ref="AG9">THETAGREEK($B9,100,0.01,AG$2,0.1)</f>
        <v>-9.9377264564217</v>
      </c>
      <c r="AH9" s="2" cm="1">
        <f t="array" ref="AH9">THETAGREEK($B9,100,0.01,AH$2,0.1)</f>
        <v>-9.8317796690610741</v>
      </c>
      <c r="AI9" s="2" cm="1">
        <f t="array" ref="AI9">THETAGREEK($B9,100,0.01,AI$2,0.1)</f>
        <v>-9.7283385745811284</v>
      </c>
      <c r="AJ9" s="2" cm="1">
        <f t="array" ref="AJ9">THETAGREEK($B9,100,0.01,AJ$2,0.1)</f>
        <v>-9.6273578878499677</v>
      </c>
      <c r="AK9" s="2" cm="1">
        <f t="array" ref="AK9">THETAGREEK($B9,100,0.01,AK$2,0.1)</f>
        <v>-9.5287849261658426</v>
      </c>
      <c r="AL9" s="2" cm="1">
        <f t="array" ref="AL9">THETAGREEK($B9,100,0.01,AL$2,0.1)</f>
        <v>-9.4325618195968506</v>
      </c>
      <c r="AM9" s="2" cm="1">
        <f t="array" ref="AM9">THETAGREEK($B9,100,0.01,AM$2,0.1)</f>
        <v>-9.3386272282271747</v>
      </c>
      <c r="AN9" s="2" cm="1">
        <f t="array" ref="AN9">THETAGREEK($B9,100,0.01,AN$2,0.1)</f>
        <v>-9.2469176747897421</v>
      </c>
      <c r="AO9" s="2" cm="1">
        <f t="array" ref="AO9">THETAGREEK($B9,100,0.01,AO$2,0.1)</f>
        <v>-9.1573685763450321</v>
      </c>
      <c r="AP9" s="2" cm="1">
        <f t="array" ref="AP9">THETAGREEK($B9,100,0.01,AP$2,0.1)</f>
        <v>-9.0699150398324235</v>
      </c>
      <c r="AQ9" s="2" cm="1">
        <f t="array" ref="AQ9">THETAGREEK($B9,100,0.01,AQ$2,0.1)</f>
        <v>-8.9844924719478811</v>
      </c>
      <c r="AR9" s="2" cm="1">
        <f t="array" ref="AR9">THETAGREEK($B9,100,0.01,AR$2,0.1)</f>
        <v>-8.9010370427747212</v>
      </c>
      <c r="AS9" s="2" cm="1">
        <f t="array" ref="AS9">THETAGREEK($B9,100,0.01,AS$2,0.1)</f>
        <v>-8.8194860340913745</v>
      </c>
      <c r="AT9" s="2" cm="1">
        <f t="array" ref="AT9">THETAGREEK($B9,100,0.01,AT$2,0.1)</f>
        <v>-8.7397780966923371</v>
      </c>
      <c r="AU9" s="2" cm="1">
        <f t="array" ref="AU9">THETAGREEK($B9,100,0.01,AU$2,0.1)</f>
        <v>-8.6618534359323007</v>
      </c>
      <c r="AV9" s="2" cm="1">
        <f t="array" ref="AV9">THETAGREEK($B9,100,0.01,AV$2,0.1)</f>
        <v>-8.5856539406976378</v>
      </c>
      <c r="AW9" s="2" cm="1">
        <f t="array" ref="AW9">THETAGREEK($B9,100,0.01,AW$2,0.1)</f>
        <v>-8.5111232678673598</v>
      </c>
      <c r="AX9" s="2" cm="1">
        <f t="array" ref="AX9">THETAGREEK($B9,100,0.01,AX$2,0.1)</f>
        <v>-8.4382068918518165</v>
      </c>
      <c r="AY9" s="2" cm="1">
        <f t="array" ref="AY9">THETAGREEK($B9,100,0.01,AY$2,0.1)</f>
        <v>-8.3668521268435949</v>
      </c>
      <c r="AZ9" s="2" cm="1">
        <f t="array" ref="AZ9">THETAGREEK($B9,100,0.01,AZ$2,0.1)</f>
        <v>-8.2970081278667696</v>
      </c>
    </row>
    <row r="10" spans="1:52" x14ac:dyDescent="0.3">
      <c r="A10" s="2"/>
      <c r="B10" s="2">
        <v>95</v>
      </c>
      <c r="C10" s="2" cm="1">
        <f t="array" ref="C10">THETAGREEK($B10,100,0.01,C$2,0.1)</f>
        <v>-17.400677576709494</v>
      </c>
      <c r="D10" s="2" cm="1">
        <f t="array" ref="D10">THETAGREEK($B10,100,0.01,D$2,0.1)</f>
        <v>-23.782165021624941</v>
      </c>
      <c r="E10" s="2" cm="1">
        <f t="array" ref="E10">THETAGREEK($B10,100,0.01,E$2,0.1)</f>
        <v>-24.200033179391259</v>
      </c>
      <c r="F10" s="2" cm="1">
        <f t="array" ref="F10">THETAGREEK($B10,100,0.01,F$2,0.1)</f>
        <v>-23.40190422634943</v>
      </c>
      <c r="G10" s="2" cm="1">
        <f t="array" ref="G10">THETAGREEK($B10,100,0.01,G$2,0.1)</f>
        <v>-22.366014721616416</v>
      </c>
      <c r="H10" s="2" cm="1">
        <f t="array" ref="H10">THETAGREEK($B10,100,0.01,H$2,0.1)</f>
        <v>-21.341081398426915</v>
      </c>
      <c r="I10" s="2" cm="1">
        <f t="array" ref="I10">THETAGREEK($B10,100,0.01,I$2,0.1)</f>
        <v>-20.392896950160061</v>
      </c>
      <c r="J10" s="2" cm="1">
        <f t="array" ref="J10">THETAGREEK($B10,100,0.01,J$2,0.1)</f>
        <v>-19.533681781116439</v>
      </c>
      <c r="K10" s="2" cm="1">
        <f t="array" ref="K10">THETAGREEK($B10,100,0.01,K$2,0.1)</f>
        <v>-18.759153100920699</v>
      </c>
      <c r="L10" s="2" cm="1">
        <f t="array" ref="L10">THETAGREEK($B10,100,0.01,L$2,0.1)</f>
        <v>-18.060439662558316</v>
      </c>
      <c r="M10" s="2" cm="1">
        <f t="array" ref="M10">THETAGREEK($B10,100,0.01,M$2,0.1)</f>
        <v>-17.428109370152374</v>
      </c>
      <c r="N10" s="2" cm="1">
        <f t="array" ref="N10">THETAGREEK($B10,100,0.01,N$2,0.1)</f>
        <v>-16.853490324547426</v>
      </c>
      <c r="O10" s="2" cm="1">
        <f t="array" ref="O10">THETAGREEK($B10,100,0.01,O$2,0.1)</f>
        <v>-16.329017678267913</v>
      </c>
      <c r="P10" s="2" cm="1">
        <f t="array" ref="P10">THETAGREEK($B10,100,0.01,P$2,0.1)</f>
        <v>-15.848230333707182</v>
      </c>
      <c r="Q10" s="2" cm="1">
        <f t="array" ref="Q10">THETAGREEK($B10,100,0.01,Q$2,0.1)</f>
        <v>-15.405652515028409</v>
      </c>
      <c r="R10" s="2" cm="1">
        <f t="array" ref="R10">THETAGREEK($B10,100,0.01,R$2,0.1)</f>
        <v>-14.996649778781048</v>
      </c>
      <c r="S10" s="2" cm="1">
        <f t="array" ref="S10">THETAGREEK($B10,100,0.01,S$2,0.1)</f>
        <v>-14.61729232931226</v>
      </c>
      <c r="T10" s="2" cm="1">
        <f t="array" ref="T10">THETAGREEK($B10,100,0.01,T$2,0.1)</f>
        <v>-14.26423600079346</v>
      </c>
      <c r="U10" s="2" cm="1">
        <f t="array" ref="U10">THETAGREEK($B10,100,0.01,U$2,0.1)</f>
        <v>-13.934622454724144</v>
      </c>
      <c r="V10" s="2" cm="1">
        <f t="array" ref="V10">THETAGREEK($B10,100,0.01,V$2,0.1)</f>
        <v>-13.625996928524939</v>
      </c>
      <c r="W10" s="2" cm="1">
        <f t="array" ref="W10">THETAGREEK($B10,100,0.01,W$2,0.1)</f>
        <v>-13.336240946640036</v>
      </c>
      <c r="X10" s="2" cm="1">
        <f t="array" ref="X10">THETAGREEK($B10,100,0.01,X$2,0.1)</f>
        <v>-13.063517384808204</v>
      </c>
      <c r="Y10" s="2" cm="1">
        <f t="array" ref="Y10">THETAGREEK($B10,100,0.01,Y$2,0.1)</f>
        <v>-12.806225576950984</v>
      </c>
      <c r="Z10" s="2" cm="1">
        <f t="array" ref="Z10">THETAGREEK($B10,100,0.01,Z$2,0.1)</f>
        <v>-12.56296453033745</v>
      </c>
      <c r="AA10" s="2" cm="1">
        <f t="array" ref="AA10">THETAGREEK($B10,100,0.01,AA$2,0.1)</f>
        <v>-12.332502673484358</v>
      </c>
      <c r="AB10" s="2" cm="1">
        <f t="array" ref="AB10">THETAGREEK($B10,100,0.01,AB$2,0.1)</f>
        <v>-12.113752870973164</v>
      </c>
      <c r="AC10" s="2" cm="1">
        <f t="array" ref="AC10">THETAGREEK($B10,100,0.01,AC$2,0.1)</f>
        <v>-11.905751694616933</v>
      </c>
      <c r="AD10" s="2" cm="1">
        <f t="array" ref="AD10">THETAGREEK($B10,100,0.01,AD$2,0.1)</f>
        <v>-11.707642145857228</v>
      </c>
      <c r="AE10" s="2" cm="1">
        <f t="array" ref="AE10">THETAGREEK($B10,100,0.01,AE$2,0.1)</f>
        <v>-11.518659187631679</v>
      </c>
      <c r="AF10" s="2" cm="1">
        <f t="array" ref="AF10">THETAGREEK($B10,100,0.01,AF$2,0.1)</f>
        <v>-11.338117573101096</v>
      </c>
      <c r="AG10" s="2" cm="1">
        <f t="array" ref="AG10">THETAGREEK($B10,100,0.01,AG$2,0.1)</f>
        <v>-11.165401560525197</v>
      </c>
      <c r="AH10" s="2" cm="1">
        <f t="array" ref="AH10">THETAGREEK($B10,100,0.01,AH$2,0.1)</f>
        <v>-10.999956184007594</v>
      </c>
      <c r="AI10" s="2" cm="1">
        <f t="array" ref="AI10">THETAGREEK($B10,100,0.01,AI$2,0.1)</f>
        <v>-10.841279813436149</v>
      </c>
      <c r="AJ10" s="2" cm="1">
        <f t="array" ref="AJ10">THETAGREEK($B10,100,0.01,AJ$2,0.1)</f>
        <v>-10.688917787386179</v>
      </c>
      <c r="AK10" s="2" cm="1">
        <f t="array" ref="AK10">THETAGREEK($B10,100,0.01,AK$2,0.1)</f>
        <v>-10.542456942893477</v>
      </c>
      <c r="AL10" s="2" cm="1">
        <f t="array" ref="AL10">THETAGREEK($B10,100,0.01,AL$2,0.1)</f>
        <v>-10.401520898067806</v>
      </c>
      <c r="AM10" s="2" cm="1">
        <f t="array" ref="AM10">THETAGREEK($B10,100,0.01,AM$2,0.1)</f>
        <v>-10.265765969233529</v>
      </c>
      <c r="AN10" s="2" cm="1">
        <f t="array" ref="AN10">THETAGREEK($B10,100,0.01,AN$2,0.1)</f>
        <v>-10.134877624994976</v>
      </c>
      <c r="AO10" s="2" cm="1">
        <f t="array" ref="AO10">THETAGREEK($B10,100,0.01,AO$2,0.1)</f>
        <v>-10.008567396374131</v>
      </c>
      <c r="AP10" s="2" cm="1">
        <f t="array" ref="AP10">THETAGREEK($B10,100,0.01,AP$2,0.1)</f>
        <v>-9.8865701757717641</v>
      </c>
      <c r="AQ10" s="2" cm="1">
        <f t="array" ref="AQ10">THETAGREEK($B10,100,0.01,AQ$2,0.1)</f>
        <v>-9.7686418485969124</v>
      </c>
      <c r="AR10" s="2" cm="1">
        <f t="array" ref="AR10">THETAGREEK($B10,100,0.01,AR$2,0.1)</f>
        <v>-9.6545572104938753</v>
      </c>
      <c r="AS10" s="2" cm="1">
        <f t="array" ref="AS10">THETAGREEK($B10,100,0.01,AS$2,0.1)</f>
        <v>-9.5441081305642044</v>
      </c>
      <c r="AT10" s="2" cm="1">
        <f t="array" ref="AT10">THETAGREEK($B10,100,0.01,AT$2,0.1)</f>
        <v>-9.4371019271449441</v>
      </c>
      <c r="AU10" s="2" cm="1">
        <f t="array" ref="AU10">THETAGREEK($B10,100,0.01,AU$2,0.1)</f>
        <v>-9.3333599278110881</v>
      </c>
      <c r="AV10" s="2" cm="1">
        <f t="array" ref="AV10">THETAGREEK($B10,100,0.01,AV$2,0.1)</f>
        <v>-9.2327161895162924</v>
      </c>
      <c r="AW10" s="2" cm="1">
        <f t="array" ref="AW10">THETAGREEK($B10,100,0.01,AW$2,0.1)</f>
        <v>-9.1350163583296329</v>
      </c>
      <c r="AX10" s="2" cm="1">
        <f t="array" ref="AX10">THETAGREEK($B10,100,0.01,AX$2,0.1)</f>
        <v>-9.0401166511934967</v>
      </c>
      <c r="AY10" s="2" cm="1">
        <f t="array" ref="AY10">THETAGREEK($B10,100,0.01,AY$2,0.1)</f>
        <v>-8.9478829446211403</v>
      </c>
      <c r="AZ10" s="2" cm="1">
        <f t="array" ref="AZ10">THETAGREEK($B10,100,0.01,AZ$2,0.1)</f>
        <v>-8.8581899573543303</v>
      </c>
    </row>
    <row r="11" spans="1:52" x14ac:dyDescent="0.3">
      <c r="A11" s="2"/>
      <c r="B11" s="2">
        <v>100</v>
      </c>
      <c r="C11" s="2" cm="1">
        <f t="array" ref="C11">THETAGREEK($B11,100,0.01,C$2,0.1)</f>
        <v>-63.51319136409213</v>
      </c>
      <c r="D11" s="2" cm="1">
        <f t="array" ref="D11">THETAGREEK($B11,100,0.01,D$2,0.1)</f>
        <v>-45.010761793919819</v>
      </c>
      <c r="E11" s="2" cm="1">
        <f t="array" ref="E11">THETAGREEK($B11,100,0.01,E$2,0.1)</f>
        <v>-36.804970144920844</v>
      </c>
      <c r="F11" s="2" cm="1">
        <f t="array" ref="F11">THETAGREEK($B11,100,0.01,F$2,0.1)</f>
        <v>-31.908116377905465</v>
      </c>
      <c r="G11" s="2" cm="1">
        <f t="array" ref="G11">THETAGREEK($B11,100,0.01,G$2,0.1)</f>
        <v>-28.562784012405597</v>
      </c>
      <c r="H11" s="2" cm="1">
        <f t="array" ref="H11">THETAGREEK($B11,100,0.01,H$2,0.1)</f>
        <v>-26.090739096589839</v>
      </c>
      <c r="I11" s="2" cm="1">
        <f t="array" ref="I11">THETAGREEK($B11,100,0.01,I$2,0.1)</f>
        <v>-24.167427888787216</v>
      </c>
      <c r="J11" s="2" cm="1">
        <f t="array" ref="J11">THETAGREEK($B11,100,0.01,J$2,0.1)</f>
        <v>-22.615447138250499</v>
      </c>
      <c r="K11" s="2" cm="1">
        <f t="array" ref="K11">THETAGREEK($B11,100,0.01,K$2,0.1)</f>
        <v>-21.328556273118906</v>
      </c>
      <c r="L11" s="2" cm="1">
        <f t="array" ref="L11">THETAGREEK($B11,100,0.01,L$2,0.1)</f>
        <v>-20.238731873674471</v>
      </c>
      <c r="M11" s="2" cm="1">
        <f t="array" ref="M11">THETAGREEK($B11,100,0.01,M$2,0.1)</f>
        <v>-19.300131789062185</v>
      </c>
      <c r="N11" s="2" cm="1">
        <f t="array" ref="N11">THETAGREEK($B11,100,0.01,N$2,0.1)</f>
        <v>-18.480584369269959</v>
      </c>
      <c r="O11" s="2" cm="1">
        <f t="array" ref="O11">THETAGREEK($B11,100,0.01,O$2,0.1)</f>
        <v>-17.756756480575103</v>
      </c>
      <c r="P11" s="2" cm="1">
        <f t="array" ref="P11">THETAGREEK($B11,100,0.01,P$2,0.1)</f>
        <v>-17.111257525013254</v>
      </c>
      <c r="Q11" s="2" cm="1">
        <f t="array" ref="Q11">THETAGREEK($B11,100,0.01,Q$2,0.1)</f>
        <v>-16.530824793041887</v>
      </c>
      <c r="R11" s="2" cm="1">
        <f t="array" ref="R11">THETAGREEK($B11,100,0.01,R$2,0.1)</f>
        <v>-16.005143218810442</v>
      </c>
      <c r="S11" s="2" cm="1">
        <f t="array" ref="S11">THETAGREEK($B11,100,0.01,S$2,0.1)</f>
        <v>-15.526053041162957</v>
      </c>
      <c r="T11" s="2" cm="1">
        <f t="array" ref="T11">THETAGREEK($B11,100,0.01,T$2,0.1)</f>
        <v>-15.087003167974695</v>
      </c>
      <c r="U11" s="2" cm="1">
        <f t="array" ref="U11">THETAGREEK($B11,100,0.01,U$2,0.1)</f>
        <v>-14.682664988776283</v>
      </c>
      <c r="V11" s="2" cm="1">
        <f t="array" ref="V11">THETAGREEK($B11,100,0.01,V$2,0.1)</f>
        <v>-14.308653788712833</v>
      </c>
      <c r="W11" s="2" cm="1">
        <f t="array" ref="W11">THETAGREEK($B11,100,0.01,W$2,0.1)</f>
        <v>-13.961324035001446</v>
      </c>
      <c r="X11" s="2" cm="1">
        <f t="array" ref="X11">THETAGREEK($B11,100,0.01,X$2,0.1)</f>
        <v>-13.637616446598853</v>
      </c>
      <c r="Y11" s="2" cm="1">
        <f t="array" ref="Y11">THETAGREEK($B11,100,0.01,Y$2,0.1)</f>
        <v>-13.334942044838717</v>
      </c>
      <c r="Z11" s="2" cm="1">
        <f t="array" ref="Z11">THETAGREEK($B11,100,0.01,Z$2,0.1)</f>
        <v>-13.051093059908913</v>
      </c>
      <c r="AA11" s="2" cm="1">
        <f t="array" ref="AA11">THETAGREEK($B11,100,0.01,AA$2,0.1)</f>
        <v>-12.784173637810701</v>
      </c>
      <c r="AB11" s="2" cm="1">
        <f t="array" ref="AB11">THETAGREEK($B11,100,0.01,AB$2,0.1)</f>
        <v>-12.532545348298969</v>
      </c>
      <c r="AC11" s="2" cm="1">
        <f t="array" ref="AC11">THETAGREEK($B11,100,0.01,AC$2,0.1)</f>
        <v>-12.294783896559268</v>
      </c>
      <c r="AD11" s="2" cm="1">
        <f t="array" ref="AD11">THETAGREEK($B11,100,0.01,AD$2,0.1)</f>
        <v>-12.069644413917434</v>
      </c>
      <c r="AE11" s="2" cm="1">
        <f t="array" ref="AE11">THETAGREEK($B11,100,0.01,AE$2,0.1)</f>
        <v>-11.856033387768449</v>
      </c>
      <c r="AF11" s="2" cm="1">
        <f t="array" ref="AF11">THETAGREEK($B11,100,0.01,AF$2,0.1)</f>
        <v>-11.652985780049564</v>
      </c>
      <c r="AG11" s="2" cm="1">
        <f t="array" ref="AG11">THETAGREEK($B11,100,0.01,AG$2,0.1)</f>
        <v>-11.459646237470377</v>
      </c>
      <c r="AH11" s="2" cm="1">
        <f t="array" ref="AH11">THETAGREEK($B11,100,0.01,AH$2,0.1)</f>
        <v>-11.275253555833283</v>
      </c>
      <c r="AI11" s="2" cm="1">
        <f t="array" ref="AI11">THETAGREEK($B11,100,0.01,AI$2,0.1)</f>
        <v>-11.099127752630197</v>
      </c>
      <c r="AJ11" s="2" cm="1">
        <f t="array" ref="AJ11">THETAGREEK($B11,100,0.01,AJ$2,0.1)</f>
        <v>-10.930659245626181</v>
      </c>
      <c r="AK11" s="2" cm="1">
        <f t="array" ref="AK11">THETAGREEK($B11,100,0.01,AK$2,0.1)</f>
        <v>-10.769299743552773</v>
      </c>
      <c r="AL11" s="2" cm="1">
        <f t="array" ref="AL11">THETAGREEK($B11,100,0.01,AL$2,0.1)</f>
        <v>-10.614554537666312</v>
      </c>
      <c r="AM11" s="2" cm="1">
        <f t="array" ref="AM11">THETAGREEK($B11,100,0.01,AM$2,0.1)</f>
        <v>-10.465975946444811</v>
      </c>
      <c r="AN11" s="2" cm="1">
        <f t="array" ref="AN11">THETAGREEK($B11,100,0.01,AN$2,0.1)</f>
        <v>-10.32315771491187</v>
      </c>
      <c r="AO11" s="2" cm="1">
        <f t="array" ref="AO11">THETAGREEK($B11,100,0.01,AO$2,0.1)</f>
        <v>-10.185730208495027</v>
      </c>
      <c r="AP11" s="2" cm="1">
        <f t="array" ref="AP11">THETAGREEK($B11,100,0.01,AP$2,0.1)</f>
        <v>-10.053356271529312</v>
      </c>
      <c r="AQ11" s="2" cm="1">
        <f t="array" ref="AQ11">THETAGREEK($B11,100,0.01,AQ$2,0.1)</f>
        <v>-9.9257276444198794</v>
      </c>
      <c r="AR11" s="2" cm="1">
        <f t="array" ref="AR11">THETAGREEK($B11,100,0.01,AR$2,0.1)</f>
        <v>-9.8025618525143674</v>
      </c>
      <c r="AS11" s="2" cm="1">
        <f t="array" ref="AS11">THETAGREEK($B11,100,0.01,AS$2,0.1)</f>
        <v>-9.6835994949875062</v>
      </c>
      <c r="AT11" s="2" cm="1">
        <f t="array" ref="AT11">THETAGREEK($B11,100,0.01,AT$2,0.1)</f>
        <v>-9.5686018743291292</v>
      </c>
      <c r="AU11" s="2" cm="1">
        <f t="array" ref="AU11">THETAGREEK($B11,100,0.01,AU$2,0.1)</f>
        <v>-9.4573489169816778</v>
      </c>
      <c r="AV11" s="2" cm="1">
        <f t="array" ref="AV11">THETAGREEK($B11,100,0.01,AV$2,0.1)</f>
        <v>-9.3496373437785145</v>
      </c>
      <c r="AW11" s="2" cm="1">
        <f t="array" ref="AW11">THETAGREEK($B11,100,0.01,AW$2,0.1)</f>
        <v>-9.2452790554664208</v>
      </c>
      <c r="AX11" s="2" cm="1">
        <f t="array" ref="AX11">THETAGREEK($B11,100,0.01,AX$2,0.1)</f>
        <v>-9.1440997040469405</v>
      </c>
      <c r="AY11" s="2" cm="1">
        <f t="array" ref="AY11">THETAGREEK($B11,100,0.01,AY$2,0.1)</f>
        <v>-9.0459374251724967</v>
      </c>
      <c r="AZ11" s="2" cm="1">
        <f t="array" ref="AZ11">THETAGREEK($B11,100,0.01,AZ$2,0.1)</f>
        <v>-8.9506417105652982</v>
      </c>
    </row>
    <row r="12" spans="1:52" x14ac:dyDescent="0.3">
      <c r="A12" s="2"/>
      <c r="B12" s="2">
        <v>105</v>
      </c>
      <c r="C12" s="2" cm="1">
        <f t="array" ref="C12">THETAGREEK($B12,100,0.01,C$2,0.1)</f>
        <v>-19.6412711203002</v>
      </c>
      <c r="D12" s="2" cm="1">
        <f t="array" ref="D12">THETAGREEK($B12,100,0.01,D$2,0.1)</f>
        <v>-24.817162870663232</v>
      </c>
      <c r="E12" s="2" cm="1">
        <f t="array" ref="E12">THETAGREEK($B12,100,0.01,E$2,0.1)</f>
        <v>-24.63895605177273</v>
      </c>
      <c r="F12" s="2" cm="1">
        <f t="array" ref="F12">THETAGREEK($B12,100,0.01,F$2,0.1)</f>
        <v>-23.540649823996102</v>
      </c>
      <c r="G12" s="2" cm="1">
        <f t="array" ref="G12">THETAGREEK($B12,100,0.01,G$2,0.1)</f>
        <v>-22.338243095490935</v>
      </c>
      <c r="H12" s="2" cm="1">
        <f t="array" ref="H12">THETAGREEK($B12,100,0.01,H$2,0.1)</f>
        <v>-21.214029797964383</v>
      </c>
      <c r="I12" s="2" cm="1">
        <f t="array" ref="I12">THETAGREEK($B12,100,0.01,I$2,0.1)</f>
        <v>-20.203616961666036</v>
      </c>
      <c r="J12" s="2" cm="1">
        <f t="array" ref="J12">THETAGREEK($B12,100,0.01,J$2,0.1)</f>
        <v>-19.304067428522458</v>
      </c>
      <c r="K12" s="2" cm="1">
        <f t="array" ref="K12">THETAGREEK($B12,100,0.01,K$2,0.1)</f>
        <v>-18.502854564584236</v>
      </c>
      <c r="L12" s="2" cm="1">
        <f t="array" ref="L12">THETAGREEK($B12,100,0.01,L$2,0.1)</f>
        <v>-17.786330965441131</v>
      </c>
      <c r="M12" s="2" cm="1">
        <f t="array" ref="M12">THETAGREEK($B12,100,0.01,M$2,0.1)</f>
        <v>-17.142153601151332</v>
      </c>
      <c r="N12" s="2" cm="1">
        <f t="array" ref="N12">THETAGREEK($B12,100,0.01,N$2,0.1)</f>
        <v>-16.559801714825994</v>
      </c>
      <c r="O12" s="2" cm="1">
        <f t="array" ref="O12">THETAGREEK($B12,100,0.01,O$2,0.1)</f>
        <v>-16.030495463458493</v>
      </c>
      <c r="P12" s="2" cm="1">
        <f t="array" ref="P12">THETAGREEK($B12,100,0.01,P$2,0.1)</f>
        <v>-15.546952223409878</v>
      </c>
      <c r="Q12" s="2" cm="1">
        <f t="array" ref="Q12">THETAGREEK($B12,100,0.01,Q$2,0.1)</f>
        <v>-15.103127208786471</v>
      </c>
      <c r="R12" s="2" cm="1">
        <f t="array" ref="R12">THETAGREEK($B12,100,0.01,R$2,0.1)</f>
        <v>-14.693983708325431</v>
      </c>
      <c r="S12" s="2" cm="1">
        <f t="array" ref="S12">THETAGREEK($B12,100,0.01,S$2,0.1)</f>
        <v>-14.315302507543423</v>
      </c>
      <c r="T12" s="2" cm="1">
        <f t="array" ref="T12">THETAGREEK($B12,100,0.01,T$2,0.1)</f>
        <v>-13.963528052199383</v>
      </c>
      <c r="U12" s="2" cm="1">
        <f t="array" ref="U12">THETAGREEK($B12,100,0.01,U$2,0.1)</f>
        <v>-13.63564559438861</v>
      </c>
      <c r="V12" s="2" cm="1">
        <f t="array" ref="V12">THETAGREEK($B12,100,0.01,V$2,0.1)</f>
        <v>-13.329083347148842</v>
      </c>
      <c r="W12" s="2" cm="1">
        <f t="array" ref="W12">THETAGREEK($B12,100,0.01,W$2,0.1)</f>
        <v>-13.04163444209285</v>
      </c>
      <c r="X12" s="2" cm="1">
        <f t="array" ref="X12">THETAGREEK($B12,100,0.01,X$2,0.1)</f>
        <v>-12.771394449936844</v>
      </c>
      <c r="Y12" s="2" cm="1">
        <f t="array" ref="Y12">THETAGREEK($B12,100,0.01,Y$2,0.1)</f>
        <v>-12.516711113201044</v>
      </c>
      <c r="Z12" s="2" cm="1">
        <f t="array" ref="Z12">THETAGREEK($B12,100,0.01,Z$2,0.1)</f>
        <v>-12.276143679245296</v>
      </c>
      <c r="AA12" s="2" cm="1">
        <f t="array" ref="AA12">THETAGREEK($B12,100,0.01,AA$2,0.1)</f>
        <v>-12.048429808380945</v>
      </c>
      <c r="AB12" s="2" cm="1">
        <f t="array" ref="AB12">THETAGREEK($B12,100,0.01,AB$2,0.1)</f>
        <v>-11.832458487532847</v>
      </c>
      <c r="AC12" s="2" cm="1">
        <f t="array" ref="AC12">THETAGREEK($B12,100,0.01,AC$2,0.1)</f>
        <v>-11.627247730531039</v>
      </c>
      <c r="AD12" s="2" cm="1">
        <f t="array" ref="AD12">THETAGREEK($B12,100,0.01,AD$2,0.1)</f>
        <v>-11.431926114900559</v>
      </c>
      <c r="AE12" s="2" cm="1">
        <f t="array" ref="AE12">THETAGREEK($B12,100,0.01,AE$2,0.1)</f>
        <v>-11.245717411118827</v>
      </c>
      <c r="AF12" s="2" cm="1">
        <f t="array" ref="AF12">THETAGREEK($B12,100,0.01,AF$2,0.1)</f>
        <v>-11.067927718715532</v>
      </c>
      <c r="AG12" s="2" cm="1">
        <f t="array" ref="AG12">THETAGREEK($B12,100,0.01,AG$2,0.1)</f>
        <v>-10.89793464578637</v>
      </c>
      <c r="AH12" s="2" cm="1">
        <f t="array" ref="AH12">THETAGREEK($B12,100,0.01,AH$2,0.1)</f>
        <v>-10.735178163177988</v>
      </c>
      <c r="AI12" s="2" cm="1">
        <f t="array" ref="AI12">THETAGREEK($B12,100,0.01,AI$2,0.1)</f>
        <v>-10.579152838333236</v>
      </c>
      <c r="AJ12" s="2" cm="1">
        <f t="array" ref="AJ12">THETAGREEK($B12,100,0.01,AJ$2,0.1)</f>
        <v>-10.42940121149806</v>
      </c>
      <c r="AK12" s="2" cm="1">
        <f t="array" ref="AK12">THETAGREEK($B12,100,0.01,AK$2,0.1)</f>
        <v>-10.285508122403831</v>
      </c>
      <c r="AL12" s="2" cm="1">
        <f t="array" ref="AL12">THETAGREEK($B12,100,0.01,AL$2,0.1)</f>
        <v>-10.147095831461886</v>
      </c>
      <c r="AM12" s="2" cm="1">
        <f t="array" ref="AM12">THETAGREEK($B12,100,0.01,AM$2,0.1)</f>
        <v>-10.013819808073011</v>
      </c>
      <c r="AN12" s="2" cm="1">
        <f t="array" ref="AN12">THETAGREEK($B12,100,0.01,AN$2,0.1)</f>
        <v>-9.8853650814868477</v>
      </c>
      <c r="AO12" s="2" cm="1">
        <f t="array" ref="AO12">THETAGREEK($B12,100,0.01,AO$2,0.1)</f>
        <v>-9.7614430679876563</v>
      </c>
      <c r="AP12" s="2" cm="1">
        <f t="array" ref="AP12">THETAGREEK($B12,100,0.01,AP$2,0.1)</f>
        <v>-9.6417888029888186</v>
      </c>
      <c r="AQ12" s="2" cm="1">
        <f t="array" ref="AQ12">THETAGREEK($B12,100,0.01,AQ$2,0.1)</f>
        <v>-9.5261585186271329</v>
      </c>
      <c r="AR12" s="2" cm="1">
        <f t="array" ref="AR12">THETAGREEK($B12,100,0.01,AR$2,0.1)</f>
        <v>-9.4143275172324774</v>
      </c>
      <c r="AS12" s="2" cm="1">
        <f t="array" ref="AS12">THETAGREEK($B12,100,0.01,AS$2,0.1)</f>
        <v>-9.3060882990564089</v>
      </c>
      <c r="AT12" s="2" cm="1">
        <f t="array" ref="AT12">THETAGREEK($B12,100,0.01,AT$2,0.1)</f>
        <v>-9.2012489092249634</v>
      </c>
      <c r="AU12" s="2" cm="1">
        <f t="array" ref="AU12">THETAGREEK($B12,100,0.01,AU$2,0.1)</f>
        <v>-9.0996314743132114</v>
      </c>
      <c r="AV12" s="2" cm="1">
        <f t="array" ref="AV12">THETAGREEK($B12,100,0.01,AV$2,0.1)</f>
        <v>-9.0010709034402012</v>
      </c>
      <c r="AW12" s="2" cm="1">
        <f t="array" ref="AW12">THETAGREEK($B12,100,0.01,AW$2,0.1)</f>
        <v>-8.9054137325271636</v>
      </c>
      <c r="AX12" s="2" cm="1">
        <f t="array" ref="AX12">THETAGREEK($B12,100,0.01,AX$2,0.1)</f>
        <v>-8.8125170934876973</v>
      </c>
      <c r="AY12" s="2" cm="1">
        <f t="array" ref="AY12">THETAGREEK($B12,100,0.01,AY$2,0.1)</f>
        <v>-8.722247792737992</v>
      </c>
      <c r="AZ12" s="2" cm="1">
        <f t="array" ref="AZ12">THETAGREEK($B12,100,0.01,AZ$2,0.1)</f>
        <v>-8.6344814856172913</v>
      </c>
    </row>
    <row r="13" spans="1:52" x14ac:dyDescent="0.3">
      <c r="A13" s="2"/>
      <c r="B13" s="2">
        <v>110</v>
      </c>
      <c r="C13" s="2" cm="1">
        <f t="array" ref="C13">THETAGREEK($B13,100,0.01,C$2,0.1)</f>
        <v>-1.6376941448797746</v>
      </c>
      <c r="D13" s="2" cm="1">
        <f t="array" ref="D13">THETAGREEK($B13,100,0.01,D$2,0.1)</f>
        <v>-5.3617040425254707</v>
      </c>
      <c r="E13" s="2" cm="1">
        <f t="array" ref="E13">THETAGREEK($B13,100,0.01,E$2,0.1)</f>
        <v>-8.5729064607768102</v>
      </c>
      <c r="F13" s="2" cm="1">
        <f t="array" ref="F13">THETAGREEK($B13,100,0.01,F$2,0.1)</f>
        <v>-10.551676494815647</v>
      </c>
      <c r="G13" s="2" cm="1">
        <f t="array" ref="G13">THETAGREEK($B13,100,0.01,G$2,0.1)</f>
        <v>-11.695177384978861</v>
      </c>
      <c r="H13" s="2" cm="1">
        <f t="array" ref="H13">THETAGREEK($B13,100,0.01,H$2,0.1)</f>
        <v>-12.332139508548684</v>
      </c>
      <c r="I13" s="2" cm="1">
        <f t="array" ref="I13">THETAGREEK($B13,100,0.01,I$2,0.1)</f>
        <v>-12.662469510654653</v>
      </c>
      <c r="J13" s="2" cm="1">
        <f t="array" ref="J13">THETAGREEK($B13,100,0.01,J$2,0.1)</f>
        <v>-12.80390611987885</v>
      </c>
      <c r="K13" s="2" cm="1">
        <f t="array" ref="K13">THETAGREEK($B13,100,0.01,K$2,0.1)</f>
        <v>-12.826903933054137</v>
      </c>
      <c r="L13" s="2" cm="1">
        <f t="array" ref="L13">THETAGREEK($B13,100,0.01,L$2,0.1)</f>
        <v>-12.774715234040505</v>
      </c>
      <c r="M13" s="2" cm="1">
        <f t="array" ref="M13">THETAGREEK($B13,100,0.01,M$2,0.1)</f>
        <v>-12.674579119135862</v>
      </c>
      <c r="N13" s="2" cm="1">
        <f t="array" ref="N13">THETAGREEK($B13,100,0.01,N$2,0.1)</f>
        <v>-12.544042856424042</v>
      </c>
      <c r="O13" s="2" cm="1">
        <f t="array" ref="O13">THETAGREEK($B13,100,0.01,O$2,0.1)</f>
        <v>-12.394626922888872</v>
      </c>
      <c r="P13" s="2" cm="1">
        <f t="array" ref="P13">THETAGREEK($B13,100,0.01,P$2,0.1)</f>
        <v>-12.234010474361428</v>
      </c>
      <c r="Q13" s="2" cm="1">
        <f t="array" ref="Q13">THETAGREEK($B13,100,0.01,Q$2,0.1)</f>
        <v>-12.06737021883073</v>
      </c>
      <c r="R13" s="2" cm="1">
        <f t="array" ref="R13">THETAGREEK($B13,100,0.01,R$2,0.1)</f>
        <v>-11.898221287007974</v>
      </c>
      <c r="S13" s="2" cm="1">
        <f t="array" ref="S13">THETAGREEK($B13,100,0.01,S$2,0.1)</f>
        <v>-11.728957325140158</v>
      </c>
      <c r="T13" s="2" cm="1">
        <f t="array" ref="T13">THETAGREEK($B13,100,0.01,T$2,0.1)</f>
        <v>-11.561204437137437</v>
      </c>
      <c r="U13" s="2" cm="1">
        <f t="array" ref="U13">THETAGREEK($B13,100,0.01,U$2,0.1)</f>
        <v>-11.396057321030407</v>
      </c>
      <c r="V13" s="2" cm="1">
        <f t="array" ref="V13">THETAGREEK($B13,100,0.01,V$2,0.1)</f>
        <v>-11.234239328539291</v>
      </c>
      <c r="W13" s="2" cm="1">
        <f t="array" ref="W13">THETAGREEK($B13,100,0.01,W$2,0.1)</f>
        <v>-11.076212488163476</v>
      </c>
      <c r="X13" s="2" cm="1">
        <f t="array" ref="X13">THETAGREEK($B13,100,0.01,X$2,0.1)</f>
        <v>-10.922254070206449</v>
      </c>
      <c r="Y13" s="2" cm="1">
        <f t="array" ref="Y13">THETAGREEK($B13,100,0.01,Y$2,0.1)</f>
        <v>-10.772510442877861</v>
      </c>
      <c r="Z13" s="2" cm="1">
        <f t="array" ref="Z13">THETAGREEK($B13,100,0.01,Z$2,0.1)</f>
        <v>-10.627035306323666</v>
      </c>
      <c r="AA13" s="2" cm="1">
        <f t="array" ref="AA13">THETAGREEK($B13,100,0.01,AA$2,0.1)</f>
        <v>-10.485817048700348</v>
      </c>
      <c r="AB13" s="2" cm="1">
        <f t="array" ref="AB13">THETAGREEK($B13,100,0.01,AB$2,0.1)</f>
        <v>-10.348798444695246</v>
      </c>
      <c r="AC13" s="2" cm="1">
        <f t="array" ref="AC13">THETAGREEK($B13,100,0.01,AC$2,0.1)</f>
        <v>-10.215890910602321</v>
      </c>
      <c r="AD13" s="2" cm="1">
        <f t="array" ref="AD13">THETAGREEK($B13,100,0.01,AD$2,0.1)</f>
        <v>-10.086984856052883</v>
      </c>
      <c r="AE13" s="2" cm="1">
        <f t="array" ref="AE13">THETAGREEK($B13,100,0.01,AE$2,0.1)</f>
        <v>-9.9619572151439346</v>
      </c>
      <c r="AF13" s="2" cm="1">
        <f t="array" ref="AF13">THETAGREEK($B13,100,0.01,AF$2,0.1)</f>
        <v>-9.8406769256134243</v>
      </c>
      <c r="AG13" s="2" cm="1">
        <f t="array" ref="AG13">THETAGREEK($B13,100,0.01,AG$2,0.1)</f>
        <v>-9.7230089065995582</v>
      </c>
      <c r="AH13" s="2" cm="1">
        <f t="array" ref="AH13">THETAGREEK($B13,100,0.01,AH$2,0.1)</f>
        <v>-9.6088169324985433</v>
      </c>
      <c r="AI13" s="2" cm="1">
        <f t="array" ref="AI13">THETAGREEK($B13,100,0.01,AI$2,0.1)</f>
        <v>-9.4979656920551498</v>
      </c>
      <c r="AJ13" s="2" cm="1">
        <f t="array" ref="AJ13">THETAGREEK($B13,100,0.01,AJ$2,0.1)</f>
        <v>-9.39032224438286</v>
      </c>
      <c r="AK13" s="2" cm="1">
        <f t="array" ref="AK13">THETAGREEK($B13,100,0.01,AK$2,0.1)</f>
        <v>-9.28575702783154</v>
      </c>
      <c r="AL13" s="2" cm="1">
        <f t="array" ref="AL13">THETAGREEK($B13,100,0.01,AL$2,0.1)</f>
        <v>-9.1841445371408259</v>
      </c>
      <c r="AM13" s="2" cm="1">
        <f t="array" ref="AM13">THETAGREEK($B13,100,0.01,AM$2,0.1)</f>
        <v>-9.0853637547378572</v>
      </c>
      <c r="AN13" s="2" cm="1">
        <f t="array" ref="AN13">THETAGREEK($B13,100,0.01,AN$2,0.1)</f>
        <v>-8.989298400286021</v>
      </c>
      <c r="AO13" s="2" cm="1">
        <f t="array" ref="AO13">THETAGREEK($B13,100,0.01,AO$2,0.1)</f>
        <v>-8.8958370465028587</v>
      </c>
      <c r="AP13" s="2" cm="1">
        <f t="array" ref="AP13">THETAGREEK($B13,100,0.01,AP$2,0.1)</f>
        <v>-8.8048731373026143</v>
      </c>
      <c r="AQ13" s="2" cm="1">
        <f t="array" ref="AQ13">THETAGREEK($B13,100,0.01,AQ$2,0.1)</f>
        <v>-8.7163049353816415</v>
      </c>
      <c r="AR13" s="2" cm="1">
        <f t="array" ref="AR13">THETAGREEK($B13,100,0.01,AR$2,0.1)</f>
        <v>-8.6300354196591513</v>
      </c>
      <c r="AS13" s="2" cm="1">
        <f t="array" ref="AS13">THETAGREEK($B13,100,0.01,AS$2,0.1)</f>
        <v>-8.545972147935661</v>
      </c>
      <c r="AT13" s="2" cm="1">
        <f t="array" ref="AT13">THETAGREEK($B13,100,0.01,AT$2,0.1)</f>
        <v>-8.4640270963154052</v>
      </c>
      <c r="AU13" s="2" cm="1">
        <f t="array" ref="AU13">THETAGREEK($B13,100,0.01,AU$2,0.1)</f>
        <v>-8.3841164840479578</v>
      </c>
      <c r="AV13" s="2" cm="1">
        <f t="array" ref="AV13">THETAGREEK($B13,100,0.01,AV$2,0.1)</f>
        <v>-8.3061605902487372</v>
      </c>
      <c r="AW13" s="2" cm="1">
        <f t="array" ref="AW13">THETAGREEK($B13,100,0.01,AW$2,0.1)</f>
        <v>-8.2300835672885793</v>
      </c>
      <c r="AX13" s="2" cm="1">
        <f t="array" ref="AX13">THETAGREEK($B13,100,0.01,AX$2,0.1)</f>
        <v>-8.1558132543712301</v>
      </c>
      <c r="AY13" s="2" cm="1">
        <f t="array" ref="AY13">THETAGREEK($B13,100,0.01,AY$2,0.1)</f>
        <v>-8.083280993849792</v>
      </c>
      <c r="AZ13" s="2" cm="1">
        <f t="array" ref="AZ13">THETAGREEK($B13,100,0.01,AZ$2,0.1)</f>
        <v>-8.0124214520964081</v>
      </c>
    </row>
    <row r="14" spans="1:52" x14ac:dyDescent="0.3">
      <c r="A14" s="2"/>
      <c r="B14" s="2">
        <v>115</v>
      </c>
      <c r="C14" s="2" cm="1">
        <f t="array" ref="C14">THETAGREEK($B14,100,0.01,C$2,0.1)</f>
        <v>-1.0023642711543899</v>
      </c>
      <c r="D14" s="2" cm="1">
        <f t="array" ref="D14">THETAGREEK($B14,100,0.01,D$2,0.1)</f>
        <v>-1.3113954132707411</v>
      </c>
      <c r="E14" s="2" cm="1">
        <f t="array" ref="E14">THETAGREEK($B14,100,0.01,E$2,0.1)</f>
        <v>-2.2971249831279716</v>
      </c>
      <c r="F14" s="2" cm="1">
        <f t="array" ref="F14">THETAGREEK($B14,100,0.01,F$2,0.1)</f>
        <v>-3.5312157150927885</v>
      </c>
      <c r="G14" s="2" cm="1">
        <f t="array" ref="G14">THETAGREEK($B14,100,0.01,G$2,0.1)</f>
        <v>-4.6821913807581561</v>
      </c>
      <c r="H14" s="2" cm="1">
        <f t="array" ref="H14">THETAGREEK($B14,100,0.01,H$2,0.1)</f>
        <v>-5.6452268190100821</v>
      </c>
      <c r="I14" s="2" cm="1">
        <f t="array" ref="I14">THETAGREEK($B14,100,0.01,I$2,0.1)</f>
        <v>-6.4152295378752946</v>
      </c>
      <c r="J14" s="2" cm="1">
        <f t="array" ref="J14">THETAGREEK($B14,100,0.01,J$2,0.1)</f>
        <v>-7.0180616017419837</v>
      </c>
      <c r="K14" s="2" cm="1">
        <f t="array" ref="K14">THETAGREEK($B14,100,0.01,K$2,0.1)</f>
        <v>-7.4846824291533025</v>
      </c>
      <c r="L14" s="2" cm="1">
        <f t="array" ref="L14">THETAGREEK($B14,100,0.01,L$2,0.1)</f>
        <v>-7.8429301341319979</v>
      </c>
      <c r="M14" s="2" cm="1">
        <f t="array" ref="M14">THETAGREEK($B14,100,0.01,M$2,0.1)</f>
        <v>-8.1156662766014627</v>
      </c>
      <c r="N14" s="2" cm="1">
        <f t="array" ref="N14">THETAGREEK($B14,100,0.01,N$2,0.1)</f>
        <v>-8.321010616376638</v>
      </c>
      <c r="O14" s="2" cm="1">
        <f t="array" ref="O14">THETAGREEK($B14,100,0.01,O$2,0.1)</f>
        <v>-8.4731304183025049</v>
      </c>
      <c r="P14" s="2" cm="1">
        <f t="array" ref="P14">THETAGREEK($B14,100,0.01,P$2,0.1)</f>
        <v>-8.5830634127982552</v>
      </c>
      <c r="Q14" s="2" cm="1">
        <f t="array" ref="Q14">THETAGREEK($B14,100,0.01,Q$2,0.1)</f>
        <v>-8.6594213523179295</v>
      </c>
      <c r="R14" s="2" cm="1">
        <f t="array" ref="R14">THETAGREEK($B14,100,0.01,R$2,0.1)</f>
        <v>-8.7089496218556288</v>
      </c>
      <c r="S14" s="2" cm="1">
        <f t="array" ref="S14">THETAGREEK($B14,100,0.01,S$2,0.1)</f>
        <v>-8.7369589279469846</v>
      </c>
      <c r="T14" s="2" cm="1">
        <f t="array" ref="T14">THETAGREEK($B14,100,0.01,T$2,0.1)</f>
        <v>-8.7476541141241473</v>
      </c>
      <c r="U14" s="2" cm="1">
        <f t="array" ref="U14">THETAGREEK($B14,100,0.01,U$2,0.1)</f>
        <v>-8.7443836700980402</v>
      </c>
      <c r="V14" s="2" cm="1">
        <f t="array" ref="V14">THETAGREEK($B14,100,0.01,V$2,0.1)</f>
        <v>-8.7298292381043563</v>
      </c>
      <c r="W14" s="2" cm="1">
        <f t="array" ref="W14">THETAGREEK($B14,100,0.01,W$2,0.1)</f>
        <v>-8.7061500538935785</v>
      </c>
      <c r="X14" s="2" cm="1">
        <f t="array" ref="X14">THETAGREEK($B14,100,0.01,X$2,0.1)</f>
        <v>-8.6750935852414912</v>
      </c>
      <c r="Y14" s="2" cm="1">
        <f t="array" ref="Y14">THETAGREEK($B14,100,0.01,Y$2,0.1)</f>
        <v>-8.6380807631780456</v>
      </c>
      <c r="Z14" s="2" cm="1">
        <f t="array" ref="Z14">THETAGREEK($B14,100,0.01,Z$2,0.1)</f>
        <v>-8.5962720392990004</v>
      </c>
      <c r="AA14" s="2" cm="1">
        <f t="array" ref="AA14">THETAGREEK($B14,100,0.01,AA$2,0.1)</f>
        <v>-8.5506188991221084</v>
      </c>
      <c r="AB14" s="2" cm="1">
        <f t="array" ref="AB14">THETAGREEK($B14,100,0.01,AB$2,0.1)</f>
        <v>-8.5019042803398399</v>
      </c>
      <c r="AC14" s="2" cm="1">
        <f t="array" ref="AC14">THETAGREEK($B14,100,0.01,AC$2,0.1)</f>
        <v>-8.4507744761463464</v>
      </c>
      <c r="AD14" s="2" cm="1">
        <f t="array" ref="AD14">THETAGREEK($B14,100,0.01,AD$2,0.1)</f>
        <v>-8.3977644639530311</v>
      </c>
      <c r="AE14" s="2" cm="1">
        <f t="array" ref="AE14">THETAGREEK($B14,100,0.01,AE$2,0.1)</f>
        <v>-8.343318126884693</v>
      </c>
      <c r="AF14" s="2" cm="1">
        <f t="array" ref="AF14">THETAGREEK($B14,100,0.01,AF$2,0.1)</f>
        <v>-8.2878044843300405</v>
      </c>
      <c r="AG14" s="2" cm="1">
        <f t="array" ref="AG14">THETAGREEK($B14,100,0.01,AG$2,0.1)</f>
        <v>-8.2315307857805884</v>
      </c>
      <c r="AH14" s="2" cm="1">
        <f t="array" ref="AH14">THETAGREEK($B14,100,0.01,AH$2,0.1)</f>
        <v>-8.1747531255422601</v>
      </c>
      <c r="AI14" s="2" cm="1">
        <f t="array" ref="AI14">THETAGREEK($B14,100,0.01,AI$2,0.1)</f>
        <v>-8.1176850874776534</v>
      </c>
      <c r="AJ14" s="2" cm="1">
        <f t="array" ref="AJ14">THETAGREEK($B14,100,0.01,AJ$2,0.1)</f>
        <v>-8.060504816257998</v>
      </c>
      <c r="AK14" s="2" cm="1">
        <f t="array" ref="AK14">THETAGREEK($B14,100,0.01,AK$2,0.1)</f>
        <v>-8.0033608255682562</v>
      </c>
      <c r="AL14" s="2" cm="1">
        <f t="array" ref="AL14">THETAGREEK($B14,100,0.01,AL$2,0.1)</f>
        <v>-7.9463767876430875</v>
      </c>
      <c r="AM14" s="2" cm="1">
        <f t="array" ref="AM14">THETAGREEK($B14,100,0.01,AM$2,0.1)</f>
        <v>-7.8896554974974764</v>
      </c>
      <c r="AN14" s="2" cm="1">
        <f t="array" ref="AN14">THETAGREEK($B14,100,0.01,AN$2,0.1)</f>
        <v>-7.8332821656111573</v>
      </c>
      <c r="AO14" s="2" cm="1">
        <f t="array" ref="AO14">THETAGREEK($B14,100,0.01,AO$2,0.1)</f>
        <v>-7.7773271619168778</v>
      </c>
      <c r="AP14" s="2" cm="1">
        <f t="array" ref="AP14">THETAGREEK($B14,100,0.01,AP$2,0.1)</f>
        <v>-7.7218483096971697</v>
      </c>
      <c r="AQ14" s="2" cm="1">
        <f t="array" ref="AQ14">THETAGREEK($B14,100,0.01,AQ$2,0.1)</f>
        <v>-7.6668928088823805</v>
      </c>
      <c r="AR14" s="2" cm="1">
        <f t="array" ref="AR14">THETAGREEK($B14,100,0.01,AR$2,0.1)</f>
        <v>-7.6124988531058584</v>
      </c>
      <c r="AS14" s="2" cm="1">
        <f t="array" ref="AS14">THETAGREEK($B14,100,0.01,AS$2,0.1)</f>
        <v>-7.558696992828823</v>
      </c>
      <c r="AT14" s="2" cm="1">
        <f t="array" ref="AT14">THETAGREEK($B14,100,0.01,AT$2,0.1)</f>
        <v>-7.5055112872230145</v>
      </c>
      <c r="AU14" s="2" cm="1">
        <f t="array" ref="AU14">THETAGREEK($B14,100,0.01,AU$2,0.1)</f>
        <v>-7.4529602797753887</v>
      </c>
      <c r="AV14" s="2" cm="1">
        <f t="array" ref="AV14">THETAGREEK($B14,100,0.01,AV$2,0.1)</f>
        <v>-7.4010578263550792</v>
      </c>
      <c r="AW14" s="2" cm="1">
        <f t="array" ref="AW14">THETAGREEK($B14,100,0.01,AW$2,0.1)</f>
        <v>-7.3498137994477766</v>
      </c>
      <c r="AX14" s="2" cm="1">
        <f t="array" ref="AX14">THETAGREEK($B14,100,0.01,AX$2,0.1)</f>
        <v>-7.2992346881739483</v>
      </c>
      <c r="AY14" s="2" cm="1">
        <f t="array" ref="AY14">THETAGREEK($B14,100,0.01,AY$2,0.1)</f>
        <v>-7.2493241103749746</v>
      </c>
      <c r="AZ14" s="2" cm="1">
        <f t="array" ref="AZ14">THETAGREEK($B14,100,0.01,AZ$2,0.1)</f>
        <v>-7.2000832503259753</v>
      </c>
    </row>
    <row r="15" spans="1:52" x14ac:dyDescent="0.3">
      <c r="A15" s="2"/>
      <c r="B15" s="2">
        <v>120</v>
      </c>
      <c r="C15" s="2" cm="1">
        <f t="array" ref="C15">THETAGREEK($B15,100,0.01,C$2,0.1)</f>
        <v>-0.99900397611210756</v>
      </c>
      <c r="D15" s="2" cm="1">
        <f t="array" ref="D15">THETAGREEK($B15,100,0.01,D$2,0.1)</f>
        <v>-1.0079740663763797</v>
      </c>
      <c r="E15" s="2" cm="1">
        <f t="array" ref="E15">THETAGREEK($B15,100,0.01,E$2,0.1)</f>
        <v>-1.1266838123665093</v>
      </c>
      <c r="F15" s="2" cm="1">
        <f t="array" ref="F15">THETAGREEK($B15,100,0.01,F$2,0.1)</f>
        <v>-1.4437532270982985</v>
      </c>
      <c r="G15" s="2" cm="1">
        <f t="array" ref="G15">THETAGREEK($B15,100,0.01,G$2,0.1)</f>
        <v>-1.9125272465668401</v>
      </c>
      <c r="H15" s="2" cm="1">
        <f t="array" ref="H15">THETAGREEK($B15,100,0.01,H$2,0.1)</f>
        <v>-2.448703057439813</v>
      </c>
      <c r="I15" s="2" cm="1">
        <f t="array" ref="I15">THETAGREEK($B15,100,0.01,I$2,0.1)</f>
        <v>-2.989706625622659</v>
      </c>
      <c r="J15" s="2" cm="1">
        <f t="array" ref="J15">THETAGREEK($B15,100,0.01,J$2,0.1)</f>
        <v>-3.5002849366235611</v>
      </c>
      <c r="K15" s="2" cm="1">
        <f t="array" ref="K15">THETAGREEK($B15,100,0.01,K$2,0.1)</f>
        <v>-3.9642080433124098</v>
      </c>
      <c r="L15" s="2" cm="1">
        <f t="array" ref="L15">THETAGREEK($B15,100,0.01,L$2,0.1)</f>
        <v>-4.3763326739248836</v>
      </c>
      <c r="M15" s="2" cm="1">
        <f t="array" ref="M15">THETAGREEK($B15,100,0.01,M$2,0.1)</f>
        <v>-4.737369177743326</v>
      </c>
      <c r="N15" s="2" cm="1">
        <f t="array" ref="N15">THETAGREEK($B15,100,0.01,N$2,0.1)</f>
        <v>-5.0508250665674161</v>
      </c>
      <c r="O15" s="2" cm="1">
        <f t="array" ref="O15">THETAGREEK($B15,100,0.01,O$2,0.1)</f>
        <v>-5.3213243003950819</v>
      </c>
      <c r="P15" s="2" cm="1">
        <f t="array" ref="P15">THETAGREEK($B15,100,0.01,P$2,0.1)</f>
        <v>-5.5537251685299021</v>
      </c>
      <c r="Q15" s="2" cm="1">
        <f t="array" ref="Q15">THETAGREEK($B15,100,0.01,Q$2,0.1)</f>
        <v>-5.7526836813231785</v>
      </c>
      <c r="R15" s="2" cm="1">
        <f t="array" ref="R15">THETAGREEK($B15,100,0.01,R$2,0.1)</f>
        <v>-5.9224592259705116</v>
      </c>
      <c r="S15" s="2" cm="1">
        <f t="array" ref="S15">THETAGREEK($B15,100,0.01,S$2,0.1)</f>
        <v>-6.0668486006023725</v>
      </c>
      <c r="T15" s="2" cm="1">
        <f t="array" ref="T15">THETAGREEK($B15,100,0.01,T$2,0.1)</f>
        <v>-6.1891855368517303</v>
      </c>
      <c r="U15" s="2" cm="1">
        <f t="array" ref="U15">THETAGREEK($B15,100,0.01,U$2,0.1)</f>
        <v>-6.2923713955932872</v>
      </c>
      <c r="V15" s="2" cm="1">
        <f t="array" ref="V15">THETAGREEK($B15,100,0.01,V$2,0.1)</f>
        <v>-6.3789186044227284</v>
      </c>
      <c r="W15" s="2" cm="1">
        <f t="array" ref="W15">THETAGREEK($B15,100,0.01,W$2,0.1)</f>
        <v>-6.4509971932314345</v>
      </c>
      <c r="X15" s="2" cm="1">
        <f t="array" ref="X15">THETAGREEK($B15,100,0.01,X$2,0.1)</f>
        <v>-6.5104796186049567</v>
      </c>
      <c r="Y15" s="2" cm="1">
        <f t="array" ref="Y15">THETAGREEK($B15,100,0.01,Y$2,0.1)</f>
        <v>-6.5589817005853766</v>
      </c>
      <c r="Z15" s="2" cm="1">
        <f t="array" ref="Z15">THETAGREEK($B15,100,0.01,Z$2,0.1)</f>
        <v>-6.5978989025242747</v>
      </c>
      <c r="AA15" s="2" cm="1">
        <f t="array" ref="AA15">THETAGREEK($B15,100,0.01,AA$2,0.1)</f>
        <v>-6.6284379112376124</v>
      </c>
      <c r="AB15" s="2" cm="1">
        <f t="array" ref="AB15">THETAGREEK($B15,100,0.01,AB$2,0.1)</f>
        <v>-6.651643825591778</v>
      </c>
      <c r="AC15" s="2" cm="1">
        <f t="array" ref="AC15">THETAGREEK($B15,100,0.01,AC$2,0.1)</f>
        <v>-6.6684234081832283</v>
      </c>
      <c r="AD15" s="2" cm="1">
        <f t="array" ref="AD15">THETAGREEK($B15,100,0.01,AD$2,0.1)</f>
        <v>-6.6795648929102232</v>
      </c>
      <c r="AE15" s="2" cm="1">
        <f t="array" ref="AE15">THETAGREEK($B15,100,0.01,AE$2,0.1)</f>
        <v>-6.6857548245656613</v>
      </c>
      <c r="AF15" s="2" cm="1">
        <f t="array" ref="AF15">THETAGREEK($B15,100,0.01,AF$2,0.1)</f>
        <v>-6.68759236472295</v>
      </c>
      <c r="AG15" s="2" cm="1">
        <f t="array" ref="AG15">THETAGREEK($B15,100,0.01,AG$2,0.1)</f>
        <v>-6.6856014471930321</v>
      </c>
      <c r="AH15" s="2" cm="1">
        <f t="array" ref="AH15">THETAGREEK($B15,100,0.01,AH$2,0.1)</f>
        <v>-6.6802411145961011</v>
      </c>
      <c r="AI15" s="2" cm="1">
        <f t="array" ref="AI15">THETAGREEK($B15,100,0.01,AI$2,0.1)</f>
        <v>-6.6719143192237373</v>
      </c>
      <c r="AJ15" s="2" cm="1">
        <f t="array" ref="AJ15">THETAGREEK($B15,100,0.01,AJ$2,0.1)</f>
        <v>-6.6609754281087552</v>
      </c>
      <c r="AK15" s="2" cm="1">
        <f t="array" ref="AK15">THETAGREEK($B15,100,0.01,AK$2,0.1)</f>
        <v>-6.6477366345434783</v>
      </c>
      <c r="AL15" s="2" cm="1">
        <f t="array" ref="AL15">THETAGREEK($B15,100,0.01,AL$2,0.1)</f>
        <v>-6.6324734460150614</v>
      </c>
      <c r="AM15" s="2" cm="1">
        <f t="array" ref="AM15">THETAGREEK($B15,100,0.01,AM$2,0.1)</f>
        <v>-6.6154293911795623</v>
      </c>
      <c r="AN15" s="2" cm="1">
        <f t="array" ref="AN15">THETAGREEK($B15,100,0.01,AN$2,0.1)</f>
        <v>-6.5968200654839197</v>
      </c>
      <c r="AO15" s="2" cm="1">
        <f t="array" ref="AO15">THETAGREEK($B15,100,0.01,AO$2,0.1)</f>
        <v>-6.5768366157647895</v>
      </c>
      <c r="AP15" s="2" cm="1">
        <f t="array" ref="AP15">THETAGREEK($B15,100,0.01,AP$2,0.1)</f>
        <v>-6.5556487480426995</v>
      </c>
      <c r="AQ15" s="2" cm="1">
        <f t="array" ref="AQ15">THETAGREEK($B15,100,0.01,AQ$2,0.1)</f>
        <v>-6.5334073292864181</v>
      </c>
      <c r="AR15" s="2" cm="1">
        <f t="array" ref="AR15">THETAGREEK($B15,100,0.01,AR$2,0.1)</f>
        <v>-6.5102466427095633</v>
      </c>
      <c r="AS15" s="2" cm="1">
        <f t="array" ref="AS15">THETAGREEK($B15,100,0.01,AS$2,0.1)</f>
        <v>-6.4862863468071721</v>
      </c>
      <c r="AT15" s="2" cm="1">
        <f t="array" ref="AT15">THETAGREEK($B15,100,0.01,AT$2,0.1)</f>
        <v>-6.4616331805305629</v>
      </c>
      <c r="AU15" s="2" cm="1">
        <f t="array" ref="AU15">THETAGREEK($B15,100,0.01,AU$2,0.1)</f>
        <v>-6.4363824504722524</v>
      </c>
      <c r="AV15" s="2" cm="1">
        <f t="array" ref="AV15">THETAGREEK($B15,100,0.01,AV$2,0.1)</f>
        <v>-6.4106193304706798</v>
      </c>
      <c r="AW15" s="2" cm="1">
        <f t="array" ref="AW15">THETAGREEK($B15,100,0.01,AW$2,0.1)</f>
        <v>-6.3844199994664361</v>
      </c>
      <c r="AX15" s="2" cm="1">
        <f t="array" ref="AX15">THETAGREEK($B15,100,0.01,AX$2,0.1)</f>
        <v>-6.3578526395977972</v>
      </c>
      <c r="AY15" s="2" cm="1">
        <f t="array" ref="AY15">THETAGREEK($B15,100,0.01,AY$2,0.1)</f>
        <v>-6.3309783132900419</v>
      </c>
      <c r="AZ15" s="2" cm="1">
        <f t="array" ref="AZ15">THETAGREEK($B15,100,0.01,AZ$2,0.1)</f>
        <v>-6.3038517353682249</v>
      </c>
    </row>
    <row r="16" spans="1:52" x14ac:dyDescent="0.3">
      <c r="A16" s="2"/>
      <c r="B16" s="2">
        <v>125</v>
      </c>
      <c r="C16" s="2" cm="1">
        <f t="array" ref="C16">THETAGREEK($B16,100,0.01,C$2,0.1)</f>
        <v>-0.99900050070060253</v>
      </c>
      <c r="D16" s="2" cm="1">
        <f t="array" ref="D16">THETAGREEK($B16,100,0.01,D$2,0.1)</f>
        <v>-0.99815794453255258</v>
      </c>
      <c r="E16" s="2" cm="1">
        <f t="array" ref="E16">THETAGREEK($B16,100,0.01,E$2,0.1)</f>
        <v>-1.0050611714104691</v>
      </c>
      <c r="F16" s="2" cm="1">
        <f t="array" ref="F16">THETAGREEK($B16,100,0.01,F$2,0.1)</f>
        <v>-1.0514565306320405</v>
      </c>
      <c r="G16" s="2" cm="1">
        <f t="array" ref="G16">THETAGREEK($B16,100,0.01,G$2,0.1)</f>
        <v>-1.1668961476038686</v>
      </c>
      <c r="H16" s="2" cm="1">
        <f t="array" ref="H16">THETAGREEK($B16,100,0.01,H$2,0.1)</f>
        <v>-1.3531428277893387</v>
      </c>
      <c r="I16" s="2" cm="1">
        <f t="array" ref="I16">THETAGREEK($B16,100,0.01,I$2,0.1)</f>
        <v>-1.5933769820568591</v>
      </c>
      <c r="J16" s="2" cm="1">
        <f t="array" ref="J16">THETAGREEK($B16,100,0.01,J$2,0.1)</f>
        <v>-1.8663965175540675</v>
      </c>
      <c r="K16" s="2" cm="1">
        <f t="array" ref="K16">THETAGREEK($B16,100,0.01,K$2,0.1)</f>
        <v>-2.1538244121847803</v>
      </c>
      <c r="L16" s="2" cm="1">
        <f t="array" ref="L16">THETAGREEK($B16,100,0.01,L$2,0.1)</f>
        <v>-2.442078087337606</v>
      </c>
      <c r="M16" s="2" cm="1">
        <f t="array" ref="M16">THETAGREEK($B16,100,0.01,M$2,0.1)</f>
        <v>-2.7220511312416993</v>
      </c>
      <c r="N16" s="2" cm="1">
        <f t="array" ref="N16">THETAGREEK($B16,100,0.01,N$2,0.1)</f>
        <v>-2.9881305156566333</v>
      </c>
      <c r="O16" s="2" cm="1">
        <f t="array" ref="O16">THETAGREEK($B16,100,0.01,O$2,0.1)</f>
        <v>-3.2372054804031092</v>
      </c>
      <c r="P16" s="2" cm="1">
        <f t="array" ref="P16">THETAGREEK($B16,100,0.01,P$2,0.1)</f>
        <v>-3.4678666786059122</v>
      </c>
      <c r="Q16" s="2" cm="1">
        <f t="array" ref="Q16">THETAGREEK($B16,100,0.01,Q$2,0.1)</f>
        <v>-3.6798162834623072</v>
      </c>
      <c r="R16" s="2" cm="1">
        <f t="array" ref="R16">THETAGREEK($B16,100,0.01,R$2,0.1)</f>
        <v>-3.8734541009389818</v>
      </c>
      <c r="S16" s="2" cm="1">
        <f t="array" ref="S16">THETAGREEK($B16,100,0.01,S$2,0.1)</f>
        <v>-4.0495957120620814</v>
      </c>
      <c r="T16" s="2" cm="1">
        <f t="array" ref="T16">THETAGREEK($B16,100,0.01,T$2,0.1)</f>
        <v>-4.2092846622992823</v>
      </c>
      <c r="U16" s="2" cm="1">
        <f t="array" ref="U16">THETAGREEK($B16,100,0.01,U$2,0.1)</f>
        <v>-4.3536697516277414</v>
      </c>
      <c r="V16" s="2" cm="1">
        <f t="array" ref="V16">THETAGREEK($B16,100,0.01,V$2,0.1)</f>
        <v>-4.4839266038430958</v>
      </c>
      <c r="W16" s="2" cm="1">
        <f t="array" ref="W16">THETAGREEK($B16,100,0.01,W$2,0.1)</f>
        <v>-4.6012089862150063</v>
      </c>
      <c r="X16" s="2" cm="1">
        <f t="array" ref="X16">THETAGREEK($B16,100,0.01,X$2,0.1)</f>
        <v>-4.7066199136300533</v>
      </c>
      <c r="Y16" s="2" cm="1">
        <f t="array" ref="Y16">THETAGREEK($B16,100,0.01,Y$2,0.1)</f>
        <v>-4.8011957709315762</v>
      </c>
      <c r="Z16" s="2" cm="1">
        <f t="array" ref="Z16">THETAGREEK($B16,100,0.01,Z$2,0.1)</f>
        <v>-4.8858988901224985</v>
      </c>
      <c r="AA16" s="2" cm="1">
        <f t="array" ref="AA16">THETAGREEK($B16,100,0.01,AA$2,0.1)</f>
        <v>-4.9616155205922086</v>
      </c>
      <c r="AB16" s="2" cm="1">
        <f t="array" ref="AB16">THETAGREEK($B16,100,0.01,AB$2,0.1)</f>
        <v>-5.0291571481663233</v>
      </c>
      <c r="AC16" s="2" cm="1">
        <f t="array" ref="AC16">THETAGREEK($B16,100,0.01,AC$2,0.1)</f>
        <v>-5.0892638062744417</v>
      </c>
      <c r="AD16" s="2" cm="1">
        <f t="array" ref="AD16">THETAGREEK($B16,100,0.01,AD$2,0.1)</f>
        <v>-5.1426084860389487</v>
      </c>
      <c r="AE16" s="2" cm="1">
        <f t="array" ref="AE16">THETAGREEK($B16,100,0.01,AE$2,0.1)</f>
        <v>-5.1898020640277061</v>
      </c>
      <c r="AF16" s="2" cm="1">
        <f t="array" ref="AF16">THETAGREEK($B16,100,0.01,AF$2,0.1)</f>
        <v>-5.231398375886033</v>
      </c>
      <c r="AG16" s="2" cm="1">
        <f t="array" ref="AG16">THETAGREEK($B16,100,0.01,AG$2,0.1)</f>
        <v>-5.2678992042683106</v>
      </c>
      <c r="AH16" s="2" cm="1">
        <f t="array" ref="AH16">THETAGREEK($B16,100,0.01,AH$2,0.1)</f>
        <v>-5.2997590428618402</v>
      </c>
      <c r="AI16" s="2" cm="1">
        <f t="array" ref="AI16">THETAGREEK($B16,100,0.01,AI$2,0.1)</f>
        <v>-5.3273895600045433</v>
      </c>
      <c r="AJ16" s="2" cm="1">
        <f t="array" ref="AJ16">THETAGREEK($B16,100,0.01,AJ$2,0.1)</f>
        <v>-5.3511637257129783</v>
      </c>
      <c r="AK16" s="2" cm="1">
        <f t="array" ref="AK16">THETAGREEK($B16,100,0.01,AK$2,0.1)</f>
        <v>-5.3714195918204126</v>
      </c>
      <c r="AL16" s="2" cm="1">
        <f t="array" ref="AL16">THETAGREEK($B16,100,0.01,AL$2,0.1)</f>
        <v>-5.3884637311026227</v>
      </c>
      <c r="AM16" s="2" cm="1">
        <f t="array" ref="AM16">THETAGREEK($B16,100,0.01,AM$2,0.1)</f>
        <v>-5.4025743509529915</v>
      </c>
      <c r="AN16" s="2" cm="1">
        <f t="array" ref="AN16">THETAGREEK($B16,100,0.01,AN$2,0.1)</f>
        <v>-5.4140041025419086</v>
      </c>
      <c r="AO16" s="2" cm="1">
        <f t="array" ref="AO16">THETAGREEK($B16,100,0.01,AO$2,0.1)</f>
        <v>-5.4229826089407043</v>
      </c>
      <c r="AP16" s="2" cm="1">
        <f t="array" ref="AP16">THETAGREEK($B16,100,0.01,AP$2,0.1)</f>
        <v>-5.42971873641355</v>
      </c>
      <c r="AQ16" s="2" cm="1">
        <f t="array" ref="AQ16">THETAGREEK($B16,100,0.01,AQ$2,0.1)</f>
        <v>-5.4344026326614179</v>
      </c>
      <c r="AR16" s="2" cm="1">
        <f t="array" ref="AR16">THETAGREEK($B16,100,0.01,AR$2,0.1)</f>
        <v>-5.4372075546973209</v>
      </c>
      <c r="AS16" s="2" cm="1">
        <f t="array" ref="AS16">THETAGREEK($B16,100,0.01,AS$2,0.1)</f>
        <v>-5.4382915075460678</v>
      </c>
      <c r="AT16" s="2" cm="1">
        <f t="array" ref="AT16">THETAGREEK($B16,100,0.01,AT$2,0.1)</f>
        <v>-5.4377987132956642</v>
      </c>
      <c r="AU16" s="2" cm="1">
        <f t="array" ref="AU16">THETAGREEK($B16,100,0.01,AU$2,0.1)</f>
        <v>-5.4358609283103236</v>
      </c>
      <c r="AV16" s="2" cm="1">
        <f t="array" ref="AV16">THETAGREEK($B16,100,0.01,AV$2,0.1)</f>
        <v>-5.4325986247290512</v>
      </c>
      <c r="AW16" s="2" cm="1">
        <f t="array" ref="AW16">THETAGREEK($B16,100,0.01,AW$2,0.1)</f>
        <v>-5.4281220507671835</v>
      </c>
      <c r="AX16" s="2" cm="1">
        <f t="array" ref="AX16">THETAGREEK($B16,100,0.01,AX$2,0.1)</f>
        <v>-5.4225321828390856</v>
      </c>
      <c r="AY16" s="2" cm="1">
        <f t="array" ref="AY16">THETAGREEK($B16,100,0.01,AY$2,0.1)</f>
        <v>-5.4159215811406751</v>
      </c>
      <c r="AZ16" s="2" cm="1">
        <f t="array" ref="AZ16">THETAGREEK($B16,100,0.01,AZ$2,0.1)</f>
        <v>-5.4083751590745601</v>
      </c>
    </row>
    <row r="17" spans="1:52" x14ac:dyDescent="0.3">
      <c r="A17" s="2"/>
      <c r="B17" s="2">
        <v>130</v>
      </c>
      <c r="C17" s="2" cm="1">
        <f t="array" ref="C17">THETAGREEK($B17,100,0.01,C$2,0.1)</f>
        <v>-0.99900049983343742</v>
      </c>
      <c r="D17" s="2" cm="1">
        <f t="array" ref="D17">THETAGREEK($B17,100,0.01,D$2,0.1)</f>
        <v>-0.9980033081741595</v>
      </c>
      <c r="E17" s="2" cm="1">
        <f t="array" ref="E17">THETAGREEK($B17,100,0.01,E$2,0.1)</f>
        <v>-0.99733523605550856</v>
      </c>
      <c r="F17" s="2" cm="1">
        <f t="array" ref="F17">THETAGREEK($B17,100,0.01,F$2,0.1)</f>
        <v>-1.0010411415495206</v>
      </c>
      <c r="G17" s="2" cm="1">
        <f t="array" ref="G17">THETAGREEK($B17,100,0.01,G$2,0.1)</f>
        <v>-1.0201295889446176</v>
      </c>
      <c r="H17" s="2" cm="1">
        <f t="array" ref="H17">THETAGREEK($B17,100,0.01,H$2,0.1)</f>
        <v>-1.0661034642018876</v>
      </c>
      <c r="I17" s="2" cm="1">
        <f t="array" ref="I17">THETAGREEK($B17,100,0.01,I$2,0.1)</f>
        <v>-1.1442042727953385</v>
      </c>
      <c r="J17" s="2" cm="1">
        <f t="array" ref="J17">THETAGREEK($B17,100,0.01,J$2,0.1)</f>
        <v>-1.2530379708006905</v>
      </c>
      <c r="K17" s="2" cm="1">
        <f t="array" ref="K17">THETAGREEK($B17,100,0.01,K$2,0.1)</f>
        <v>-1.3872430947387828</v>
      </c>
      <c r="L17" s="2" cm="1">
        <f t="array" ref="L17">THETAGREEK($B17,100,0.01,L$2,0.1)</f>
        <v>-1.5400544994402543</v>
      </c>
      <c r="M17" s="2" cm="1">
        <f t="array" ref="M17">THETAGREEK($B17,100,0.01,M$2,0.1)</f>
        <v>-1.7048833637344392</v>
      </c>
      <c r="N17" s="2" cm="1">
        <f t="array" ref="N17">THETAGREEK($B17,100,0.01,N$2,0.1)</f>
        <v>-1.8760533614468802</v>
      </c>
      <c r="O17" s="2" cm="1">
        <f t="array" ref="O17">THETAGREEK($B17,100,0.01,O$2,0.1)</f>
        <v>-2.0490205678922289</v>
      </c>
      <c r="P17" s="2" cm="1">
        <f t="array" ref="P17">THETAGREEK($B17,100,0.01,P$2,0.1)</f>
        <v>-2.2203320016553323</v>
      </c>
      <c r="Q17" s="2" cm="1">
        <f t="array" ref="Q17">THETAGREEK($B17,100,0.01,Q$2,0.1)</f>
        <v>-2.3874762945307935</v>
      </c>
      <c r="R17" s="2" cm="1">
        <f t="array" ref="R17">THETAGREEK($B17,100,0.01,R$2,0.1)</f>
        <v>-2.5487069250763472</v>
      </c>
      <c r="S17" s="2" cm="1">
        <f t="array" ref="S17">THETAGREEK($B17,100,0.01,S$2,0.1)</f>
        <v>-2.7028751957340797</v>
      </c>
      <c r="T17" s="2" cm="1">
        <f t="array" ref="T17">THETAGREEK($B17,100,0.01,T$2,0.1)</f>
        <v>-2.8492871019662789</v>
      </c>
      <c r="U17" s="2" cm="1">
        <f t="array" ref="U17">THETAGREEK($B17,100,0.01,U$2,0.1)</f>
        <v>-2.9875869978913476</v>
      </c>
      <c r="V17" s="2" cm="1">
        <f t="array" ref="V17">THETAGREEK($B17,100,0.01,V$2,0.1)</f>
        <v>-3.1176660418276967</v>
      </c>
      <c r="W17" s="2" cm="1">
        <f t="array" ref="W17">THETAGREEK($B17,100,0.01,W$2,0.1)</f>
        <v>-3.2395916659891379</v>
      </c>
      <c r="X17" s="2" cm="1">
        <f t="array" ref="X17">THETAGREEK($B17,100,0.01,X$2,0.1)</f>
        <v>-3.3535540673622113</v>
      </c>
      <c r="Y17" s="2" cm="1">
        <f t="array" ref="Y17">THETAGREEK($B17,100,0.01,Y$2,0.1)</f>
        <v>-3.4598260954847717</v>
      </c>
      <c r="Z17" s="2" cm="1">
        <f t="array" ref="Z17">THETAGREEK($B17,100,0.01,Z$2,0.1)</f>
        <v>-3.558733494989625</v>
      </c>
      <c r="AA17" s="2" cm="1">
        <f t="array" ref="AA17">THETAGREEK($B17,100,0.01,AA$2,0.1)</f>
        <v>-3.6506330538624763</v>
      </c>
      <c r="AB17" s="2" cm="1">
        <f t="array" ref="AB17">THETAGREEK($B17,100,0.01,AB$2,0.1)</f>
        <v>-3.7358967348340166</v>
      </c>
      <c r="AC17" s="2" cm="1">
        <f t="array" ref="AC17">THETAGREEK($B17,100,0.01,AC$2,0.1)</f>
        <v>-3.8149003045560113</v>
      </c>
      <c r="AD17" s="2" cm="1">
        <f t="array" ref="AD17">THETAGREEK($B17,100,0.01,AD$2,0.1)</f>
        <v>-3.8880153250022662</v>
      </c>
      <c r="AE17" s="2" cm="1">
        <f t="array" ref="AE17">THETAGREEK($B17,100,0.01,AE$2,0.1)</f>
        <v>-3.9556036450985794</v>
      </c>
      <c r="AF17" s="2" cm="1">
        <f t="array" ref="AF17">THETAGREEK($B17,100,0.01,AF$2,0.1)</f>
        <v>-4.0180137414840615</v>
      </c>
      <c r="AG17" s="2" cm="1">
        <f t="array" ref="AG17">THETAGREEK($B17,100,0.01,AG$2,0.1)</f>
        <v>-4.0755784183909078</v>
      </c>
      <c r="AH17" s="2" cm="1">
        <f t="array" ref="AH17">THETAGREEK($B17,100,0.01,AH$2,0.1)</f>
        <v>-4.1286134989222125</v>
      </c>
      <c r="AI17" s="2" cm="1">
        <f t="array" ref="AI17">THETAGREEK($B17,100,0.01,AI$2,0.1)</f>
        <v>-4.177417232481746</v>
      </c>
      <c r="AJ17" s="2" cm="1">
        <f t="array" ref="AJ17">THETAGREEK($B17,100,0.01,AJ$2,0.1)</f>
        <v>-4.2222702128547924</v>
      </c>
      <c r="AK17" s="2" cm="1">
        <f t="array" ref="AK17">THETAGREEK($B17,100,0.01,AK$2,0.1)</f>
        <v>-4.2634356539512908</v>
      </c>
      <c r="AL17" s="2" cm="1">
        <f t="array" ref="AL17">THETAGREEK($B17,100,0.01,AL$2,0.1)</f>
        <v>-4.3011599097121467</v>
      </c>
      <c r="AM17" s="2" cm="1">
        <f t="array" ref="AM17">THETAGREEK($B17,100,0.01,AM$2,0.1)</f>
        <v>-4.3356731543482692</v>
      </c>
      <c r="AN17" s="2" cm="1">
        <f t="array" ref="AN17">THETAGREEK($B17,100,0.01,AN$2,0.1)</f>
        <v>-4.3671901613517985</v>
      </c>
      <c r="AO17" s="2" cm="1">
        <f t="array" ref="AO17">THETAGREEK($B17,100,0.01,AO$2,0.1)</f>
        <v>-4.3959111364178041</v>
      </c>
      <c r="AP17" s="2" cm="1">
        <f t="array" ref="AP17">THETAGREEK($B17,100,0.01,AP$2,0.1)</f>
        <v>-4.4220225719189639</v>
      </c>
      <c r="AQ17" s="2" cm="1">
        <f t="array" ref="AQ17">THETAGREEK($B17,100,0.01,AQ$2,0.1)</f>
        <v>-4.4456980999217706</v>
      </c>
      <c r="AR17" s="2" cm="1">
        <f t="array" ref="AR17">THETAGREEK($B17,100,0.01,AR$2,0.1)</f>
        <v>-4.4670993277004545</v>
      </c>
      <c r="AS17" s="2" cm="1">
        <f t="array" ref="AS17">THETAGREEK($B17,100,0.01,AS$2,0.1)</f>
        <v>-4.4863766448815436</v>
      </c>
      <c r="AT17" s="2" cm="1">
        <f t="array" ref="AT17">THETAGREEK($B17,100,0.01,AT$2,0.1)</f>
        <v>-4.503669995180017</v>
      </c>
      <c r="AU17" s="2" cm="1">
        <f t="array" ref="AU17">THETAGREEK($B17,100,0.01,AU$2,0.1)</f>
        <v>-4.519109608501215</v>
      </c>
      <c r="AV17" s="2" cm="1">
        <f t="array" ref="AV17">THETAGREEK($B17,100,0.01,AV$2,0.1)</f>
        <v>-4.5328166912325587</v>
      </c>
      <c r="AW17" s="2" cm="1">
        <f t="array" ref="AW17">THETAGREEK($B17,100,0.01,AW$2,0.1)</f>
        <v>-4.5449040740257711</v>
      </c>
      <c r="AX17" s="2" cm="1">
        <f t="array" ref="AX17">THETAGREEK($B17,100,0.01,AX$2,0.1)</f>
        <v>-4.5554768174174907</v>
      </c>
      <c r="AY17" s="2" cm="1">
        <f t="array" ref="AY17">THETAGREEK($B17,100,0.01,AY$2,0.1)</f>
        <v>-4.5646327763621404</v>
      </c>
      <c r="AZ17" s="2" cm="1">
        <f t="array" ref="AZ17">THETAGREEK($B17,100,0.01,AZ$2,0.1)</f>
        <v>-4.5724631252380039</v>
      </c>
    </row>
    <row r="18" spans="1:52" x14ac:dyDescent="0.3">
      <c r="A18" s="2"/>
      <c r="B18" s="2">
        <v>135</v>
      </c>
      <c r="C18" s="2" cm="1">
        <f t="array" ref="C18">THETAGREEK($B18,100,0.01,C$2,0.1)</f>
        <v>-0.99900049983337502</v>
      </c>
      <c r="D18" s="2" cm="1">
        <f t="array" ref="D18">THETAGREEK($B18,100,0.01,D$2,0.1)</f>
        <v>-0.9980020050384425</v>
      </c>
      <c r="E18" s="2" cm="1">
        <f t="array" ref="E18">THETAGREEK($B18,100,0.01,E$2,0.1)</f>
        <v>-0.99701393367086233</v>
      </c>
      <c r="F18" s="2" cm="1">
        <f t="array" ref="F18">THETAGREEK($B18,100,0.01,F$2,0.1)</f>
        <v>-0.99635584734767224</v>
      </c>
      <c r="G18" s="2" cm="1">
        <f t="array" ref="G18">THETAGREEK($B18,100,0.01,G$2,0.1)</f>
        <v>-0.99796395889380229</v>
      </c>
      <c r="H18" s="2" cm="1">
        <f t="array" ref="H18">THETAGREEK($B18,100,0.01,H$2,0.1)</f>
        <v>-1.006084949362662</v>
      </c>
      <c r="I18" s="2" cm="1">
        <f t="array" ref="I18">THETAGREEK($B18,100,0.01,I$2,0.1)</f>
        <v>-1.0256098766324282</v>
      </c>
      <c r="J18" s="2" cm="1">
        <f t="array" ref="J18">THETAGREEK($B18,100,0.01,J$2,0.1)</f>
        <v>-1.0600336350888644</v>
      </c>
      <c r="K18" s="2" cm="1">
        <f t="array" ref="K18">THETAGREEK($B18,100,0.01,K$2,0.1)</f>
        <v>-1.1106685203277022</v>
      </c>
      <c r="L18" s="2" cm="1">
        <f t="array" ref="L18">THETAGREEK($B18,100,0.01,L$2,0.1)</f>
        <v>-1.1769128991993907</v>
      </c>
      <c r="M18" s="2" cm="1">
        <f t="array" ref="M18">THETAGREEK($B18,100,0.01,M$2,0.1)</f>
        <v>-1.2569097252088148</v>
      </c>
      <c r="N18" s="2" cm="1">
        <f t="array" ref="N18">THETAGREEK($B18,100,0.01,N$2,0.1)</f>
        <v>-1.3481789971203719</v>
      </c>
      <c r="O18" s="2" cm="1">
        <f t="array" ref="O18">THETAGREEK($B18,100,0.01,O$2,0.1)</f>
        <v>-1.4480789126292857</v>
      </c>
      <c r="P18" s="2" cm="1">
        <f t="array" ref="P18">THETAGREEK($B18,100,0.01,P$2,0.1)</f>
        <v>-1.5540902062683737</v>
      </c>
      <c r="Q18" s="2" cm="1">
        <f t="array" ref="Q18">THETAGREEK($B18,100,0.01,Q$2,0.1)</f>
        <v>-1.663965024484914</v>
      </c>
      <c r="R18" s="2" cm="1">
        <f t="array" ref="R18">THETAGREEK($B18,100,0.01,R$2,0.1)</f>
        <v>-1.7757860386513444</v>
      </c>
      <c r="S18" s="2" cm="1">
        <f t="array" ref="S18">THETAGREEK($B18,100,0.01,S$2,0.1)</f>
        <v>-1.8879719456354533</v>
      </c>
      <c r="T18" s="2" cm="1">
        <f t="array" ref="T18">THETAGREEK($B18,100,0.01,T$2,0.1)</f>
        <v>-1.9992541880180223</v>
      </c>
      <c r="U18" s="2" cm="1">
        <f t="array" ref="U18">THETAGREEK($B18,100,0.01,U$2,0.1)</f>
        <v>-2.1086405499974492</v>
      </c>
      <c r="V18" s="2" cm="1">
        <f t="array" ref="V18">THETAGREEK($B18,100,0.01,V$2,0.1)</f>
        <v>-2.2153748413503598</v>
      </c>
      <c r="W18" s="2" cm="1">
        <f t="array" ref="W18">THETAGREEK($B18,100,0.01,W$2,0.1)</f>
        <v>-2.3188977011153171</v>
      </c>
      <c r="X18" s="2" cm="1">
        <f t="array" ref="X18">THETAGREEK($B18,100,0.01,X$2,0.1)</f>
        <v>-2.4188109857426312</v>
      </c>
      <c r="Y18" s="2" cm="1">
        <f t="array" ref="Y18">THETAGREEK($B18,100,0.01,Y$2,0.1)</f>
        <v>-2.5148467050037135</v>
      </c>
      <c r="Z18" s="2" cm="1">
        <f t="array" ref="Z18">THETAGREEK($B18,100,0.01,Z$2,0.1)</f>
        <v>-2.6068406372995039</v>
      </c>
      <c r="AA18" s="2" cm="1">
        <f t="array" ref="AA18">THETAGREEK($B18,100,0.01,AA$2,0.1)</f>
        <v>-2.6947103298299138</v>
      </c>
      <c r="AB18" s="2" cm="1">
        <f t="array" ref="AB18">THETAGREEK($B18,100,0.01,AB$2,0.1)</f>
        <v>-2.7784369998021821</v>
      </c>
      <c r="AC18" s="2" cm="1">
        <f t="array" ref="AC18">THETAGREEK($B18,100,0.01,AC$2,0.1)</f>
        <v>-2.8580507963788073</v>
      </c>
      <c r="AD18" s="2" cm="1">
        <f t="array" ref="AD18">THETAGREEK($B18,100,0.01,AD$2,0.1)</f>
        <v>-2.9336188968397896</v>
      </c>
      <c r="AE18" s="2" cm="1">
        <f t="array" ref="AE18">THETAGREEK($B18,100,0.01,AE$2,0.1)</f>
        <v>-3.0052359578602124</v>
      </c>
      <c r="AF18" s="2" cm="1">
        <f t="array" ref="AF18">THETAGREEK($B18,100,0.01,AF$2,0.1)</f>
        <v>-3.0730165031461052</v>
      </c>
      <c r="AG18" s="2" cm="1">
        <f t="array" ref="AG18">THETAGREEK($B18,100,0.01,AG$2,0.1)</f>
        <v>-3.137088890694105</v>
      </c>
      <c r="AH18" s="2" cm="1">
        <f t="array" ref="AH18">THETAGREEK($B18,100,0.01,AH$2,0.1)</f>
        <v>-3.1975905609837612</v>
      </c>
      <c r="AI18" s="2" cm="1">
        <f t="array" ref="AI18">THETAGREEK($B18,100,0.01,AI$2,0.1)</f>
        <v>-3.2546643190040472</v>
      </c>
      <c r="AJ18" s="2" cm="1">
        <f t="array" ref="AJ18">THETAGREEK($B18,100,0.01,AJ$2,0.1)</f>
        <v>-3.308455447446736</v>
      </c>
      <c r="AK18" s="2" cm="1">
        <f t="array" ref="AK18">THETAGREEK($B18,100,0.01,AK$2,0.1)</f>
        <v>-3.3591094858775916</v>
      </c>
      <c r="AL18" s="2" cm="1">
        <f t="array" ref="AL18">THETAGREEK($B18,100,0.01,AL$2,0.1)</f>
        <v>-3.4067705418650793</v>
      </c>
      <c r="AM18" s="2" cm="1">
        <f t="array" ref="AM18">THETAGREEK($B18,100,0.01,AM$2,0.1)</f>
        <v>-3.4515800257114591</v>
      </c>
      <c r="AN18" s="2" cm="1">
        <f t="array" ref="AN18">THETAGREEK($B18,100,0.01,AN$2,0.1)</f>
        <v>-3.4936757214154279</v>
      </c>
      <c r="AO18" s="2" cm="1">
        <f t="array" ref="AO18">THETAGREEK($B18,100,0.01,AO$2,0.1)</f>
        <v>-3.5331911235653592</v>
      </c>
      <c r="AP18" s="2" cm="1">
        <f t="array" ref="AP18">THETAGREEK($B18,100,0.01,AP$2,0.1)</f>
        <v>-3.5702549836967896</v>
      </c>
      <c r="AQ18" s="2" cm="1">
        <f t="array" ref="AQ18">THETAGREEK($B18,100,0.01,AQ$2,0.1)</f>
        <v>-3.6049910208305098</v>
      </c>
      <c r="AR18" s="2" cm="1">
        <f t="array" ref="AR18">THETAGREEK($B18,100,0.01,AR$2,0.1)</f>
        <v>-3.6375177599293163</v>
      </c>
      <c r="AS18" s="2" cm="1">
        <f t="array" ref="AS18">THETAGREEK($B18,100,0.01,AS$2,0.1)</f>
        <v>-3.6679484692795472</v>
      </c>
      <c r="AT18" s="2" cm="1">
        <f t="array" ref="AT18">THETAGREEK($B18,100,0.01,AT$2,0.1)</f>
        <v>-3.6963911736530752</v>
      </c>
      <c r="AU18" s="2" cm="1">
        <f t="array" ref="AU18">THETAGREEK($B18,100,0.01,AU$2,0.1)</f>
        <v>-3.7229487248092767</v>
      </c>
      <c r="AV18" s="2" cm="1">
        <f t="array" ref="AV18">THETAGREEK($B18,100,0.01,AV$2,0.1)</f>
        <v>-3.7477189146772445</v>
      </c>
      <c r="AW18" s="2" cm="1">
        <f t="array" ref="AW18">THETAGREEK($B18,100,0.01,AW$2,0.1)</f>
        <v>-3.7707946195951596</v>
      </c>
      <c r="AX18" s="2" cm="1">
        <f t="array" ref="AX18">THETAGREEK($B18,100,0.01,AX$2,0.1)</f>
        <v>-3.7922639664218507</v>
      </c>
      <c r="AY18" s="2" cm="1">
        <f t="array" ref="AY18">THETAGREEK($B18,100,0.01,AY$2,0.1)</f>
        <v>-3.8122105132916313</v>
      </c>
      <c r="AZ18" s="2" cm="1">
        <f t="array" ref="AZ18">THETAGREEK($B18,100,0.01,AZ$2,0.1)</f>
        <v>-3.8307134393519777</v>
      </c>
    </row>
    <row r="19" spans="1:52" x14ac:dyDescent="0.3">
      <c r="A19" s="2"/>
      <c r="B19" s="2">
        <v>140</v>
      </c>
      <c r="C19" s="2" cm="1">
        <f t="array" ref="C19">THETAGREEK($B19,100,0.01,C$2,0.1)</f>
        <v>-0.99900049983337502</v>
      </c>
      <c r="D19" s="2" cm="1">
        <f t="array" ref="D19">THETAGREEK($B19,100,0.01,D$2,0.1)</f>
        <v>-0.9980019986865114</v>
      </c>
      <c r="E19" s="2" cm="1">
        <f t="array" ref="E19">THETAGREEK($B19,100,0.01,E$2,0.1)</f>
        <v>-0.99700469110195167</v>
      </c>
      <c r="F19" s="2" cm="1">
        <f t="array" ref="F19">THETAGREEK($B19,100,0.01,F$2,0.1)</f>
        <v>-0.99602690552032525</v>
      </c>
      <c r="G19" s="2" cm="1">
        <f t="array" ref="G19">THETAGREEK($B19,100,0.01,G$2,0.1)</f>
        <v>-0.99529879952549116</v>
      </c>
      <c r="H19" s="2" cm="1">
        <f t="array" ref="H19">THETAGREEK($B19,100,0.01,H$2,0.1)</f>
        <v>-0.99573985468332438</v>
      </c>
      <c r="I19" s="2" cm="1">
        <f t="array" ref="I19">THETAGREEK($B19,100,0.01,I$2,0.1)</f>
        <v>-0.99915000880716698</v>
      </c>
      <c r="J19" s="2" cm="1">
        <f t="array" ref="J19">THETAGREEK($B19,100,0.01,J$2,0.1)</f>
        <v>-1.0077512512995768</v>
      </c>
      <c r="K19" s="2" cm="1">
        <f t="array" ref="K19">THETAGREEK($B19,100,0.01,K$2,0.1)</f>
        <v>-1.0235183941406756</v>
      </c>
      <c r="L19" s="2" cm="1">
        <f t="array" ref="L19">THETAGREEK($B19,100,0.01,L$2,0.1)</f>
        <v>-1.0477472511347741</v>
      </c>
      <c r="M19" s="2" cm="1">
        <f t="array" ref="M19">THETAGREEK($B19,100,0.01,M$2,0.1)</f>
        <v>-1.0809451240621697</v>
      </c>
      <c r="N19" s="2" cm="1">
        <f t="array" ref="N19">THETAGREEK($B19,100,0.01,N$2,0.1)</f>
        <v>-1.1229331337944792</v>
      </c>
      <c r="O19" s="2" cm="1">
        <f t="array" ref="O19">THETAGREEK($B19,100,0.01,O$2,0.1)</f>
        <v>-1.1730335271972216</v>
      </c>
      <c r="P19" s="2" cm="1">
        <f t="array" ref="P19">THETAGREEK($B19,100,0.01,P$2,0.1)</f>
        <v>-1.2302607548047977</v>
      </c>
      <c r="Q19" s="2" cm="1">
        <f t="array" ref="Q19">THETAGREEK($B19,100,0.01,Q$2,0.1)</f>
        <v>-1.2934794471691635</v>
      </c>
      <c r="R19" s="2" cm="1">
        <f t="array" ref="R19">THETAGREEK($B19,100,0.01,R$2,0.1)</f>
        <v>-1.3615198227883007</v>
      </c>
      <c r="S19" s="2" cm="1">
        <f t="array" ref="S19">THETAGREEK($B19,100,0.01,S$2,0.1)</f>
        <v>-1.4332541518603337</v>
      </c>
      <c r="T19" s="2" cm="1">
        <f t="array" ref="T19">THETAGREEK($B19,100,0.01,T$2,0.1)</f>
        <v>-1.5076424310136949</v>
      </c>
      <c r="U19" s="2" cm="1">
        <f t="array" ref="U19">THETAGREEK($B19,100,0.01,U$2,0.1)</f>
        <v>-1.5837557656726626</v>
      </c>
      <c r="V19" s="2" cm="1">
        <f t="array" ref="V19">THETAGREEK($B19,100,0.01,V$2,0.1)</f>
        <v>-1.6607846490950859</v>
      </c>
      <c r="W19" s="2" cm="1">
        <f t="array" ref="W19">THETAGREEK($B19,100,0.01,W$2,0.1)</f>
        <v>-1.7380376290265358</v>
      </c>
      <c r="X19" s="2" cm="1">
        <f t="array" ref="X19">THETAGREEK($B19,100,0.01,X$2,0.1)</f>
        <v>-1.8149342958967922</v>
      </c>
      <c r="Y19" s="2" cm="1">
        <f t="array" ref="Y19">THETAGREEK($B19,100,0.01,Y$2,0.1)</f>
        <v>-1.8909952794512093</v>
      </c>
      <c r="Z19" s="2" cm="1">
        <f t="array" ref="Z19">THETAGREEK($B19,100,0.01,Z$2,0.1)</f>
        <v>-1.9658310126484624</v>
      </c>
      <c r="AA19" s="2" cm="1">
        <f t="array" ref="AA19">THETAGREEK($B19,100,0.01,AA$2,0.1)</f>
        <v>-2.0391303630740474</v>
      </c>
      <c r="AB19" s="2" cm="1">
        <f t="array" ref="AB19">THETAGREEK($B19,100,0.01,AB$2,0.1)</f>
        <v>-2.1106497810866154</v>
      </c>
      <c r="AC19" s="2" cm="1">
        <f t="array" ref="AC19">THETAGREEK($B19,100,0.01,AC$2,0.1)</f>
        <v>-2.180203314339066</v>
      </c>
      <c r="AD19" s="2" cm="1">
        <f t="array" ref="AD19">THETAGREEK($B19,100,0.01,AD$2,0.1)</f>
        <v>-2.2476536453543154</v>
      </c>
      <c r="AE19" s="2" cm="1">
        <f t="array" ref="AE19">THETAGREEK($B19,100,0.01,AE$2,0.1)</f>
        <v>-2.3129041889187807</v>
      </c>
      <c r="AF19" s="2" cm="1">
        <f t="array" ref="AF19">THETAGREEK($B19,100,0.01,AF$2,0.1)</f>
        <v>-2.3758922150555395</v>
      </c>
      <c r="AG19" s="2" cm="1">
        <f t="array" ref="AG19">THETAGREEK($B19,100,0.01,AG$2,0.1)</f>
        <v>-2.4365829243823178</v>
      </c>
      <c r="AH19" s="2" cm="1">
        <f t="array" ref="AH19">THETAGREEK($B19,100,0.01,AH$2,0.1)</f>
        <v>-2.4949643841945743</v>
      </c>
      <c r="AI19" s="2" cm="1">
        <f t="array" ref="AI19">THETAGREEK($B19,100,0.01,AI$2,0.1)</f>
        <v>-2.5510432278672295</v>
      </c>
      <c r="AJ19" s="2" cm="1">
        <f t="array" ref="AJ19">THETAGREEK($B19,100,0.01,AJ$2,0.1)</f>
        <v>-2.6048410219936011</v>
      </c>
      <c r="AK19" s="2" cm="1">
        <f t="array" ref="AK19">THETAGREEK($B19,100,0.01,AK$2,0.1)</f>
        <v>-2.6563912117279909</v>
      </c>
      <c r="AL19" s="2" cm="1">
        <f t="array" ref="AL19">THETAGREEK($B19,100,0.01,AL$2,0.1)</f>
        <v>-2.7057365629326617</v>
      </c>
      <c r="AM19" s="2" cm="1">
        <f t="array" ref="AM19">THETAGREEK($B19,100,0.01,AM$2,0.1)</f>
        <v>-2.7529270286230996</v>
      </c>
      <c r="AN19" s="2" cm="1">
        <f t="array" ref="AN19">THETAGREEK($B19,100,0.01,AN$2,0.1)</f>
        <v>-2.7980179760619155</v>
      </c>
      <c r="AO19" s="2" cm="1">
        <f t="array" ref="AO19">THETAGREEK($B19,100,0.01,AO$2,0.1)</f>
        <v>-2.8410687192213957</v>
      </c>
      <c r="AP19" s="2" cm="1">
        <f t="array" ref="AP19">THETAGREEK($B19,100,0.01,AP$2,0.1)</f>
        <v>-2.8821413089875518</v>
      </c>
      <c r="AQ19" s="2" cm="1">
        <f t="array" ref="AQ19">THETAGREEK($B19,100,0.01,AQ$2,0.1)</f>
        <v>-2.9212995403224373</v>
      </c>
      <c r="AR19" s="2" cm="1">
        <f t="array" ref="AR19">THETAGREEK($B19,100,0.01,AR$2,0.1)</f>
        <v>-2.9586081416262049</v>
      </c>
      <c r="AS19" s="2" cm="1">
        <f t="array" ref="AS19">THETAGREEK($B19,100,0.01,AS$2,0.1)</f>
        <v>-2.9941321167842698</v>
      </c>
      <c r="AT19" s="2" cm="1">
        <f t="array" ref="AT19">THETAGREEK($B19,100,0.01,AT$2,0.1)</f>
        <v>-3.0279362149103308</v>
      </c>
      <c r="AU19" s="2" cm="1">
        <f t="array" ref="AU19">THETAGREEK($B19,100,0.01,AU$2,0.1)</f>
        <v>-3.0600845066763678</v>
      </c>
      <c r="AV19" s="2" cm="1">
        <f t="array" ref="AV19">THETAGREEK($B19,100,0.01,AV$2,0.1)</f>
        <v>-3.0906400494320709</v>
      </c>
      <c r="AW19" s="2" cm="1">
        <f t="array" ref="AW19">THETAGREEK($B19,100,0.01,AW$2,0.1)</f>
        <v>-3.1196646261308958</v>
      </c>
      <c r="AX19" s="2" cm="1">
        <f t="array" ref="AX19">THETAGREEK($B19,100,0.01,AX$2,0.1)</f>
        <v>-3.1472185454660653</v>
      </c>
      <c r="AY19" s="2" cm="1">
        <f t="array" ref="AY19">THETAGREEK($B19,100,0.01,AY$2,0.1)</f>
        <v>-3.1733604926376717</v>
      </c>
      <c r="AZ19" s="2" cm="1">
        <f t="array" ref="AZ19">THETAGREEK($B19,100,0.01,AZ$2,0.1)</f>
        <v>-3.1981474218758077</v>
      </c>
    </row>
    <row r="20" spans="1:52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</row>
    <row r="21" spans="1:52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</row>
    <row r="22" spans="1:52" x14ac:dyDescent="0.3">
      <c r="A22" s="2" t="s">
        <v>14</v>
      </c>
      <c r="B22" s="2"/>
      <c r="C22" s="2" t="s">
        <v>12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</row>
    <row r="23" spans="1:52" x14ac:dyDescent="0.3">
      <c r="A23" s="2"/>
      <c r="B23" s="2"/>
      <c r="C23" s="2">
        <v>0.1</v>
      </c>
      <c r="D23" s="2">
        <v>0.2</v>
      </c>
      <c r="E23" s="2">
        <v>0.3</v>
      </c>
      <c r="F23" s="2">
        <v>0.4</v>
      </c>
      <c r="G23" s="2">
        <v>0.5</v>
      </c>
      <c r="H23" s="2">
        <v>0.6</v>
      </c>
      <c r="I23" s="2">
        <v>0.7</v>
      </c>
      <c r="J23" s="2">
        <v>0.8</v>
      </c>
      <c r="K23" s="2">
        <v>0.9</v>
      </c>
      <c r="L23" s="2">
        <v>1</v>
      </c>
      <c r="M23" s="2">
        <v>1.1000000000000001</v>
      </c>
      <c r="N23" s="2">
        <v>1.2</v>
      </c>
      <c r="O23" s="2">
        <v>1.3</v>
      </c>
      <c r="P23" s="2">
        <v>1.4</v>
      </c>
      <c r="Q23" s="2">
        <v>1.5</v>
      </c>
      <c r="R23" s="2">
        <v>1.6</v>
      </c>
      <c r="S23" s="2">
        <v>1.7</v>
      </c>
      <c r="T23" s="2">
        <v>1.8</v>
      </c>
      <c r="U23" s="2">
        <v>1.9</v>
      </c>
      <c r="V23" s="2">
        <v>2</v>
      </c>
      <c r="W23" s="2">
        <v>2.1</v>
      </c>
      <c r="X23" s="2">
        <v>2.2000000000000002</v>
      </c>
      <c r="Y23" s="2">
        <v>2.2999999999999998</v>
      </c>
      <c r="Z23" s="2">
        <v>2.4</v>
      </c>
      <c r="AA23" s="2">
        <v>2.5</v>
      </c>
      <c r="AB23" s="2">
        <v>2.6</v>
      </c>
      <c r="AC23" s="2">
        <v>2.7</v>
      </c>
      <c r="AD23" s="2">
        <v>2.8</v>
      </c>
      <c r="AE23" s="2">
        <v>2.9</v>
      </c>
      <c r="AF23" s="2">
        <v>3</v>
      </c>
      <c r="AG23" s="2">
        <v>3.1</v>
      </c>
      <c r="AH23" s="2">
        <v>3.2</v>
      </c>
      <c r="AI23" s="2">
        <v>3.3</v>
      </c>
      <c r="AJ23" s="2">
        <v>3.4</v>
      </c>
      <c r="AK23" s="2">
        <v>3.5</v>
      </c>
      <c r="AL23" s="2">
        <v>3.6</v>
      </c>
      <c r="AM23" s="2">
        <v>3.7</v>
      </c>
      <c r="AN23" s="2">
        <v>3.8</v>
      </c>
      <c r="AO23" s="2">
        <v>3.9</v>
      </c>
      <c r="AP23" s="2">
        <v>4</v>
      </c>
      <c r="AQ23" s="2">
        <v>4.0999999999999996</v>
      </c>
      <c r="AR23" s="2">
        <v>4.2</v>
      </c>
      <c r="AS23" s="2">
        <v>4.3</v>
      </c>
      <c r="AT23" s="2">
        <v>4.4000000000000004</v>
      </c>
      <c r="AU23" s="2">
        <v>4.5</v>
      </c>
      <c r="AV23" s="2">
        <v>4.5999999999999996</v>
      </c>
      <c r="AW23" s="2">
        <v>4.7</v>
      </c>
      <c r="AX23" s="2">
        <v>4.8</v>
      </c>
      <c r="AY23" s="2">
        <v>4.9000000000000004</v>
      </c>
      <c r="AZ23" s="2">
        <v>5</v>
      </c>
    </row>
    <row r="24" spans="1:52" x14ac:dyDescent="0.3">
      <c r="A24" s="2" t="s">
        <v>11</v>
      </c>
      <c r="B24" s="2">
        <v>60</v>
      </c>
      <c r="C24" s="2" cm="1">
        <f t="array" ref="C24">THETAGREEK($B24,100,0.01,C$23,0.2)</f>
        <v>-3.7888759054082966E-13</v>
      </c>
      <c r="D24" s="2" cm="1">
        <f t="array" ref="D24">THETAGREEK($B24,100,0.01,D$23,0.2)</f>
        <v>-3.241209709504522E-6</v>
      </c>
      <c r="E24" s="2" cm="1">
        <f t="array" ref="E24">THETAGREEK($B24,100,0.01,E$23,0.2)</f>
        <v>-6.0735977189806285E-4</v>
      </c>
      <c r="F24" s="2" cm="1">
        <f t="array" ref="F24">THETAGREEK($B24,100,0.01,F$23,0.2)</f>
        <v>-7.9666028258068913E-3</v>
      </c>
      <c r="G24" s="2" cm="1">
        <f t="array" ref="G24">THETAGREEK($B24,100,0.01,G$23,0.2)</f>
        <v>-3.6384387565863437E-2</v>
      </c>
      <c r="H24" s="2" cm="1">
        <f t="array" ref="H24">THETAGREEK($B24,100,0.01,H$23,0.2)</f>
        <v>-9.8473249781869582E-2</v>
      </c>
      <c r="I24" s="2" cm="1">
        <f t="array" ref="I24">THETAGREEK($B24,100,0.01,I$23,0.2)</f>
        <v>-0.19811625251386308</v>
      </c>
      <c r="J24" s="2" cm="1">
        <f t="array" ref="J24">THETAGREEK($B24,100,0.01,J$23,0.2)</f>
        <v>-0.33164480985666095</v>
      </c>
      <c r="K24" s="2" cm="1">
        <f t="array" ref="K24">THETAGREEK($B24,100,0.01,K$23,0.2)</f>
        <v>-0.49161703594634387</v>
      </c>
      <c r="L24" s="2" cm="1">
        <f t="array" ref="L24">THETAGREEK($B24,100,0.01,L$23,0.2)</f>
        <v>-0.66976649224152696</v>
      </c>
      <c r="M24" s="2" cm="1">
        <f t="array" ref="M24">THETAGREEK($B24,100,0.01,M$23,0.2)</f>
        <v>-0.85857753379079282</v>
      </c>
      <c r="N24" s="2" cm="1">
        <f t="array" ref="N24">THETAGREEK($B24,100,0.01,N$23,0.2)</f>
        <v>-1.0518882458863925</v>
      </c>
      <c r="O24" s="2" cm="1">
        <f t="array" ref="O24">THETAGREEK($B24,100,0.01,O$23,0.2)</f>
        <v>-1.2449678786656388</v>
      </c>
      <c r="P24" s="2" cm="1">
        <f t="array" ref="P24">THETAGREEK($B24,100,0.01,P$23,0.2)</f>
        <v>-1.4343620001040338</v>
      </c>
      <c r="Q24" s="2" cm="1">
        <f t="array" ref="Q24">THETAGREEK($B24,100,0.01,Q$23,0.2)</f>
        <v>-1.6176634320936938</v>
      </c>
      <c r="R24" s="2" cm="1">
        <f t="array" ref="R24">THETAGREEK($B24,100,0.01,R$23,0.2)</f>
        <v>-1.7932832715199793</v>
      </c>
      <c r="S24" s="2" cm="1">
        <f t="array" ref="S24">THETAGREEK($B24,100,0.01,S$23,0.2)</f>
        <v>-1.9602514261982582</v>
      </c>
      <c r="T24" s="2" cm="1">
        <f t="array" ref="T24">THETAGREEK($B24,100,0.01,T$23,0.2)</f>
        <v>-2.1180543214155558</v>
      </c>
      <c r="U24" s="2" cm="1">
        <f t="array" ref="U24">THETAGREEK($B24,100,0.01,U$23,0.2)</f>
        <v>-2.2665079477266956</v>
      </c>
      <c r="V24" s="2" cm="1">
        <f t="array" ref="V24">THETAGREEK($B24,100,0.01,V$23,0.2)</f>
        <v>-2.4056610080402749</v>
      </c>
      <c r="W24" s="2" cm="1">
        <f t="array" ref="W24">THETAGREEK($B24,100,0.01,W$23,0.2)</f>
        <v>-2.535722295729868</v>
      </c>
      <c r="X24" s="2" cm="1">
        <f t="array" ref="X24">THETAGREEK($B24,100,0.01,X$23,0.2)</f>
        <v>-2.6570069536848839</v>
      </c>
      <c r="Y24" s="2" cm="1">
        <f t="array" ref="Y24">THETAGREEK($B24,100,0.01,Y$23,0.2)</f>
        <v>-2.7698971492689051</v>
      </c>
      <c r="Z24" s="2" cm="1">
        <f t="array" ref="Z24">THETAGREEK($B24,100,0.01,Z$23,0.2)</f>
        <v>-2.8748136092857175</v>
      </c>
      <c r="AA24" s="2" cm="1">
        <f t="array" ref="AA24">THETAGREEK($B24,100,0.01,AA$23,0.2)</f>
        <v>-2.9721952597133106</v>
      </c>
      <c r="AB24" s="2" cm="1">
        <f t="array" ref="AB24">THETAGREEK($B24,100,0.01,AB$23,0.2)</f>
        <v>-3.0624848713536239</v>
      </c>
      <c r="AC24" s="2" cm="1">
        <f t="array" ref="AC24">THETAGREEK($B24,100,0.01,AC$23,0.2)</f>
        <v>-3.1461191299488411</v>
      </c>
      <c r="AD24" s="2" cm="1">
        <f t="array" ref="AD24">THETAGREEK($B24,100,0.01,AD$23,0.2)</f>
        <v>-3.2235219477631598</v>
      </c>
      <c r="AE24" s="2" cm="1">
        <f t="array" ref="AE24">THETAGREEK($B24,100,0.01,AE$23,0.2)</f>
        <v>-3.295100136066988</v>
      </c>
      <c r="AF24" s="2" cm="1">
        <f t="array" ref="AF24">THETAGREEK($B24,100,0.01,AF$23,0.2)</f>
        <v>-3.361240785433032</v>
      </c>
      <c r="AG24" s="2" cm="1">
        <f t="array" ref="AG24">THETAGREEK($B24,100,0.01,AG$23,0.2)</f>
        <v>-3.4223098708498143</v>
      </c>
      <c r="AH24" s="2" cm="1">
        <f t="array" ref="AH24">THETAGREEK($B24,100,0.01,AH$23,0.2)</f>
        <v>-3.4786517253815754</v>
      </c>
      <c r="AI24" s="2" cm="1">
        <f t="array" ref="AI24">THETAGREEK($B24,100,0.01,AI$23,0.2)</f>
        <v>-3.5305891202940076</v>
      </c>
      <c r="AJ24" s="2" cm="1">
        <f t="array" ref="AJ24">THETAGREEK($B24,100,0.01,AJ$23,0.2)</f>
        <v>-3.5784237594700872</v>
      </c>
      <c r="AK24" s="2" cm="1">
        <f t="array" ref="AK24">THETAGREEK($B24,100,0.01,AK$23,0.2)</f>
        <v>-3.6224370477674452</v>
      </c>
      <c r="AL24" s="2" cm="1">
        <f t="array" ref="AL24">THETAGREEK($B24,100,0.01,AL$23,0.2)</f>
        <v>-3.6628910313599112</v>
      </c>
      <c r="AM24" s="2" cm="1">
        <f t="array" ref="AM24">THETAGREEK($B24,100,0.01,AM$23,0.2)</f>
        <v>-3.7000294365181068</v>
      </c>
      <c r="AN24" s="2" cm="1">
        <f t="array" ref="AN24">THETAGREEK($B24,100,0.01,AN$23,0.2)</f>
        <v>-3.7340787542859588</v>
      </c>
      <c r="AO24" s="2" cm="1">
        <f t="array" ref="AO24">THETAGREEK($B24,100,0.01,AO$23,0.2)</f>
        <v>-3.7652493340086126</v>
      </c>
      <c r="AP24" s="2" cm="1">
        <f t="array" ref="AP24">THETAGREEK($B24,100,0.01,AP$23,0.2)</f>
        <v>-3.7937364600777639</v>
      </c>
      <c r="AQ24" s="2" cm="1">
        <f t="array" ref="AQ24">THETAGREEK($B24,100,0.01,AQ$23,0.2)</f>
        <v>-3.8197213946336075</v>
      </c>
      <c r="AR24" s="2" cm="1">
        <f t="array" ref="AR24">THETAGREEK($B24,100,0.01,AR$23,0.2)</f>
        <v>-3.8433723750790909</v>
      </c>
      <c r="AS24" s="2" cm="1">
        <f t="array" ref="AS24">THETAGREEK($B24,100,0.01,AS$23,0.2)</f>
        <v>-3.86484555970253</v>
      </c>
      <c r="AT24" s="2" cm="1">
        <f t="array" ref="AT24">THETAGREEK($B24,100,0.01,AT$23,0.2)</f>
        <v>-3.8842859179008227</v>
      </c>
      <c r="AU24" s="2" cm="1">
        <f t="array" ref="AU24">THETAGREEK($B24,100,0.01,AU$23,0.2)</f>
        <v>-3.9018280637695444</v>
      </c>
      <c r="AV24" s="2" cm="1">
        <f t="array" ref="AV24">THETAGREEK($B24,100,0.01,AV$23,0.2)</f>
        <v>-3.9175970334178842</v>
      </c>
      <c r="AW24" s="2" cm="1">
        <f t="array" ref="AW24">THETAGREEK($B24,100,0.01,AW$23,0.2)</f>
        <v>-3.931709007454836</v>
      </c>
      <c r="AX24" s="2" cm="1">
        <f t="array" ref="AX24">THETAGREEK($B24,100,0.01,AX$23,0.2)</f>
        <v>-3.9442719808117568</v>
      </c>
      <c r="AY24" s="2" cm="1">
        <f t="array" ref="AY24">THETAGREEK($B24,100,0.01,AY$23,0.2)</f>
        <v>-3.9553863825150222</v>
      </c>
      <c r="AZ24" s="2" cm="1">
        <f t="array" ref="AZ24">THETAGREEK($B24,100,0.01,AZ$23,0.2)</f>
        <v>-3.96514564827533</v>
      </c>
    </row>
    <row r="25" spans="1:52" x14ac:dyDescent="0.3">
      <c r="A25" s="2"/>
      <c r="B25" s="2">
        <v>65</v>
      </c>
      <c r="C25" s="2" cm="1">
        <f t="array" ref="C25">THETAGREEK($B25,100,0.01,C$23,0.2)</f>
        <v>-4.7730680272939875E-9</v>
      </c>
      <c r="D25" s="2" cm="1">
        <f t="array" ref="D25">THETAGREEK($B25,100,0.01,D$23,0.2)</f>
        <v>-3.6751884921578125E-4</v>
      </c>
      <c r="E25" s="2" cm="1">
        <f t="array" ref="E25">THETAGREEK($B25,100,0.01,E$23,0.2)</f>
        <v>-1.4326649102844717E-2</v>
      </c>
      <c r="F25" s="2" cm="1">
        <f t="array" ref="F25">THETAGREEK($B25,100,0.01,F$23,0.2)</f>
        <v>-8.571470034170342E-2</v>
      </c>
      <c r="G25" s="2" cm="1">
        <f t="array" ref="G25">THETAGREEK($B25,100,0.01,G$23,0.2)</f>
        <v>-0.24443418608516443</v>
      </c>
      <c r="H25" s="2" cm="1">
        <f t="array" ref="H25">THETAGREEK($B25,100,0.01,H$23,0.2)</f>
        <v>-0.48330273129454371</v>
      </c>
      <c r="I25" s="2" cm="1">
        <f t="array" ref="I25">THETAGREEK($B25,100,0.01,I$23,0.2)</f>
        <v>-0.77703336025622183</v>
      </c>
      <c r="J25" s="2" cm="1">
        <f t="array" ref="J25">THETAGREEK($B25,100,0.01,J$23,0.2)</f>
        <v>-1.0994196485371126</v>
      </c>
      <c r="K25" s="2" cm="1">
        <f t="array" ref="K25">THETAGREEK($B25,100,0.01,K$23,0.2)</f>
        <v>-1.4299544670592994</v>
      </c>
      <c r="L25" s="2" cm="1">
        <f t="array" ref="L25">THETAGREEK($B25,100,0.01,L$23,0.2)</f>
        <v>-1.754637041345489</v>
      </c>
      <c r="M25" s="2" cm="1">
        <f t="array" ref="M25">THETAGREEK($B25,100,0.01,M$23,0.2)</f>
        <v>-2.0647910640166929</v>
      </c>
      <c r="N25" s="2" cm="1">
        <f t="array" ref="N25">THETAGREEK($B25,100,0.01,N$23,0.2)</f>
        <v>-2.3555739824023316</v>
      </c>
      <c r="O25" s="2" cm="1">
        <f t="array" ref="O25">THETAGREEK($B25,100,0.01,O$23,0.2)</f>
        <v>-2.6247213858885883</v>
      </c>
      <c r="P25" s="2" cm="1">
        <f t="array" ref="P25">THETAGREEK($B25,100,0.01,P$23,0.2)</f>
        <v>-2.8716226063121502</v>
      </c>
      <c r="Q25" s="2" cm="1">
        <f t="array" ref="Q25">THETAGREEK($B25,100,0.01,Q$23,0.2)</f>
        <v>-3.0966821772749644</v>
      </c>
      <c r="R25" s="2" cm="1">
        <f t="array" ref="R25">THETAGREEK($B25,100,0.01,R$23,0.2)</f>
        <v>-3.300894507341138</v>
      </c>
      <c r="S25" s="2" cm="1">
        <f t="array" ref="S25">THETAGREEK($B25,100,0.01,S$23,0.2)</f>
        <v>-3.4855675918214346</v>
      </c>
      <c r="T25" s="2" cm="1">
        <f t="array" ref="T25">THETAGREEK($B25,100,0.01,T$23,0.2)</f>
        <v>-3.6521474335607231</v>
      </c>
      <c r="U25" s="2" cm="1">
        <f t="array" ref="U25">THETAGREEK($B25,100,0.01,U$23,0.2)</f>
        <v>-3.8021091759818915</v>
      </c>
      <c r="V25" s="2" cm="1">
        <f t="array" ref="V25">THETAGREEK($B25,100,0.01,V$23,0.2)</f>
        <v>-3.9368918358386602</v>
      </c>
      <c r="W25" s="2" cm="1">
        <f t="array" ref="W25">THETAGREEK($B25,100,0.01,W$23,0.2)</f>
        <v>-4.0578612099871236</v>
      </c>
      <c r="X25" s="2" cm="1">
        <f t="array" ref="X25">THETAGREEK($B25,100,0.01,X$23,0.2)</f>
        <v>-4.1662907699323641</v>
      </c>
      <c r="Y25" s="2" cm="1">
        <f t="array" ref="Y25">THETAGREEK($B25,100,0.01,Y$23,0.2)</f>
        <v>-4.2633538637173487</v>
      </c>
      <c r="Z25" s="2" cm="1">
        <f t="array" ref="Z25">THETAGREEK($B25,100,0.01,Z$23,0.2)</f>
        <v>-4.3501228676555632</v>
      </c>
      <c r="AA25" s="2" cm="1">
        <f t="array" ref="AA25">THETAGREEK($B25,100,0.01,AA$23,0.2)</f>
        <v>-4.4275724616265144</v>
      </c>
      <c r="AB25" s="2" cm="1">
        <f t="array" ref="AB25">THETAGREEK($B25,100,0.01,AB$23,0.2)</f>
        <v>-4.4965852081366204</v>
      </c>
      <c r="AC25" s="2" cm="1">
        <f t="array" ref="AC25">THETAGREEK($B25,100,0.01,AC$23,0.2)</f>
        <v>-4.5579582756568966</v>
      </c>
      <c r="AD25" s="2" cm="1">
        <f t="array" ref="AD25">THETAGREEK($B25,100,0.01,AD$23,0.2)</f>
        <v>-4.6124105790862311</v>
      </c>
      <c r="AE25" s="2" cm="1">
        <f t="array" ref="AE25">THETAGREEK($B25,100,0.01,AE$23,0.2)</f>
        <v>-4.6605898924399565</v>
      </c>
      <c r="AF25" s="2" cm="1">
        <f t="array" ref="AF25">THETAGREEK($B25,100,0.01,AF$23,0.2)</f>
        <v>-4.703079672273744</v>
      </c>
      <c r="AG25" s="2" cm="1">
        <f t="array" ref="AG25">THETAGREEK($B25,100,0.01,AG$23,0.2)</f>
        <v>-4.740405448655034</v>
      </c>
      <c r="AH25" s="2" cm="1">
        <f t="array" ref="AH25">THETAGREEK($B25,100,0.01,AH$23,0.2)</f>
        <v>-4.7730407159224448</v>
      </c>
      <c r="AI25" s="2" cm="1">
        <f t="array" ref="AI25">THETAGREEK($B25,100,0.01,AI$23,0.2)</f>
        <v>-4.8014123027096645</v>
      </c>
      <c r="AJ25" s="2" cm="1">
        <f t="array" ref="AJ25">THETAGREEK($B25,100,0.01,AJ$23,0.2)</f>
        <v>-4.8259052294639861</v>
      </c>
      <c r="AK25" s="2" cm="1">
        <f t="array" ref="AK25">THETAGREEK($B25,100,0.01,AK$23,0.2)</f>
        <v>-4.846867078391937</v>
      </c>
      <c r="AL25" s="2" cm="1">
        <f t="array" ref="AL25">THETAGREEK($B25,100,0.01,AL$23,0.2)</f>
        <v>-4.8646119096758706</v>
      </c>
      <c r="AM25" s="2" cm="1">
        <f t="array" ref="AM25">THETAGREEK($B25,100,0.01,AM$23,0.2)</f>
        <v>-4.8794237617477831</v>
      </c>
      <c r="AN25" s="2" cm="1">
        <f t="array" ref="AN25">THETAGREEK($B25,100,0.01,AN$23,0.2)</f>
        <v>-4.8915597742450467</v>
      </c>
      <c r="AO25" s="2" cm="1">
        <f t="array" ref="AO25">THETAGREEK($B25,100,0.01,AO$23,0.2)</f>
        <v>-4.9012529712347712</v>
      </c>
      <c r="AP25" s="2" cm="1">
        <f t="array" ref="AP25">THETAGREEK($B25,100,0.01,AP$23,0.2)</f>
        <v>-4.908714740182444</v>
      </c>
      <c r="AQ25" s="2" cm="1">
        <f t="array" ref="AQ25">THETAGREEK($B25,100,0.01,AQ$23,0.2)</f>
        <v>-4.9141370394759063</v>
      </c>
      <c r="AR25" s="2" cm="1">
        <f t="array" ref="AR25">THETAGREEK($B25,100,0.01,AR$23,0.2)</f>
        <v>-4.917694364429118</v>
      </c>
      <c r="AS25" s="2" cm="1">
        <f t="array" ref="AS25">THETAGREEK($B25,100,0.01,AS$23,0.2)</f>
        <v>-4.9195454987874943</v>
      </c>
      <c r="AT25" s="2" cm="1">
        <f t="array" ref="AT25">THETAGREEK($B25,100,0.01,AT$23,0.2)</f>
        <v>-4.9198350759612675</v>
      </c>
      <c r="AU25" s="2" cm="1">
        <f t="array" ref="AU25">THETAGREEK($B25,100,0.01,AU$23,0.2)</f>
        <v>-4.9186949715946149</v>
      </c>
      <c r="AV25" s="2" cm="1">
        <f t="array" ref="AV25">THETAGREEK($B25,100,0.01,AV$23,0.2)</f>
        <v>-4.9162455466701278</v>
      </c>
      <c r="AW25" s="2" cm="1">
        <f t="array" ref="AW25">THETAGREEK($B25,100,0.01,AW$23,0.2)</f>
        <v>-4.9125967581625662</v>
      </c>
      <c r="AX25" s="2" cm="1">
        <f t="array" ref="AX25">THETAGREEK($B25,100,0.01,AX$23,0.2)</f>
        <v>-4.9078491522904946</v>
      </c>
      <c r="AY25" s="2" cm="1">
        <f t="array" ref="AY25">THETAGREEK($B25,100,0.01,AY$23,0.2)</f>
        <v>-4.9020947536593757</v>
      </c>
      <c r="AZ25" s="2" cm="1">
        <f t="array" ref="AZ25">THETAGREEK($B25,100,0.01,AZ$23,0.2)</f>
        <v>-4.8954178620301949</v>
      </c>
    </row>
    <row r="26" spans="1:52" x14ac:dyDescent="0.3">
      <c r="A26" s="2"/>
      <c r="B26" s="2">
        <v>70</v>
      </c>
      <c r="C26" s="2" cm="1">
        <f t="array" ref="C26">THETAGREEK($B26,100,0.01,C$23,0.2)</f>
        <v>-7.1603045840606158E-6</v>
      </c>
      <c r="D26" s="2" cm="1">
        <f t="array" ref="D26">THETAGREEK($B26,100,0.01,D$23,0.2)</f>
        <v>-1.4370624164656631E-2</v>
      </c>
      <c r="E26" s="2" cm="1">
        <f t="array" ref="E26">THETAGREEK($B26,100,0.01,E$23,0.2)</f>
        <v>-0.16611103740621333</v>
      </c>
      <c r="F26" s="2" cm="1">
        <f t="array" ref="F26">THETAGREEK($B26,100,0.01,F$23,0.2)</f>
        <v>-0.5412049984933659</v>
      </c>
      <c r="G26" s="2" cm="1">
        <f t="array" ref="G26">THETAGREEK($B26,100,0.01,G$23,0.2)</f>
        <v>-1.0718066193428999</v>
      </c>
      <c r="H26" s="2" cm="1">
        <f t="array" ref="H26">THETAGREEK($B26,100,0.01,H$23,0.2)</f>
        <v>-1.6619493077293945</v>
      </c>
      <c r="I26" s="2" cm="1">
        <f t="array" ref="I26">THETAGREEK($B26,100,0.01,I$23,0.2)</f>
        <v>-2.2462093705423234</v>
      </c>
      <c r="J26" s="2" cm="1">
        <f t="array" ref="J26">THETAGREEK($B26,100,0.01,J$23,0.2)</f>
        <v>-2.7902318319527986</v>
      </c>
      <c r="K26" s="2" cm="1">
        <f t="array" ref="K26">THETAGREEK($B26,100,0.01,K$23,0.2)</f>
        <v>-3.2796995601874221</v>
      </c>
      <c r="L26" s="2" cm="1">
        <f t="array" ref="L26">THETAGREEK($B26,100,0.01,L$23,0.2)</f>
        <v>-3.7113500120129448</v>
      </c>
      <c r="M26" s="2" cm="1">
        <f t="array" ref="M26">THETAGREEK($B26,100,0.01,M$23,0.2)</f>
        <v>-4.0874406934952185</v>
      </c>
      <c r="N26" s="2" cm="1">
        <f t="array" ref="N26">THETAGREEK($B26,100,0.01,N$23,0.2)</f>
        <v>-4.4126655357498148</v>
      </c>
      <c r="O26" s="2" cm="1">
        <f t="array" ref="O26">THETAGREEK($B26,100,0.01,O$23,0.2)</f>
        <v>-4.6925299018223781</v>
      </c>
      <c r="P26" s="2" cm="1">
        <f t="array" ref="P26">THETAGREEK($B26,100,0.01,P$23,0.2)</f>
        <v>-4.9325374810745606</v>
      </c>
      <c r="Q26" s="2" cm="1">
        <f t="array" ref="Q26">THETAGREEK($B26,100,0.01,Q$23,0.2)</f>
        <v>-5.1378140980582359</v>
      </c>
      <c r="R26" s="2" cm="1">
        <f t="array" ref="R26">THETAGREEK($B26,100,0.01,R$23,0.2)</f>
        <v>-5.3129606522368942</v>
      </c>
      <c r="S26" s="2" cm="1">
        <f t="array" ref="S26">THETAGREEK($B26,100,0.01,S$23,0.2)</f>
        <v>-5.4620224130330346</v>
      </c>
      <c r="T26" s="2" cm="1">
        <f t="array" ref="T26">THETAGREEK($B26,100,0.01,T$23,0.2)</f>
        <v>-5.5885142539323169</v>
      </c>
      <c r="U26" s="2" cm="1">
        <f t="array" ref="U26">THETAGREEK($B26,100,0.01,U$23,0.2)</f>
        <v>-5.6954699108965334</v>
      </c>
      <c r="V26" s="2" cm="1">
        <f t="array" ref="V26">THETAGREEK($B26,100,0.01,V$23,0.2)</f>
        <v>-5.7854987768122159</v>
      </c>
      <c r="W26" s="2" cm="1">
        <f t="array" ref="W26">THETAGREEK($B26,100,0.01,W$23,0.2)</f>
        <v>-5.8608420516117272</v>
      </c>
      <c r="X26" s="2" cm="1">
        <f t="array" ref="X26">THETAGREEK($B26,100,0.01,X$23,0.2)</f>
        <v>-5.9234245041701028</v>
      </c>
      <c r="Y26" s="2" cm="1">
        <f t="array" ref="Y26">THETAGREEK($B26,100,0.01,Y$23,0.2)</f>
        <v>-5.9749004327657715</v>
      </c>
      <c r="Z26" s="2" cm="1">
        <f t="array" ref="Z26">THETAGREEK($B26,100,0.01,Z$23,0.2)</f>
        <v>-6.0166935978232789</v>
      </c>
      <c r="AA26" s="2" cm="1">
        <f t="array" ref="AA26">THETAGREEK($B26,100,0.01,AA$23,0.2)</f>
        <v>-6.0500314697325139</v>
      </c>
      <c r="AB26" s="2" cm="1">
        <f t="array" ref="AB26">THETAGREEK($B26,100,0.01,AB$23,0.2)</f>
        <v>-6.0759743739995198</v>
      </c>
      <c r="AC26" s="2" cm="1">
        <f t="array" ref="AC26">THETAGREEK($B26,100,0.01,AC$23,0.2)</f>
        <v>-6.0954401838564509</v>
      </c>
      <c r="AD26" s="2" cm="1">
        <f t="array" ref="AD26">THETAGREEK($B26,100,0.01,AD$23,0.2)</f>
        <v>-6.1092251930677257</v>
      </c>
      <c r="AE26" s="2" cm="1">
        <f t="array" ref="AE26">THETAGREEK($B26,100,0.01,AE$23,0.2)</f>
        <v>-6.1180217457120909</v>
      </c>
      <c r="AF26" s="2" cm="1">
        <f t="array" ref="AF26">THETAGREEK($B26,100,0.01,AF$23,0.2)</f>
        <v>-6.122433129963416</v>
      </c>
      <c r="AG26" s="2" cm="1">
        <f t="array" ref="AG26">THETAGREEK($B26,100,0.01,AG$23,0.2)</f>
        <v>-6.1229861719992096</v>
      </c>
      <c r="AH26" s="2" cm="1">
        <f t="array" ref="AH26">THETAGREEK($B26,100,0.01,AH$23,0.2)</f>
        <v>-6.1201419001675221</v>
      </c>
      <c r="AI26" s="2" cm="1">
        <f t="array" ref="AI26">THETAGREEK($B26,100,0.01,AI$23,0.2)</f>
        <v>-6.1143045908995717</v>
      </c>
      <c r="AJ26" s="2" cm="1">
        <f t="array" ref="AJ26">THETAGREEK($B26,100,0.01,AJ$23,0.2)</f>
        <v>-6.1058294571561023</v>
      </c>
      <c r="AK26" s="2" cm="1">
        <f t="array" ref="AK26">THETAGREEK($B26,100,0.01,AK$23,0.2)</f>
        <v>-6.0950291971029094</v>
      </c>
      <c r="AL26" s="2" cm="1">
        <f t="array" ref="AL26">THETAGREEK($B26,100,0.01,AL$23,0.2)</f>
        <v>-6.0821795844770667</v>
      </c>
      <c r="AM26" s="2" cm="1">
        <f t="array" ref="AM26">THETAGREEK($B26,100,0.01,AM$23,0.2)</f>
        <v>-6.0675242518461658</v>
      </c>
      <c r="AN26" s="2" cm="1">
        <f t="array" ref="AN26">THETAGREEK($B26,100,0.01,AN$23,0.2)</f>
        <v>-6.0512787927993221</v>
      </c>
      <c r="AO26" s="2" cm="1">
        <f t="array" ref="AO26">THETAGREEK($B26,100,0.01,AO$23,0.2)</f>
        <v>-6.0336342882329284</v>
      </c>
      <c r="AP26" s="2" cm="1">
        <f t="array" ref="AP26">THETAGREEK($B26,100,0.01,AP$23,0.2)</f>
        <v>-6.0147603445947926</v>
      </c>
      <c r="AQ26" s="2" cm="1">
        <f t="array" ref="AQ26">THETAGREEK($B26,100,0.01,AQ$23,0.2)</f>
        <v>-5.9948077176175056</v>
      </c>
      <c r="AR26" s="2" cm="1">
        <f t="array" ref="AR26">THETAGREEK($B26,100,0.01,AR$23,0.2)</f>
        <v>-5.9739105831914108</v>
      </c>
      <c r="AS26" s="2" cm="1">
        <f t="array" ref="AS26">THETAGREEK($B26,100,0.01,AS$23,0.2)</f>
        <v>-5.9521885071701943</v>
      </c>
      <c r="AT26" s="2" cm="1">
        <f t="array" ref="AT26">THETAGREEK($B26,100,0.01,AT$23,0.2)</f>
        <v>-5.9297481577125515</v>
      </c>
      <c r="AU26" s="2" cm="1">
        <f t="array" ref="AU26">THETAGREEK($B26,100,0.01,AU$23,0.2)</f>
        <v>-5.9066847969485918</v>
      </c>
      <c r="AV26" s="2" cm="1">
        <f t="array" ref="AV26">THETAGREEK($B26,100,0.01,AV$23,0.2)</f>
        <v>-5.8830835830786254</v>
      </c>
      <c r="AW26" s="2" cm="1">
        <f t="array" ref="AW26">THETAGREEK($B26,100,0.01,AW$23,0.2)</f>
        <v>-5.8590207092670052</v>
      </c>
      <c r="AX26" s="2" cm="1">
        <f t="array" ref="AX26">THETAGREEK($B26,100,0.01,AX$23,0.2)</f>
        <v>-5.8345644017224272</v>
      </c>
      <c r="AY26" s="2" cm="1">
        <f t="array" ref="AY26">THETAGREEK($B26,100,0.01,AY$23,0.2)</f>
        <v>-5.8097757960254661</v>
      </c>
      <c r="AZ26" s="2" cm="1">
        <f t="array" ref="AZ26">THETAGREEK($B26,100,0.01,AZ$23,0.2)</f>
        <v>-5.784709707964697</v>
      </c>
    </row>
    <row r="27" spans="1:52" x14ac:dyDescent="0.3">
      <c r="A27" s="2"/>
      <c r="B27" s="2">
        <v>75</v>
      </c>
      <c r="C27" s="2" cm="1">
        <f t="array" ref="C27">THETAGREEK($B27,100,0.01,C$23,0.2)</f>
        <v>-1.8875713026882618E-3</v>
      </c>
      <c r="D27" s="2" cm="1">
        <f t="array" ref="D27">THETAGREEK($B27,100,0.01,D$23,0.2)</f>
        <v>-0.23542096564408657</v>
      </c>
      <c r="E27" s="2" cm="1">
        <f t="array" ref="E27">THETAGREEK($B27,100,0.01,E$23,0.2)</f>
        <v>-1.0779827978949765</v>
      </c>
      <c r="F27" s="2" cm="1">
        <f t="array" ref="F27">THETAGREEK($B27,100,0.01,F$23,0.2)</f>
        <v>-2.210671890142939</v>
      </c>
      <c r="G27" s="2" cm="1">
        <f t="array" ref="G27">THETAGREEK($B27,100,0.01,G$23,0.2)</f>
        <v>-3.3163980774086572</v>
      </c>
      <c r="H27" s="2" cm="1">
        <f t="array" ref="H27">THETAGREEK($B27,100,0.01,H$23,0.2)</f>
        <v>-4.2733926605247587</v>
      </c>
      <c r="I27" s="2" cm="1">
        <f t="array" ref="I27">THETAGREEK($B27,100,0.01,I$23,0.2)</f>
        <v>-5.0604575049326366</v>
      </c>
      <c r="J27" s="2" cm="1">
        <f t="array" ref="J27">THETAGREEK($B27,100,0.01,J$23,0.2)</f>
        <v>-5.6927963660501737</v>
      </c>
      <c r="K27" s="2" cm="1">
        <f t="array" ref="K27">THETAGREEK($B27,100,0.01,K$23,0.2)</f>
        <v>-6.1949625133294468</v>
      </c>
      <c r="L27" s="2" cm="1">
        <f t="array" ref="L27">THETAGREEK($B27,100,0.01,L$23,0.2)</f>
        <v>-6.5910810534938085</v>
      </c>
      <c r="M27" s="2" cm="1">
        <f t="array" ref="M27">THETAGREEK($B27,100,0.01,M$23,0.2)</f>
        <v>-6.9019092289137802</v>
      </c>
      <c r="N27" s="2" cm="1">
        <f t="array" ref="N27">THETAGREEK($B27,100,0.01,N$23,0.2)</f>
        <v>-7.1444070320347972</v>
      </c>
      <c r="O27" s="2" cm="1">
        <f t="array" ref="O27">THETAGREEK($B27,100,0.01,O$23,0.2)</f>
        <v>-7.3321342307776378</v>
      </c>
      <c r="P27" s="2" cm="1">
        <f t="array" ref="P27">THETAGREEK($B27,100,0.01,P$23,0.2)</f>
        <v>-7.4758432804325468</v>
      </c>
      <c r="Q27" s="2" cm="1">
        <f t="array" ref="Q27">THETAGREEK($B27,100,0.01,Q$23,0.2)</f>
        <v>-7.5840475423432165</v>
      </c>
      <c r="R27" s="2" cm="1">
        <f t="array" ref="R27">THETAGREEK($B27,100,0.01,R$23,0.2)</f>
        <v>-7.6635007880584478</v>
      </c>
      <c r="S27" s="2" cm="1">
        <f t="array" ref="S27">THETAGREEK($B27,100,0.01,S$23,0.2)</f>
        <v>-7.7195812151484802</v>
      </c>
      <c r="T27" s="2" cm="1">
        <f t="array" ref="T27">THETAGREEK($B27,100,0.01,T$23,0.2)</f>
        <v>-7.7565918197999402</v>
      </c>
      <c r="U27" s="2" cm="1">
        <f t="array" ref="U27">THETAGREEK($B27,100,0.01,U$23,0.2)</f>
        <v>-7.7779929774217083</v>
      </c>
      <c r="V27" s="2" cm="1">
        <f t="array" ref="V27">THETAGREEK($B27,100,0.01,V$23,0.2)</f>
        <v>-7.7865819734601072</v>
      </c>
      <c r="W27" s="2" cm="1">
        <f t="array" ref="W27">THETAGREEK($B27,100,0.01,W$23,0.2)</f>
        <v>-7.7846316936644229</v>
      </c>
      <c r="X27" s="2" cm="1">
        <f t="array" ref="X27">THETAGREEK($B27,100,0.01,X$23,0.2)</f>
        <v>-7.7739980866775849</v>
      </c>
      <c r="Y27" s="2" cm="1">
        <f t="array" ref="Y27">THETAGREEK($B27,100,0.01,Y$23,0.2)</f>
        <v>-7.7562037865266129</v>
      </c>
      <c r="Z27" s="2" cm="1">
        <f t="array" ref="Z27">THETAGREEK($B27,100,0.01,Z$23,0.2)</f>
        <v>-7.7325035081832567</v>
      </c>
      <c r="AA27" s="2" cm="1">
        <f t="array" ref="AA27">THETAGREEK($B27,100,0.01,AA$23,0.2)</f>
        <v>-7.7039354622884746</v>
      </c>
      <c r="AB27" s="2" cm="1">
        <f t="array" ref="AB27">THETAGREEK($B27,100,0.01,AB$23,0.2)</f>
        <v>-7.6713619996383251</v>
      </c>
      <c r="AC27" s="2" cm="1">
        <f t="array" ref="AC27">THETAGREEK($B27,100,0.01,AC$23,0.2)</f>
        <v>-7.6355019178476349</v>
      </c>
      <c r="AD27" s="2" cm="1">
        <f t="array" ref="AD27">THETAGREEK($B27,100,0.01,AD$23,0.2)</f>
        <v>-7.596956279368511</v>
      </c>
      <c r="AE27" s="2" cm="1">
        <f t="array" ref="AE27">THETAGREEK($B27,100,0.01,AE$23,0.2)</f>
        <v>-7.5562291527213787</v>
      </c>
      <c r="AF27" s="2" cm="1">
        <f t="array" ref="AF27">THETAGREEK($B27,100,0.01,AF$23,0.2)</f>
        <v>-7.5137443601188734</v>
      </c>
      <c r="AG27" s="2" cm="1">
        <f t="array" ref="AG27">THETAGREEK($B27,100,0.01,AG$23,0.2)</f>
        <v>-7.4698590667613471</v>
      </c>
      <c r="AH27" s="2" cm="1">
        <f t="array" ref="AH27">THETAGREEK($B27,100,0.01,AH$23,0.2)</f>
        <v>-7.4248748593025438</v>
      </c>
      <c r="AI27" s="2" cm="1">
        <f t="array" ref="AI27">THETAGREEK($B27,100,0.01,AI$23,0.2)</f>
        <v>-7.3790468180702016</v>
      </c>
      <c r="AJ27" s="2" cm="1">
        <f t="array" ref="AJ27">THETAGREEK($B27,100,0.01,AJ$23,0.2)</f>
        <v>-7.3325909783157215</v>
      </c>
      <c r="AK27" s="2" cm="1">
        <f t="array" ref="AK27">THETAGREEK($B27,100,0.01,AK$23,0.2)</f>
        <v>-7.2856904917312368</v>
      </c>
      <c r="AL27" s="2" cm="1">
        <f t="array" ref="AL27">THETAGREEK($B27,100,0.01,AL$23,0.2)</f>
        <v>-7.2385007345350614</v>
      </c>
      <c r="AM27" s="2" cm="1">
        <f t="array" ref="AM27">THETAGREEK($B27,100,0.01,AM$23,0.2)</f>
        <v>-7.1911535579909973</v>
      </c>
      <c r="AN27" s="2" cm="1">
        <f t="array" ref="AN27">THETAGREEK($B27,100,0.01,AN$23,0.2)</f>
        <v>-7.1437608378573447</v>
      </c>
      <c r="AO27" s="2" cm="1">
        <f t="array" ref="AO27">THETAGREEK($B27,100,0.01,AO$23,0.2)</f>
        <v>-7.0964174483784035</v>
      </c>
      <c r="AP27" s="2" cm="1">
        <f t="array" ref="AP27">THETAGREEK($B27,100,0.01,AP$23,0.2)</f>
        <v>-7.0492037620886689</v>
      </c>
      <c r="AQ27" s="2" cm="1">
        <f t="array" ref="AQ27">THETAGREEK($B27,100,0.01,AQ$23,0.2)</f>
        <v>-7.0021877574229867</v>
      </c>
      <c r="AR27" s="2" cm="1">
        <f t="array" ref="AR27">THETAGREEK($B27,100,0.01,AR$23,0.2)</f>
        <v>-6.9554268007911801</v>
      </c>
      <c r="AS27" s="2" cm="1">
        <f t="array" ref="AS27">THETAGREEK($B27,100,0.01,AS$23,0.2)</f>
        <v>-6.9089691575232095</v>
      </c>
      <c r="AT27" s="2" cm="1">
        <f t="array" ref="AT27">THETAGREEK($B27,100,0.01,AT$23,0.2)</f>
        <v>-6.8628552762596566</v>
      </c>
      <c r="AU27" s="2" cm="1">
        <f t="array" ref="AU27">THETAGREEK($B27,100,0.01,AU$23,0.2)</f>
        <v>-6.8171188834413678</v>
      </c>
      <c r="AV27" s="2" cm="1">
        <f t="array" ref="AV27">THETAGREEK($B27,100,0.01,AV$23,0.2)</f>
        <v>-6.7717879181447671</v>
      </c>
      <c r="AW27" s="2" cm="1">
        <f t="array" ref="AW27">THETAGREEK($B27,100,0.01,AW$23,0.2)</f>
        <v>-6.7268853323068045</v>
      </c>
      <c r="AX27" s="2" cm="1">
        <f t="array" ref="AX27">THETAGREEK($B27,100,0.01,AX$23,0.2)</f>
        <v>-6.6824297771432493</v>
      </c>
      <c r="AY27" s="2" cm="1">
        <f t="array" ref="AY27">THETAGREEK($B27,100,0.01,AY$23,0.2)</f>
        <v>-6.6384361930960383</v>
      </c>
      <c r="AZ27" s="2" cm="1">
        <f t="array" ref="AZ27">THETAGREEK($B27,100,0.01,AZ$23,0.2)</f>
        <v>-6.5949163177989822</v>
      </c>
    </row>
    <row r="28" spans="1:52" x14ac:dyDescent="0.3">
      <c r="A28" s="2"/>
      <c r="B28" s="2">
        <v>80</v>
      </c>
      <c r="C28" s="2" cm="1">
        <f t="array" ref="C28">THETAGREEK($B28,100,0.01,C$23,0.2)</f>
        <v>-0.11824478433684256</v>
      </c>
      <c r="D28" s="2" cm="1">
        <f t="array" ref="D28">THETAGREEK($B28,100,0.01,D$23,0.2)</f>
        <v>-1.8792043475133311</v>
      </c>
      <c r="E28" s="2" cm="1">
        <f t="array" ref="E28">THETAGREEK($B28,100,0.01,E$23,0.2)</f>
        <v>-4.3305604970010707</v>
      </c>
      <c r="F28" s="2" cm="1">
        <f t="array" ref="F28">THETAGREEK($B28,100,0.01,F$23,0.2)</f>
        <v>-6.3007026662589647</v>
      </c>
      <c r="G28" s="2" cm="1">
        <f t="array" ref="G28">THETAGREEK($B28,100,0.01,G$23,0.2)</f>
        <v>-7.6932616736721382</v>
      </c>
      <c r="H28" s="2" cm="1">
        <f t="array" ref="H28">THETAGREEK($B28,100,0.01,H$23,0.2)</f>
        <v>-8.6420407133426256</v>
      </c>
      <c r="I28" s="2" cm="1">
        <f t="array" ref="I28">THETAGREEK($B28,100,0.01,I$23,0.2)</f>
        <v>-9.2783642304452894</v>
      </c>
      <c r="J28" s="2" cm="1">
        <f t="array" ref="J28">THETAGREEK($B28,100,0.01,J$23,0.2)</f>
        <v>-9.6982467274161852</v>
      </c>
      <c r="K28" s="2" cm="1">
        <f t="array" ref="K28">THETAGREEK($B28,100,0.01,K$23,0.2)</f>
        <v>-9.9675836934699884</v>
      </c>
      <c r="L28" s="2" cm="1">
        <f t="array" ref="L28">THETAGREEK($B28,100,0.01,L$23,0.2)</f>
        <v>-10.131161590710761</v>
      </c>
      <c r="M28" s="2" cm="1">
        <f t="array" ref="M28">THETAGREEK($B28,100,0.01,M$23,0.2)</f>
        <v>-10.219641425292522</v>
      </c>
      <c r="N28" s="2" cm="1">
        <f t="array" ref="N28">THETAGREEK($B28,100,0.01,N$23,0.2)</f>
        <v>-10.254285445580187</v>
      </c>
      <c r="O28" s="2" cm="1">
        <f t="array" ref="O28">THETAGREEK($B28,100,0.01,O$23,0.2)</f>
        <v>-10.250049562147508</v>
      </c>
      <c r="P28" s="2" cm="1">
        <f t="array" ref="P28">THETAGREEK($B28,100,0.01,P$23,0.2)</f>
        <v>-10.217601057049961</v>
      </c>
      <c r="Q28" s="2" cm="1">
        <f t="array" ref="Q28">THETAGREEK($B28,100,0.01,Q$23,0.2)</f>
        <v>-10.164646894729456</v>
      </c>
      <c r="R28" s="2" cm="1">
        <f t="array" ref="R28">THETAGREEK($B28,100,0.01,R$23,0.2)</f>
        <v>-10.096819998976867</v>
      </c>
      <c r="S28" s="2" cm="1">
        <f t="array" ref="S28">THETAGREEK($B28,100,0.01,S$23,0.2)</f>
        <v>-10.018279465775102</v>
      </c>
      <c r="T28" s="2" cm="1">
        <f t="array" ref="T28">THETAGREEK($B28,100,0.01,T$23,0.2)</f>
        <v>-9.9321231864744401</v>
      </c>
      <c r="U28" s="2" cm="1">
        <f t="array" ref="U28">THETAGREEK($B28,100,0.01,U$23,0.2)</f>
        <v>-9.8406756463215199</v>
      </c>
      <c r="V28" s="2" cm="1">
        <f t="array" ref="V28">THETAGREEK($B28,100,0.01,V$23,0.2)</f>
        <v>-9.7456914239375365</v>
      </c>
      <c r="W28" s="2" cm="1">
        <f t="array" ref="W28">THETAGREEK($B28,100,0.01,W$23,0.2)</f>
        <v>-9.6485009333490002</v>
      </c>
      <c r="X28" s="2" cm="1">
        <f t="array" ref="X28">THETAGREEK($B28,100,0.01,X$23,0.2)</f>
        <v>-9.5501160452957166</v>
      </c>
      <c r="Y28" s="2" cm="1">
        <f t="array" ref="Y28">THETAGREEK($B28,100,0.01,Y$23,0.2)</f>
        <v>-9.4513074749270114</v>
      </c>
      <c r="Z28" s="2" cm="1">
        <f t="array" ref="Z28">THETAGREEK($B28,100,0.01,Z$23,0.2)</f>
        <v>-9.3526620578542303</v>
      </c>
      <c r="AA28" s="2" cm="1">
        <f t="array" ref="AA28">THETAGREEK($B28,100,0.01,AA$23,0.2)</f>
        <v>-9.2546255363980059</v>
      </c>
      <c r="AB28" s="2" cm="1">
        <f t="array" ref="AB28">THETAGREEK($B28,100,0.01,AB$23,0.2)</f>
        <v>-9.1575347952794921</v>
      </c>
      <c r="AC28" s="2" cm="1">
        <f t="array" ref="AC28">THETAGREEK($B28,100,0.01,AC$23,0.2)</f>
        <v>-9.0616423389868004</v>
      </c>
      <c r="AD28" s="2" cm="1">
        <f t="array" ref="AD28">THETAGREEK($B28,100,0.01,AD$23,0.2)</f>
        <v>-8.9671350115338857</v>
      </c>
      <c r="AE28" s="2" cm="1">
        <f t="array" ref="AE28">THETAGREEK($B28,100,0.01,AE$23,0.2)</f>
        <v>-8.8741484067973584</v>
      </c>
      <c r="AF28" s="2" cm="1">
        <f t="array" ref="AF28">THETAGREEK($B28,100,0.01,AF$23,0.2)</f>
        <v>-8.7827780276871046</v>
      </c>
      <c r="AG28" s="2" cm="1">
        <f t="array" ref="AG28">THETAGREEK($B28,100,0.01,AG$23,0.2)</f>
        <v>-8.693087974387355</v>
      </c>
      <c r="AH28" s="2" cm="1">
        <f t="array" ref="AH28">THETAGREEK($B28,100,0.01,AH$23,0.2)</f>
        <v>-8.6051177417496341</v>
      </c>
      <c r="AI28" s="2" cm="1">
        <f t="array" ref="AI28">THETAGREEK($B28,100,0.01,AI$23,0.2)</f>
        <v>-8.5188875605004508</v>
      </c>
      <c r="AJ28" s="2" cm="1">
        <f t="array" ref="AJ28">THETAGREEK($B28,100,0.01,AJ$23,0.2)</f>
        <v>-8.4344026103638239</v>
      </c>
      <c r="AK28" s="2" cm="1">
        <f t="array" ref="AK28">THETAGREEK($B28,100,0.01,AK$23,0.2)</f>
        <v>-8.3516563544738371</v>
      </c>
      <c r="AL28" s="2" cm="1">
        <f t="array" ref="AL28">THETAGREEK($B28,100,0.01,AL$23,0.2)</f>
        <v>-8.2706331858469344</v>
      </c>
      <c r="AM28" s="2" cm="1">
        <f t="array" ref="AM28">THETAGREEK($B28,100,0.01,AM$23,0.2)</f>
        <v>-8.1913105327399247</v>
      </c>
      <c r="AN28" s="2" cm="1">
        <f t="array" ref="AN28">THETAGREEK($B28,100,0.01,AN$23,0.2)</f>
        <v>-8.1136605365440708</v>
      </c>
      <c r="AO28" s="2" cm="1">
        <f t="array" ref="AO28">THETAGREEK($B28,100,0.01,AO$23,0.2)</f>
        <v>-8.0376513906581089</v>
      </c>
      <c r="AP28" s="2" cm="1">
        <f t="array" ref="AP28">THETAGREEK($B28,100,0.01,AP$23,0.2)</f>
        <v>-7.9632484095127829</v>
      </c>
      <c r="AQ28" s="2" cm="1">
        <f t="array" ref="AQ28">THETAGREEK($B28,100,0.01,AQ$23,0.2)</f>
        <v>-7.8904148821029896</v>
      </c>
      <c r="AR28" s="2" cm="1">
        <f t="array" ref="AR28">THETAGREEK($B28,100,0.01,AR$23,0.2)</f>
        <v>-7.8191127529295903</v>
      </c>
      <c r="AS28" s="2" cm="1">
        <f t="array" ref="AS28">THETAGREEK($B28,100,0.01,AS$23,0.2)</f>
        <v>-7.7493031643524475</v>
      </c>
      <c r="AT28" s="2" cm="1">
        <f t="array" ref="AT28">THETAGREEK($B28,100,0.01,AT$23,0.2)</f>
        <v>-7.6809468874062015</v>
      </c>
      <c r="AU28" s="2" cm="1">
        <f t="array" ref="AU28">THETAGREEK($B28,100,0.01,AU$23,0.2)</f>
        <v>-7.6140046626784308</v>
      </c>
      <c r="AV28" s="2" cm="1">
        <f t="array" ref="AV28">THETAGREEK($B28,100,0.01,AV$23,0.2)</f>
        <v>-7.5484374685542157</v>
      </c>
      <c r="AW28" s="2" cm="1">
        <f t="array" ref="AW28">THETAGREEK($B28,100,0.01,AW$23,0.2)</f>
        <v>-7.484206730732855</v>
      </c>
      <c r="AX28" s="2" cm="1">
        <f t="array" ref="AX28">THETAGREEK($B28,100,0.01,AX$23,0.2)</f>
        <v>-7.4212744842232681</v>
      </c>
      <c r="AY28" s="2" cm="1">
        <f t="array" ref="AY28">THETAGREEK($B28,100,0.01,AY$23,0.2)</f>
        <v>-7.3596034968731576</v>
      </c>
      <c r="AZ28" s="2" cm="1">
        <f t="array" ref="AZ28">THETAGREEK($B28,100,0.01,AZ$23,0.2)</f>
        <v>-7.2991573617657473</v>
      </c>
    </row>
    <row r="29" spans="1:52" x14ac:dyDescent="0.3">
      <c r="A29" s="2"/>
      <c r="B29" s="2">
        <v>85</v>
      </c>
      <c r="C29" s="2" cm="1">
        <f t="array" ref="C29">THETAGREEK($B29,100,0.01,C$23,0.2)</f>
        <v>-2.232785524237944</v>
      </c>
      <c r="D29" s="2" cm="1">
        <f t="array" ref="D29">THETAGREEK($B29,100,0.01,D$23,0.2)</f>
        <v>-8.2329820335253849</v>
      </c>
      <c r="E29" s="2" cm="1">
        <f t="array" ref="E29">THETAGREEK($B29,100,0.01,E$23,0.2)</f>
        <v>-11.659916413435827</v>
      </c>
      <c r="F29" s="2" cm="1">
        <f t="array" ref="F29">THETAGREEK($B29,100,0.01,F$23,0.2)</f>
        <v>-13.300181468819167</v>
      </c>
      <c r="G29" s="2" cm="1">
        <f t="array" ref="G29">THETAGREEK($B29,100,0.01,G$23,0.2)</f>
        <v>-14.034262759301823</v>
      </c>
      <c r="H29" s="2" cm="1">
        <f t="array" ref="H29">THETAGREEK($B29,100,0.01,H$23,0.2)</f>
        <v>-14.303721989214308</v>
      </c>
      <c r="I29" s="2" cm="1">
        <f t="array" ref="I29">THETAGREEK($B29,100,0.01,I$23,0.2)</f>
        <v>-14.326414280823181</v>
      </c>
      <c r="J29" s="2" cm="1">
        <f t="array" ref="J29">THETAGREEK($B29,100,0.01,J$23,0.2)</f>
        <v>-14.21481111250038</v>
      </c>
      <c r="K29" s="2" cm="1">
        <f t="array" ref="K29">THETAGREEK($B29,100,0.01,K$23,0.2)</f>
        <v>-14.029781284705937</v>
      </c>
      <c r="L29" s="2" cm="1">
        <f t="array" ref="L29">THETAGREEK($B29,100,0.01,L$23,0.2)</f>
        <v>-13.805581458723221</v>
      </c>
      <c r="M29" s="2" cm="1">
        <f t="array" ref="M29">THETAGREEK($B29,100,0.01,M$23,0.2)</f>
        <v>-13.562071903340387</v>
      </c>
      <c r="N29" s="2" cm="1">
        <f t="array" ref="N29">THETAGREEK($B29,100,0.01,N$23,0.2)</f>
        <v>-13.311000808667989</v>
      </c>
      <c r="O29" s="2" cm="1">
        <f t="array" ref="O29">THETAGREEK($B29,100,0.01,O$23,0.2)</f>
        <v>-13.059388583482695</v>
      </c>
      <c r="P29" s="2" cm="1">
        <f t="array" ref="P29">THETAGREEK($B29,100,0.01,P$23,0.2)</f>
        <v>-12.811424005797969</v>
      </c>
      <c r="Q29" s="2" cm="1">
        <f t="array" ref="Q29">THETAGREEK($B29,100,0.01,Q$23,0.2)</f>
        <v>-12.569563151923749</v>
      </c>
      <c r="R29" s="2" cm="1">
        <f t="array" ref="R29">THETAGREEK($B29,100,0.01,R$23,0.2)</f>
        <v>-12.335184849710146</v>
      </c>
      <c r="S29" s="2" cm="1">
        <f t="array" ref="S29">THETAGREEK($B29,100,0.01,S$23,0.2)</f>
        <v>-12.108991210571864</v>
      </c>
      <c r="T29" s="2" cm="1">
        <f t="array" ref="T29">THETAGREEK($B29,100,0.01,T$23,0.2)</f>
        <v>-11.89125738610961</v>
      </c>
      <c r="U29" s="2" cm="1">
        <f t="array" ref="U29">THETAGREEK($B29,100,0.01,U$23,0.2)</f>
        <v>-11.681989908889671</v>
      </c>
      <c r="V29" s="2" cm="1">
        <f t="array" ref="V29">THETAGREEK($B29,100,0.01,V$23,0.2)</f>
        <v>-11.481028402246055</v>
      </c>
      <c r="W29" s="2" cm="1">
        <f t="array" ref="W29">THETAGREEK($B29,100,0.01,W$23,0.2)</f>
        <v>-11.288111549529447</v>
      </c>
      <c r="X29" s="2" cm="1">
        <f t="array" ref="X29">THETAGREEK($B29,100,0.01,X$23,0.2)</f>
        <v>-11.102920144305049</v>
      </c>
      <c r="Y29" s="2" cm="1">
        <f t="array" ref="Y29">THETAGREEK($B29,100,0.01,Y$23,0.2)</f>
        <v>-10.925105243535056</v>
      </c>
      <c r="Z29" s="2" cm="1">
        <f t="array" ref="Z29">THETAGREEK($B29,100,0.01,Z$23,0.2)</f>
        <v>-10.754306529021594</v>
      </c>
      <c r="AA29" s="2" cm="1">
        <f t="array" ref="AA29">THETAGREEK($B29,100,0.01,AA$23,0.2)</f>
        <v>-10.590164175255069</v>
      </c>
      <c r="AB29" s="2" cm="1">
        <f t="array" ref="AB29">THETAGREEK($B29,100,0.01,AB$23,0.2)</f>
        <v>-10.432326382575752</v>
      </c>
      <c r="AC29" s="2" cm="1">
        <f t="array" ref="AC29">THETAGREEK($B29,100,0.01,AC$23,0.2)</f>
        <v>-10.280454005075205</v>
      </c>
      <c r="AD29" s="2" cm="1">
        <f t="array" ref="AD29">THETAGREEK($B29,100,0.01,AD$23,0.2)</f>
        <v>-10.134223228967477</v>
      </c>
      <c r="AE29" s="2" cm="1">
        <f t="array" ref="AE29">THETAGREEK($B29,100,0.01,AE$23,0.2)</f>
        <v>-9.9933269456734219</v>
      </c>
      <c r="AF29" s="2" cm="1">
        <f t="array" ref="AF29">THETAGREEK($B29,100,0.01,AF$23,0.2)</f>
        <v>-9.8574752567312611</v>
      </c>
      <c r="AG29" s="2" cm="1">
        <f t="array" ref="AG29">THETAGREEK($B29,100,0.01,AG$23,0.2)</f>
        <v>-9.7263954085370354</v>
      </c>
      <c r="AH29" s="2" cm="1">
        <f t="array" ref="AH29">THETAGREEK($B29,100,0.01,AH$23,0.2)</f>
        <v>-9.5998313606760171</v>
      </c>
      <c r="AI29" s="2" cm="1">
        <f t="array" ref="AI29">THETAGREEK($B29,100,0.01,AI$23,0.2)</f>
        <v>-9.4775431272795405</v>
      </c>
      <c r="AJ29" s="2" cm="1">
        <f t="array" ref="AJ29">THETAGREEK($B29,100,0.01,AJ$23,0.2)</f>
        <v>-9.3593059866576152</v>
      </c>
      <c r="AK29" s="2" cm="1">
        <f t="array" ref="AK29">THETAGREEK($B29,100,0.01,AK$23,0.2)</f>
        <v>-9.244909623955305</v>
      </c>
      <c r="AL29" s="2" cm="1">
        <f t="array" ref="AL29">THETAGREEK($B29,100,0.01,AL$23,0.2)</f>
        <v>-9.1341572504450017</v>
      </c>
      <c r="AM29" s="2" cm="1">
        <f t="array" ref="AM29">THETAGREEK($B29,100,0.01,AM$23,0.2)</f>
        <v>-9.0268647283875385</v>
      </c>
      <c r="AN29" s="2" cm="1">
        <f t="array" ref="AN29">THETAGREEK($B29,100,0.01,AN$23,0.2)</f>
        <v>-8.9228597201934754</v>
      </c>
      <c r="AO29" s="2" cm="1">
        <f t="array" ref="AO29">THETAGREEK($B29,100,0.01,AO$23,0.2)</f>
        <v>-8.8219808735352707</v>
      </c>
      <c r="AP29" s="2" cm="1">
        <f t="array" ref="AP29">THETAGREEK($B29,100,0.01,AP$23,0.2)</f>
        <v>-8.7240770491647197</v>
      </c>
      <c r="AQ29" s="2" cm="1">
        <f t="array" ref="AQ29">THETAGREEK($B29,100,0.01,AQ$23,0.2)</f>
        <v>-8.6290065948268637</v>
      </c>
      <c r="AR29" s="2" cm="1">
        <f t="array" ref="AR29">THETAGREEK($B29,100,0.01,AR$23,0.2)</f>
        <v>-8.5366366663769551</v>
      </c>
      <c r="AS29" s="2" cm="1">
        <f t="array" ref="AS29">THETAGREEK($B29,100,0.01,AS$23,0.2)</f>
        <v>-8.4468425956813569</v>
      </c>
      <c r="AT29" s="2" cm="1">
        <f t="array" ref="AT29">THETAGREEK($B29,100,0.01,AT$23,0.2)</f>
        <v>-8.3595073038910748</v>
      </c>
      <c r="AU29" s="2" cm="1">
        <f t="array" ref="AU29">THETAGREEK($B29,100,0.01,AU$23,0.2)</f>
        <v>-8.2745207580588112</v>
      </c>
      <c r="AV29" s="2" cm="1">
        <f t="array" ref="AV29">THETAGREEK($B29,100,0.01,AV$23,0.2)</f>
        <v>-8.1917794687133139</v>
      </c>
      <c r="AW29" s="2" cm="1">
        <f t="array" ref="AW29">THETAGREEK($B29,100,0.01,AW$23,0.2)</f>
        <v>-8.1111860258286708</v>
      </c>
      <c r="AX29" s="2" cm="1">
        <f t="array" ref="AX29">THETAGREEK($B29,100,0.01,AX$23,0.2)</f>
        <v>-8.0326486705731011</v>
      </c>
      <c r="AY29" s="2" cm="1">
        <f t="array" ref="AY29">THETAGREEK($B29,100,0.01,AY$23,0.2)</f>
        <v>-7.9560809002517905</v>
      </c>
      <c r="AZ29" s="2" cm="1">
        <f t="array" ref="AZ29">THETAGREEK($B29,100,0.01,AZ$23,0.2)</f>
        <v>-7.8814011039421112</v>
      </c>
    </row>
    <row r="30" spans="1:52" x14ac:dyDescent="0.3">
      <c r="A30" s="2"/>
      <c r="B30" s="2">
        <v>90</v>
      </c>
      <c r="C30" s="2" cm="1">
        <f t="array" ref="C30">THETAGREEK($B30,100,0.01,C$23,0.2)</f>
        <v>-15.368533160223642</v>
      </c>
      <c r="D30" s="2" cm="1">
        <f t="array" ref="D30">THETAGREEK($B30,100,0.01,D$23,0.2)</f>
        <v>-21.773556246158098</v>
      </c>
      <c r="E30" s="2" cm="1">
        <f t="array" ref="E30">THETAGREEK($B30,100,0.01,E$23,0.2)</f>
        <v>-22.421457622874492</v>
      </c>
      <c r="F30" s="2" cm="1">
        <f t="array" ref="F30">THETAGREEK($B30,100,0.01,F$23,0.2)</f>
        <v>-21.810047332031576</v>
      </c>
      <c r="G30" s="2" cm="1">
        <f t="array" ref="G30">THETAGREEK($B30,100,0.01,G$23,0.2)</f>
        <v>-20.917294657416825</v>
      </c>
      <c r="H30" s="2" cm="1">
        <f t="array" ref="H30">THETAGREEK($B30,100,0.01,H$23,0.2)</f>
        <v>-20.004197694378263</v>
      </c>
      <c r="I30" s="2" cm="1">
        <f t="array" ref="I30">THETAGREEK($B30,100,0.01,I$23,0.2)</f>
        <v>-19.145721925671644</v>
      </c>
      <c r="J30" s="2" cm="1">
        <f t="array" ref="J30">THETAGREEK($B30,100,0.01,J$23,0.2)</f>
        <v>-18.360200001424534</v>
      </c>
      <c r="K30" s="2" cm="1">
        <f t="array" ref="K30">THETAGREEK($B30,100,0.01,K$23,0.2)</f>
        <v>-17.647438879223987</v>
      </c>
      <c r="L30" s="2" cm="1">
        <f t="array" ref="L30">THETAGREEK($B30,100,0.01,L$23,0.2)</f>
        <v>-17.001374705983402</v>
      </c>
      <c r="M30" s="2" cm="1">
        <f t="array" ref="M30">THETAGREEK($B30,100,0.01,M$23,0.2)</f>
        <v>-16.414558235335541</v>
      </c>
      <c r="N30" s="2" cm="1">
        <f t="array" ref="N30">THETAGREEK($B30,100,0.01,N$23,0.2)</f>
        <v>-15.879756111830281</v>
      </c>
      <c r="O30" s="2" cm="1">
        <f t="array" ref="O30">THETAGREEK($B30,100,0.01,O$23,0.2)</f>
        <v>-15.390472560320097</v>
      </c>
      <c r="P30" s="2" cm="1">
        <f t="array" ref="P30">THETAGREEK($B30,100,0.01,P$23,0.2)</f>
        <v>-14.941058063527121</v>
      </c>
      <c r="Q30" s="2" cm="1">
        <f t="array" ref="Q30">THETAGREEK($B30,100,0.01,Q$23,0.2)</f>
        <v>-14.526664617333191</v>
      </c>
      <c r="R30" s="2" cm="1">
        <f t="array" ref="R30">THETAGREEK($B30,100,0.01,R$23,0.2)</f>
        <v>-14.143151481139865</v>
      </c>
      <c r="S30" s="2" cm="1">
        <f t="array" ref="S30">THETAGREEK($B30,100,0.01,S$23,0.2)</f>
        <v>-13.786982868552753</v>
      </c>
      <c r="T30" s="2" cm="1">
        <f t="array" ref="T30">THETAGREEK($B30,100,0.01,T$23,0.2)</f>
        <v>-13.455133199276665</v>
      </c>
      <c r="U30" s="2" cm="1">
        <f t="array" ref="U30">THETAGREEK($B30,100,0.01,U$23,0.2)</f>
        <v>-13.145004766490546</v>
      </c>
      <c r="V30" s="2" cm="1">
        <f t="array" ref="V30">THETAGREEK($B30,100,0.01,V$23,0.2)</f>
        <v>-12.854358282694443</v>
      </c>
      <c r="W30" s="2" cm="1">
        <f t="array" ref="W30">THETAGREEK($B30,100,0.01,W$23,0.2)</f>
        <v>-12.581255115239838</v>
      </c>
      <c r="X30" s="2" cm="1">
        <f t="array" ref="X30">THETAGREEK($B30,100,0.01,X$23,0.2)</f>
        <v>-12.324009542241022</v>
      </c>
      <c r="Y30" s="2" cm="1">
        <f t="array" ref="Y30">THETAGREEK($B30,100,0.01,Y$23,0.2)</f>
        <v>-12.08114936157712</v>
      </c>
      <c r="Z30" s="2" cm="1">
        <f t="array" ref="Z30">THETAGREEK($B30,100,0.01,Z$23,0.2)</f>
        <v>-11.85138336649436</v>
      </c>
      <c r="AA30" s="2" cm="1">
        <f t="array" ref="AA30">THETAGREEK($B30,100,0.01,AA$23,0.2)</f>
        <v>-11.63357442906725</v>
      </c>
      <c r="AB30" s="2" cm="1">
        <f t="array" ref="AB30">THETAGREEK($B30,100,0.01,AB$23,0.2)</f>
        <v>-11.426717153106198</v>
      </c>
      <c r="AC30" s="2" cm="1">
        <f t="array" ref="AC30">THETAGREEK($B30,100,0.01,AC$23,0.2)</f>
        <v>-11.229919251406224</v>
      </c>
      <c r="AD30" s="2" cm="1">
        <f t="array" ref="AD30">THETAGREEK($B30,100,0.01,AD$23,0.2)</f>
        <v>-11.042385964124316</v>
      </c>
      <c r="AE30" s="2" cm="1">
        <f t="array" ref="AE30">THETAGREEK($B30,100,0.01,AE$23,0.2)</f>
        <v>-10.86340696739328</v>
      </c>
      <c r="AF30" s="2" cm="1">
        <f t="array" ref="AF30">THETAGREEK($B30,100,0.01,AF$23,0.2)</f>
        <v>-10.692345328026216</v>
      </c>
      <c r="AG30" s="2" cm="1">
        <f t="array" ref="AG30">THETAGREEK($B30,100,0.01,AG$23,0.2)</f>
        <v>-10.528628145707829</v>
      </c>
      <c r="AH30" s="2" cm="1">
        <f t="array" ref="AH30">THETAGREEK($B30,100,0.01,AH$23,0.2)</f>
        <v>-10.37173859242453</v>
      </c>
      <c r="AI30" s="2" cm="1">
        <f t="array" ref="AI30">THETAGREEK($B30,100,0.01,AI$23,0.2)</f>
        <v>-10.221209113484209</v>
      </c>
      <c r="AJ30" s="2" cm="1">
        <f t="array" ref="AJ30">THETAGREEK($B30,100,0.01,AJ$23,0.2)</f>
        <v>-10.076615598136344</v>
      </c>
      <c r="AK30" s="2" cm="1">
        <f t="array" ref="AK30">THETAGREEK($B30,100,0.01,AK$23,0.2)</f>
        <v>-9.9375723627900214</v>
      </c>
      <c r="AL30" s="2" cm="1">
        <f t="array" ref="AL30">THETAGREEK($B30,100,0.01,AL$23,0.2)</f>
        <v>-9.8037278179430558</v>
      </c>
      <c r="AM30" s="2" cm="1">
        <f t="array" ref="AM30">THETAGREEK($B30,100,0.01,AM$23,0.2)</f>
        <v>-9.6747607126023301</v>
      </c>
      <c r="AN30" s="2" cm="1">
        <f t="array" ref="AN30">THETAGREEK($B30,100,0.01,AN$23,0.2)</f>
        <v>-9.5503768683136236</v>
      </c>
      <c r="AO30" s="2" cm="1">
        <f t="array" ref="AO30">THETAGREEK($B30,100,0.01,AO$23,0.2)</f>
        <v>-9.4303063298098291</v>
      </c>
      <c r="AP30" s="2" cm="1">
        <f t="array" ref="AP30">THETAGREEK($B30,100,0.01,AP$23,0.2)</f>
        <v>-9.3143008714229296</v>
      </c>
      <c r="AQ30" s="2" cm="1">
        <f t="array" ref="AQ30">THETAGREEK($B30,100,0.01,AQ$23,0.2)</f>
        <v>-9.2021318083342507</v>
      </c>
      <c r="AR30" s="2" cm="1">
        <f t="array" ref="AR30">THETAGREEK($B30,100,0.01,AR$23,0.2)</f>
        <v>-9.093588069891311</v>
      </c>
      <c r="AS30" s="2" cm="1">
        <f t="array" ref="AS30">THETAGREEK($B30,100,0.01,AS$23,0.2)</f>
        <v>-8.9884744989406862</v>
      </c>
      <c r="AT30" s="2" cm="1">
        <f t="array" ref="AT30">THETAGREEK($B30,100,0.01,AT$23,0.2)</f>
        <v>-8.8866103466862789</v>
      </c>
      <c r="AU30" s="2" cm="1">
        <f t="array" ref="AU30">THETAGREEK($B30,100,0.01,AU$23,0.2)</f>
        <v>-8.7878279371990651</v>
      </c>
      <c r="AV30" s="2" cm="1">
        <f t="array" ref="AV30">THETAGREEK($B30,100,0.01,AV$23,0.2)</f>
        <v>-8.6919714795505367</v>
      </c>
      <c r="AW30" s="2" cm="1">
        <f t="array" ref="AW30">THETAGREEK($B30,100,0.01,AW$23,0.2)</f>
        <v>-8.5988960087580324</v>
      </c>
      <c r="AX30" s="2" cm="1">
        <f t="array" ref="AX30">THETAGREEK($B30,100,0.01,AX$23,0.2)</f>
        <v>-8.5084664394274085</v>
      </c>
      <c r="AY30" s="2" cm="1">
        <f t="array" ref="AY30">THETAGREEK($B30,100,0.01,AY$23,0.2)</f>
        <v>-8.420556718248859</v>
      </c>
      <c r="AZ30" s="2" cm="1">
        <f t="array" ref="AZ30">THETAGREEK($B30,100,0.01,AZ$23,0.2)</f>
        <v>-8.335049063418003</v>
      </c>
    </row>
    <row r="31" spans="1:52" x14ac:dyDescent="0.3">
      <c r="A31" s="2"/>
      <c r="B31" s="2">
        <v>95</v>
      </c>
      <c r="C31" s="2" cm="1">
        <f t="array" ref="C31">THETAGREEK($B31,100,0.01,C$23,0.2)</f>
        <v>-44.974641784812817</v>
      </c>
      <c r="D31" s="2" cm="1">
        <f t="array" ref="D31">THETAGREEK($B31,100,0.01,D$23,0.2)</f>
        <v>-37.548958738318007</v>
      </c>
      <c r="E31" s="2" cm="1">
        <f t="array" ref="E31">THETAGREEK($B31,100,0.01,E$23,0.2)</f>
        <v>-32.421717242640263</v>
      </c>
      <c r="F31" s="2" cm="1">
        <f t="array" ref="F31">THETAGREEK($B31,100,0.01,F$23,0.2)</f>
        <v>-28.880564807352748</v>
      </c>
      <c r="G31" s="2" cm="1">
        <f t="array" ref="G31">THETAGREEK($B31,100,0.01,G$23,0.2)</f>
        <v>-26.274457053189085</v>
      </c>
      <c r="H31" s="2" cm="1">
        <f t="array" ref="H31">THETAGREEK($B31,100,0.01,H$23,0.2)</f>
        <v>-24.259196059471758</v>
      </c>
      <c r="I31" s="2" cm="1">
        <f t="array" ref="I31">THETAGREEK($B31,100,0.01,I$23,0.2)</f>
        <v>-22.64240310820238</v>
      </c>
      <c r="J31" s="2" cm="1">
        <f t="array" ref="J31">THETAGREEK($B31,100,0.01,J$23,0.2)</f>
        <v>-21.308504153177992</v>
      </c>
      <c r="K31" s="2" cm="1">
        <f t="array" ref="K31">THETAGREEK($B31,100,0.01,K$23,0.2)</f>
        <v>-20.183705950110376</v>
      </c>
      <c r="L31" s="2" cm="1">
        <f t="array" ref="L31">THETAGREEK($B31,100,0.01,L$23,0.2)</f>
        <v>-19.218510717632629</v>
      </c>
      <c r="M31" s="2" cm="1">
        <f t="array" ref="M31">THETAGREEK($B31,100,0.01,M$23,0.2)</f>
        <v>-18.378359419455879</v>
      </c>
      <c r="N31" s="2" cm="1">
        <f t="array" ref="N31">THETAGREEK($B31,100,0.01,N$23,0.2)</f>
        <v>-17.638313328949092</v>
      </c>
      <c r="O31" s="2" cm="1">
        <f t="array" ref="O31">THETAGREEK($B31,100,0.01,O$23,0.2)</f>
        <v>-16.97987278899436</v>
      </c>
      <c r="P31" s="2" cm="1">
        <f t="array" ref="P31">THETAGREEK($B31,100,0.01,P$23,0.2)</f>
        <v>-16.388990529926225</v>
      </c>
      <c r="Q31" s="2" cm="1">
        <f t="array" ref="Q31">THETAGREEK($B31,100,0.01,Q$23,0.2)</f>
        <v>-15.854784621129721</v>
      </c>
      <c r="R31" s="2" cm="1">
        <f t="array" ref="R31">THETAGREEK($B31,100,0.01,R$23,0.2)</f>
        <v>-15.36867797287611</v>
      </c>
      <c r="S31" s="2" cm="1">
        <f t="array" ref="S31">THETAGREEK($B31,100,0.01,S$23,0.2)</f>
        <v>-14.923807084689368</v>
      </c>
      <c r="T31" s="2" cm="1">
        <f t="array" ref="T31">THETAGREEK($B31,100,0.01,T$23,0.2)</f>
        <v>-14.514605969929026</v>
      </c>
      <c r="U31" s="2" cm="1">
        <f t="array" ref="U31">THETAGREEK($B31,100,0.01,U$23,0.2)</f>
        <v>-14.136507123652594</v>
      </c>
      <c r="V31" s="2" cm="1">
        <f t="array" ref="V31">THETAGREEK($B31,100,0.01,V$23,0.2)</f>
        <v>-13.785722553702005</v>
      </c>
      <c r="W31" s="2" cm="1">
        <f t="array" ref="W31">THETAGREEK($B31,100,0.01,W$23,0.2)</f>
        <v>-13.45908073826217</v>
      </c>
      <c r="X31" s="2" cm="1">
        <f t="array" ref="X31">THETAGREEK($B31,100,0.01,X$23,0.2)</f>
        <v>-13.153903389877296</v>
      </c>
      <c r="Y31" s="2" cm="1">
        <f t="array" ref="Y31">THETAGREEK($B31,100,0.01,Y$23,0.2)</f>
        <v>-12.867911035503468</v>
      </c>
      <c r="Z31" s="2" cm="1">
        <f t="array" ref="Z31">THETAGREEK($B31,100,0.01,Z$23,0.2)</f>
        <v>-12.599149778501461</v>
      </c>
      <c r="AA31" s="2" cm="1">
        <f t="array" ref="AA31">THETAGREEK($B31,100,0.01,AA$23,0.2)</f>
        <v>-12.345933849371804</v>
      </c>
      <c r="AB31" s="2" cm="1">
        <f t="array" ref="AB31">THETAGREEK($B31,100,0.01,AB$23,0.2)</f>
        <v>-12.10680007595046</v>
      </c>
      <c r="AC31" s="2" cm="1">
        <f t="array" ref="AC31">THETAGREEK($B31,100,0.01,AC$23,0.2)</f>
        <v>-11.880471457655567</v>
      </c>
      <c r="AD31" s="2" cm="1">
        <f t="array" ref="AD31">THETAGREEK($B31,100,0.01,AD$23,0.2)</f>
        <v>-11.665827768484274</v>
      </c>
      <c r="AE31" s="2" cm="1">
        <f t="array" ref="AE31">THETAGREEK($B31,100,0.01,AE$23,0.2)</f>
        <v>-11.461881640626272</v>
      </c>
      <c r="AF31" s="2" cm="1">
        <f t="array" ref="AF31">THETAGREEK($B31,100,0.01,AF$23,0.2)</f>
        <v>-11.267758960990919</v>
      </c>
      <c r="AG31" s="2" cm="1">
        <f t="array" ref="AG31">THETAGREEK($B31,100,0.01,AG$23,0.2)</f>
        <v>-11.08268269082221</v>
      </c>
      <c r="AH31" s="2" cm="1">
        <f t="array" ref="AH31">THETAGREEK($B31,100,0.01,AH$23,0.2)</f>
        <v>-10.905959423837485</v>
      </c>
      <c r="AI31" s="2" cm="1">
        <f t="array" ref="AI31">THETAGREEK($B31,100,0.01,AI$23,0.2)</f>
        <v>-10.736968151541204</v>
      </c>
      <c r="AJ31" s="2" cm="1">
        <f t="array" ref="AJ31">THETAGREEK($B31,100,0.01,AJ$23,0.2)</f>
        <v>-10.575150819851999</v>
      </c>
      <c r="AK31" s="2" cm="1">
        <f t="array" ref="AK31">THETAGREEK($B31,100,0.01,AK$23,0.2)</f>
        <v>-10.420004349028243</v>
      </c>
      <c r="AL31" s="2" cm="1">
        <f t="array" ref="AL31">THETAGREEK($B31,100,0.01,AL$23,0.2)</f>
        <v>-10.271073856273482</v>
      </c>
      <c r="AM31" s="2" cm="1">
        <f t="array" ref="AM31">THETAGREEK($B31,100,0.01,AM$23,0.2)</f>
        <v>-10.127946872526493</v>
      </c>
      <c r="AN31" s="2" cm="1">
        <f t="array" ref="AN31">THETAGREEK($B31,100,0.01,AN$23,0.2)</f>
        <v>-9.9902483855583757</v>
      </c>
      <c r="AO31" s="2" cm="1">
        <f t="array" ref="AO31">THETAGREEK($B31,100,0.01,AO$23,0.2)</f>
        <v>-9.8576365733770164</v>
      </c>
      <c r="AP31" s="2" cm="1">
        <f t="array" ref="AP31">THETAGREEK($B31,100,0.01,AP$23,0.2)</f>
        <v>-9.729799117127337</v>
      </c>
      <c r="AQ31" s="2" cm="1">
        <f t="array" ref="AQ31">THETAGREEK($B31,100,0.01,AQ$23,0.2)</f>
        <v>-9.6064500027046069</v>
      </c>
      <c r="AR31" s="2" cm="1">
        <f t="array" ref="AR31">THETAGREEK($B31,100,0.01,AR$23,0.2)</f>
        <v>-9.487326736321176</v>
      </c>
      <c r="AS31" s="2" cm="1">
        <f t="array" ref="AS31">THETAGREEK($B31,100,0.01,AS$23,0.2)</f>
        <v>-9.372187912158962</v>
      </c>
      <c r="AT31" s="2" cm="1">
        <f t="array" ref="AT31">THETAGREEK($B31,100,0.01,AT$23,0.2)</f>
        <v>-9.2608110806689847</v>
      </c>
      <c r="AU31" s="2" cm="1">
        <f t="array" ref="AU31">THETAGREEK($B31,100,0.01,AU$23,0.2)</f>
        <v>-9.1529908745600714</v>
      </c>
      <c r="AV31" s="2" cm="1">
        <f t="array" ref="AV31">THETAGREEK($B31,100,0.01,AV$23,0.2)</f>
        <v>-9.0485373564487812</v>
      </c>
      <c r="AW31" s="2" cm="1">
        <f t="array" ref="AW31">THETAGREEK($B31,100,0.01,AW$23,0.2)</f>
        <v>-8.9472745578326371</v>
      </c>
      <c r="AX31" s="2" cm="1">
        <f t="array" ref="AX31">THETAGREEK($B31,100,0.01,AX$23,0.2)</f>
        <v>-8.8490391837410094</v>
      </c>
      <c r="AY31" s="2" cm="1">
        <f t="array" ref="AY31">THETAGREEK($B31,100,0.01,AY$23,0.2)</f>
        <v>-8.753679461304694</v>
      </c>
      <c r="AZ31" s="2" cm="1">
        <f t="array" ref="AZ31">THETAGREEK($B31,100,0.01,AZ$23,0.2)</f>
        <v>-8.6610541137173485</v>
      </c>
    </row>
    <row r="32" spans="1:52" x14ac:dyDescent="0.3">
      <c r="A32" s="2"/>
      <c r="B32" s="2">
        <v>100</v>
      </c>
      <c r="C32" s="2" cm="1">
        <f t="array" ref="C32">THETAGREEK($B32,100,0.01,C$23,0.2)</f>
        <v>-63.500588835946438</v>
      </c>
      <c r="D32" s="2" cm="1">
        <f t="array" ref="D32">THETAGREEK($B32,100,0.01,D$23,0.2)</f>
        <v>-44.992957683270156</v>
      </c>
      <c r="E32" s="2" cm="1">
        <f t="array" ref="E32">THETAGREEK($B32,100,0.01,E$23,0.2)</f>
        <v>-36.783187353866644</v>
      </c>
      <c r="F32" s="2" cm="1">
        <f t="array" ref="F32">THETAGREEK($B32,100,0.01,F$23,0.2)</f>
        <v>-31.882989964209802</v>
      </c>
      <c r="G32" s="2" cm="1">
        <f t="array" ref="G32">THETAGREEK($B32,100,0.01,G$23,0.2)</f>
        <v>-28.534721075159592</v>
      </c>
      <c r="H32" s="2" cm="1">
        <f t="array" ref="H32">THETAGREEK($B32,100,0.01,H$23,0.2)</f>
        <v>-26.060029694463299</v>
      </c>
      <c r="I32" s="2" cm="1">
        <f t="array" ref="I32">THETAGREEK($B32,100,0.01,I$23,0.2)</f>
        <v>-24.134292477160713</v>
      </c>
      <c r="J32" s="2" cm="1">
        <f t="array" ref="J32">THETAGREEK($B32,100,0.01,J$23,0.2)</f>
        <v>-22.580060772833534</v>
      </c>
      <c r="K32" s="2" cm="1">
        <f t="array" ref="K32">THETAGREEK($B32,100,0.01,K$23,0.2)</f>
        <v>-21.29106244067826</v>
      </c>
      <c r="L32" s="2" cm="1">
        <f t="array" ref="L32">THETAGREEK($B32,100,0.01,L$23,0.2)</f>
        <v>-20.199251050863595</v>
      </c>
      <c r="M32" s="2" cm="1">
        <f t="array" ref="M32">THETAGREEK($B32,100,0.01,M$23,0.2)</f>
        <v>-19.25876706286736</v>
      </c>
      <c r="N32" s="2" cm="1">
        <f t="array" ref="N32">THETAGREEK($B32,100,0.01,N$23,0.2)</f>
        <v>-18.437425301913777</v>
      </c>
      <c r="O32" s="2" cm="1">
        <f t="array" ref="O32">THETAGREEK($B32,100,0.01,O$23,0.2)</f>
        <v>-17.711881866996951</v>
      </c>
      <c r="P32" s="2" cm="1">
        <f t="array" ref="P32">THETAGREEK($B32,100,0.01,P$23,0.2)</f>
        <v>-17.064737420519624</v>
      </c>
      <c r="Q32" s="2" cm="1">
        <f t="array" ref="Q32">THETAGREEK($B32,100,0.01,Q$23,0.2)</f>
        <v>-16.482722042318695</v>
      </c>
      <c r="R32" s="2" cm="1">
        <f t="array" ref="R32">THETAGREEK($B32,100,0.01,R$23,0.2)</f>
        <v>-15.955514633796389</v>
      </c>
      <c r="S32" s="2" cm="1">
        <f t="array" ref="S32">THETAGREEK($B32,100,0.01,S$23,0.2)</f>
        <v>-15.474950325205556</v>
      </c>
      <c r="T32" s="2" cm="1">
        <f t="array" ref="T32">THETAGREEK($B32,100,0.01,T$23,0.2)</f>
        <v>-15.034473652549288</v>
      </c>
      <c r="U32" s="2" cm="1">
        <f t="array" ref="U32">THETAGREEK($B32,100,0.01,U$23,0.2)</f>
        <v>-14.628752229031399</v>
      </c>
      <c r="V32" s="2" cm="1">
        <f t="array" ref="V32">THETAGREEK($B32,100,0.01,V$23,0.2)</f>
        <v>-14.253398050864519</v>
      </c>
      <c r="W32" s="2" cm="1">
        <f t="array" ref="W32">THETAGREEK($B32,100,0.01,W$23,0.2)</f>
        <v>-13.904762699617729</v>
      </c>
      <c r="X32" s="2" cm="1">
        <f t="array" ref="X32">THETAGREEK($B32,100,0.01,X$23,0.2)</f>
        <v>-13.579784345586312</v>
      </c>
      <c r="Y32" s="2" cm="1">
        <f t="array" ref="Y32">THETAGREEK($B32,100,0.01,Y$23,0.2)</f>
        <v>-13.275871745536618</v>
      </c>
      <c r="Z32" s="2" cm="1">
        <f t="array" ref="Z32">THETAGREEK($B32,100,0.01,Z$23,0.2)</f>
        <v>-12.990815106523284</v>
      </c>
      <c r="AA32" s="2" cm="1">
        <f t="array" ref="AA32">THETAGREEK($B32,100,0.01,AA$23,0.2)</f>
        <v>-12.722716758099134</v>
      </c>
      <c r="AB32" s="2" cm="1">
        <f t="array" ref="AB32">THETAGREEK($B32,100,0.01,AB$23,0.2)</f>
        <v>-12.469936631693512</v>
      </c>
      <c r="AC32" s="2" cm="1">
        <f t="array" ref="AC32">THETAGREEK($B32,100,0.01,AC$23,0.2)</f>
        <v>-12.231048948618303</v>
      </c>
      <c r="AD32" s="2" cm="1">
        <f t="array" ref="AD32">THETAGREEK($B32,100,0.01,AD$23,0.2)</f>
        <v>-12.004807491010549</v>
      </c>
      <c r="AE32" s="2" cm="1">
        <f t="array" ref="AE32">THETAGREEK($B32,100,0.01,AE$23,0.2)</f>
        <v>-11.790117515138396</v>
      </c>
      <c r="AF32" s="2" cm="1">
        <f t="array" ref="AF32">THETAGREEK($B32,100,0.01,AF$23,0.2)</f>
        <v>-11.586012855804519</v>
      </c>
      <c r="AG32" s="2" cm="1">
        <f t="array" ref="AG32">THETAGREEK($B32,100,0.01,AG$23,0.2)</f>
        <v>-11.391637124595762</v>
      </c>
      <c r="AH32" s="2" cm="1">
        <f t="array" ref="AH32">THETAGREEK($B32,100,0.01,AH$23,0.2)</f>
        <v>-11.206228163944999</v>
      </c>
      <c r="AI32" s="2" cm="1">
        <f t="array" ref="AI32">THETAGREEK($B32,100,0.01,AI$23,0.2)</f>
        <v>-11.029105110897666</v>
      </c>
      <c r="AJ32" s="2" cm="1">
        <f t="array" ref="AJ32">THETAGREEK($B32,100,0.01,AJ$23,0.2)</f>
        <v>-10.859657568057587</v>
      </c>
      <c r="AK32" s="2" cm="1">
        <f t="array" ref="AK32">THETAGREEK($B32,100,0.01,AK$23,0.2)</f>
        <v>-10.697336487643629</v>
      </c>
      <c r="AL32" s="2" cm="1">
        <f t="array" ref="AL32">THETAGREEK($B32,100,0.01,AL$23,0.2)</f>
        <v>-10.541646457256434</v>
      </c>
      <c r="AM32" s="2" cm="1">
        <f t="array" ref="AM32">THETAGREEK($B32,100,0.01,AM$23,0.2)</f>
        <v>-10.39213913950074</v>
      </c>
      <c r="AN32" s="2" cm="1">
        <f t="array" ref="AN32">THETAGREEK($B32,100,0.01,AN$23,0.2)</f>
        <v>-10.24840766684606</v>
      </c>
      <c r="AO32" s="2" cm="1">
        <f t="array" ref="AO32">THETAGREEK($B32,100,0.01,AO$23,0.2)</f>
        <v>-10.110081831545356</v>
      </c>
      <c r="AP32" s="2" cm="1">
        <f t="array" ref="AP32">THETAGREEK($B32,100,0.01,AP$23,0.2)</f>
        <v>-9.9768239406492167</v>
      </c>
      <c r="AQ32" s="2" cm="1">
        <f t="array" ref="AQ32">THETAGREEK($B32,100,0.01,AQ$23,0.2)</f>
        <v>-9.8483252300679727</v>
      </c>
      <c r="AR32" s="2" cm="1">
        <f t="array" ref="AR32">THETAGREEK($B32,100,0.01,AR$23,0.2)</f>
        <v>-9.7243027506806659</v>
      </c>
      <c r="AS32" s="2" cm="1">
        <f t="array" ref="AS32">THETAGREEK($B32,100,0.01,AS$23,0.2)</f>
        <v>-9.6044966547495907</v>
      </c>
      <c r="AT32" s="2" cm="1">
        <f t="array" ref="AT32">THETAGREEK($B32,100,0.01,AT$23,0.2)</f>
        <v>-9.4886678231943105</v>
      </c>
      <c r="AU32" s="2" cm="1">
        <f t="array" ref="AU32">THETAGREEK($B32,100,0.01,AU$23,0.2)</f>
        <v>-9.3765957842394965</v>
      </c>
      <c r="AV32" s="2" cm="1">
        <f t="array" ref="AV32">THETAGREEK($B32,100,0.01,AV$23,0.2)</f>
        <v>-9.26807688206069</v>
      </c>
      <c r="AW32" s="2" cm="1">
        <f t="array" ref="AW32">THETAGREEK($B32,100,0.01,AW$23,0.2)</f>
        <v>-9.1629226606879683</v>
      </c>
      <c r="AX32" s="2" cm="1">
        <f t="array" ref="AX32">THETAGREEK($B32,100,0.01,AX$23,0.2)</f>
        <v>-9.0609584338820213</v>
      </c>
      <c r="AY32" s="2" cm="1">
        <f t="array" ref="AY32">THETAGREEK($B32,100,0.01,AY$23,0.2)</f>
        <v>-8.9620220162010735</v>
      </c>
      <c r="AZ32" s="2" cm="1">
        <f t="array" ref="AZ32">THETAGREEK($B32,100,0.01,AZ$23,0.2)</f>
        <v>-8.8659625942115419</v>
      </c>
    </row>
    <row r="33" spans="1:52" x14ac:dyDescent="0.3">
      <c r="A33" s="2"/>
      <c r="B33" s="2">
        <v>105</v>
      </c>
      <c r="C33" s="2" cm="1">
        <f t="array" ref="C33">THETAGREEK($B33,100,0.01,C$23,0.2)</f>
        <v>-48.139572947170073</v>
      </c>
      <c r="D33" s="2" cm="1">
        <f t="array" ref="D33">THETAGREEK($B33,100,0.01,D$23,0.2)</f>
        <v>-39.519534007121727</v>
      </c>
      <c r="E33" s="2" cm="1">
        <f t="array" ref="E33">THETAGREEK($B33,100,0.01,E$23,0.2)</f>
        <v>-33.931730488753139</v>
      </c>
      <c r="F33" s="2" cm="1">
        <f t="array" ref="F33">THETAGREEK($B33,100,0.01,F$23,0.2)</f>
        <v>-30.140158790530187</v>
      </c>
      <c r="G33" s="2" cm="1">
        <f t="array" ref="G33">THETAGREEK($B33,100,0.01,G$23,0.2)</f>
        <v>-27.373409551262821</v>
      </c>
      <c r="H33" s="2" cm="1">
        <f t="array" ref="H33">THETAGREEK($B33,100,0.01,H$23,0.2)</f>
        <v>-25.244680294607928</v>
      </c>
      <c r="I33" s="2" cm="1">
        <f t="array" ref="I33">THETAGREEK($B33,100,0.01,I$23,0.2)</f>
        <v>-23.542549322664794</v>
      </c>
      <c r="J33" s="2" cm="1">
        <f t="array" ref="J33">THETAGREEK($B33,100,0.01,J$23,0.2)</f>
        <v>-22.141582412522109</v>
      </c>
      <c r="K33" s="2" cm="1">
        <f t="array" ref="K33">THETAGREEK($B33,100,0.01,K$23,0.2)</f>
        <v>-20.962334926833549</v>
      </c>
      <c r="L33" s="2" cm="1">
        <f t="array" ref="L33">THETAGREEK($B33,100,0.01,L$23,0.2)</f>
        <v>-19.951819412068364</v>
      </c>
      <c r="M33" s="2" cm="1">
        <f t="array" ref="M33">THETAGREEK($B33,100,0.01,M$23,0.2)</f>
        <v>-19.073195569483673</v>
      </c>
      <c r="N33" s="2" cm="1">
        <f t="array" ref="N33">THETAGREEK($B33,100,0.01,N$23,0.2)</f>
        <v>-18.299964660035045</v>
      </c>
      <c r="O33" s="2" cm="1">
        <f t="array" ref="O33">THETAGREEK($B33,100,0.01,O$23,0.2)</f>
        <v>-17.612520593392738</v>
      </c>
      <c r="P33" s="2" cm="1">
        <f t="array" ref="P33">THETAGREEK($B33,100,0.01,P$23,0.2)</f>
        <v>-16.996007348110865</v>
      </c>
      <c r="Q33" s="2" cm="1">
        <f t="array" ref="Q33">THETAGREEK($B33,100,0.01,Q$23,0.2)</f>
        <v>-16.438936669822549</v>
      </c>
      <c r="R33" s="2" cm="1">
        <f t="array" ref="R33">THETAGREEK($B33,100,0.01,R$23,0.2)</f>
        <v>-15.932266992926161</v>
      </c>
      <c r="S33" s="2" cm="1">
        <f t="array" ref="S33">THETAGREEK($B33,100,0.01,S$23,0.2)</f>
        <v>-15.468772326032996</v>
      </c>
      <c r="T33" s="2" cm="1">
        <f t="array" ref="T33">THETAGREEK($B33,100,0.01,T$23,0.2)</f>
        <v>-15.042599166263422</v>
      </c>
      <c r="U33" s="2" cm="1">
        <f t="array" ref="U33">THETAGREEK($B33,100,0.01,U$23,0.2)</f>
        <v>-14.648948693416948</v>
      </c>
      <c r="V33" s="2" cm="1">
        <f t="array" ref="V33">THETAGREEK($B33,100,0.01,V$23,0.2)</f>
        <v>-14.283844457375451</v>
      </c>
      <c r="W33" s="2" cm="1">
        <f t="array" ref="W33">THETAGREEK($B33,100,0.01,W$23,0.2)</f>
        <v>-13.943959662079319</v>
      </c>
      <c r="X33" s="2" cm="1">
        <f t="array" ref="X33">THETAGREEK($B33,100,0.01,X$23,0.2)</f>
        <v>-13.626486792012702</v>
      </c>
      <c r="Y33" s="2" cm="1">
        <f t="array" ref="Y33">THETAGREEK($B33,100,0.01,Y$23,0.2)</f>
        <v>-13.329037842098463</v>
      </c>
      <c r="Z33" s="2" cm="1">
        <f t="array" ref="Z33">THETAGREEK($B33,100,0.01,Z$23,0.2)</f>
        <v>-13.049567011807046</v>
      </c>
      <c r="AA33" s="2" cm="1">
        <f t="array" ref="AA33">THETAGREEK($B33,100,0.01,AA$23,0.2)</f>
        <v>-12.786310122791692</v>
      </c>
      <c r="AB33" s="2" cm="1">
        <f t="array" ref="AB33">THETAGREEK($B33,100,0.01,AB$23,0.2)</f>
        <v>-12.537736647443444</v>
      </c>
      <c r="AC33" s="2" cm="1">
        <f t="array" ref="AC33">THETAGREEK($B33,100,0.01,AC$23,0.2)</f>
        <v>-12.302511359808639</v>
      </c>
      <c r="AD33" s="2" cm="1">
        <f t="array" ref="AD33">THETAGREEK($B33,100,0.01,AD$23,0.2)</f>
        <v>-12.079463408533037</v>
      </c>
      <c r="AE33" s="2" cm="1">
        <f t="array" ref="AE33">THETAGREEK($B33,100,0.01,AE$23,0.2)</f>
        <v>-11.867561172182924</v>
      </c>
      <c r="AF33" s="2" cm="1">
        <f t="array" ref="AF33">THETAGREEK($B33,100,0.01,AF$23,0.2)</f>
        <v>-11.665891661420199</v>
      </c>
      <c r="AG33" s="2" cm="1">
        <f t="array" ref="AG33">THETAGREEK($B33,100,0.01,AG$23,0.2)</f>
        <v>-11.473643527367406</v>
      </c>
      <c r="AH33" s="2" cm="1">
        <f t="array" ref="AH33">THETAGREEK($B33,100,0.01,AH$23,0.2)</f>
        <v>-11.290092953082816</v>
      </c>
      <c r="AI33" s="2" cm="1">
        <f t="array" ref="AI33">THETAGREEK($B33,100,0.01,AI$23,0.2)</f>
        <v>-11.114591867327624</v>
      </c>
      <c r="AJ33" s="2" cm="1">
        <f t="array" ref="AJ33">THETAGREEK($B33,100,0.01,AJ$23,0.2)</f>
        <v>-10.946558042007794</v>
      </c>
      <c r="AK33" s="2" cm="1">
        <f t="array" ref="AK33">THETAGREEK($B33,100,0.01,AK$23,0.2)</f>
        <v>-10.785466727552654</v>
      </c>
      <c r="AL33" s="2" cm="1">
        <f t="array" ref="AL33">THETAGREEK($B33,100,0.01,AL$23,0.2)</f>
        <v>-10.63084355169693</v>
      </c>
      <c r="AM33" s="2" cm="1">
        <f t="array" ref="AM33">THETAGREEK($B33,100,0.01,AM$23,0.2)</f>
        <v>-10.482258462163713</v>
      </c>
      <c r="AN33" s="2" cm="1">
        <f t="array" ref="AN33">THETAGREEK($B33,100,0.01,AN$23,0.2)</f>
        <v>-10.339320536601461</v>
      </c>
      <c r="AO33" s="2" cm="1">
        <f t="array" ref="AO33">THETAGREEK($B33,100,0.01,AO$23,0.2)</f>
        <v>-10.201673516742646</v>
      </c>
      <c r="AP33" s="2" cm="1">
        <f t="array" ref="AP33">THETAGREEK($B33,100,0.01,AP$23,0.2)</f>
        <v>-10.068991950296363</v>
      </c>
      <c r="AQ33" s="2" cm="1">
        <f t="array" ref="AQ33">THETAGREEK($B33,100,0.01,AQ$23,0.2)</f>
        <v>-9.9409778451842321</v>
      </c>
      <c r="AR33" s="2" cm="1">
        <f t="array" ref="AR33">THETAGREEK($B33,100,0.01,AR$23,0.2)</f>
        <v>-9.817357757597712</v>
      </c>
      <c r="AS33" s="2" cm="1">
        <f t="array" ref="AS33">THETAGREEK($B33,100,0.01,AS$23,0.2)</f>
        <v>-9.6978802489211802</v>
      </c>
      <c r="AT33" s="2" cm="1">
        <f t="array" ref="AT33">THETAGREEK($B33,100,0.01,AT$23,0.2)</f>
        <v>-9.5823136575346535</v>
      </c>
      <c r="AU33" s="2" cm="1">
        <f t="array" ref="AU33">THETAGREEK($B33,100,0.01,AU$23,0.2)</f>
        <v>-9.4704441404266486</v>
      </c>
      <c r="AV33" s="2" cm="1">
        <f t="array" ref="AV33">THETAGREEK($B33,100,0.01,AV$23,0.2)</f>
        <v>-9.3620739468308685</v>
      </c>
      <c r="AW33" s="2" cm="1">
        <f t="array" ref="AW33">THETAGREEK($B33,100,0.01,AW$23,0.2)</f>
        <v>-9.257019892078155</v>
      </c>
      <c r="AX33" s="2" cm="1">
        <f t="array" ref="AX33">THETAGREEK($B33,100,0.01,AX$23,0.2)</f>
        <v>-9.1551120047830459</v>
      </c>
      <c r="AY33" s="2" cm="1">
        <f t="array" ref="AY33">THETAGREEK($B33,100,0.01,AY$23,0.2)</f>
        <v>-9.0561923245645914</v>
      </c>
      <c r="AZ33" s="2" cm="1">
        <f t="array" ref="AZ33">THETAGREEK($B33,100,0.01,AZ$23,0.2)</f>
        <v>-8.9601138308932704</v>
      </c>
    </row>
    <row r="34" spans="1:52" x14ac:dyDescent="0.3">
      <c r="A34" s="2"/>
      <c r="B34" s="2">
        <v>110</v>
      </c>
      <c r="C34" s="2" cm="1">
        <f t="array" ref="C34">THETAGREEK($B34,100,0.01,C$23,0.2)</f>
        <v>-21.66098294188529</v>
      </c>
      <c r="D34" s="2" cm="1">
        <f t="array" ref="D34">THETAGREEK($B34,100,0.01,D$23,0.2)</f>
        <v>-26.682268409472414</v>
      </c>
      <c r="E34" s="2" cm="1">
        <f t="array" ref="E34">THETAGREEK($B34,100,0.01,E$23,0.2)</f>
        <v>-26.255696330370764</v>
      </c>
      <c r="F34" s="2" cm="1">
        <f t="array" ref="F34">THETAGREEK($B34,100,0.01,F$23,0.2)</f>
        <v>-24.969718050490702</v>
      </c>
      <c r="G34" s="2" cm="1">
        <f t="array" ref="G34">THETAGREEK($B34,100,0.01,G$23,0.2)</f>
        <v>-23.626138800174473</v>
      </c>
      <c r="H34" s="2" cm="1">
        <f t="array" ref="H34">THETAGREEK($B34,100,0.01,H$23,0.2)</f>
        <v>-22.392134917279535</v>
      </c>
      <c r="I34" s="2" cm="1">
        <f t="array" ref="I34">THETAGREEK($B34,100,0.01,I$23,0.2)</f>
        <v>-21.293567065525018</v>
      </c>
      <c r="J34" s="2" cm="1">
        <f t="array" ref="J34">THETAGREEK($B34,100,0.01,J$23,0.2)</f>
        <v>-20.321335281827459</v>
      </c>
      <c r="K34" s="2" cm="1">
        <f t="array" ref="K34">THETAGREEK($B34,100,0.01,K$23,0.2)</f>
        <v>-19.458893332267429</v>
      </c>
      <c r="L34" s="2" cm="1">
        <f t="array" ref="L34">THETAGREEK($B34,100,0.01,L$23,0.2)</f>
        <v>-18.689873538545729</v>
      </c>
      <c r="M34" s="2" cm="1">
        <f t="array" ref="M34">THETAGREEK($B34,100,0.01,M$23,0.2)</f>
        <v>-18.000027735723886</v>
      </c>
      <c r="N34" s="2" cm="1">
        <f t="array" ref="N34">THETAGREEK($B34,100,0.01,N$23,0.2)</f>
        <v>-17.377460124798606</v>
      </c>
      <c r="O34" s="2" cm="1">
        <f t="array" ref="O34">THETAGREEK($B34,100,0.01,O$23,0.2)</f>
        <v>-16.812372179363521</v>
      </c>
      <c r="P34" s="2" cm="1">
        <f t="array" ref="P34">THETAGREEK($B34,100,0.01,P$23,0.2)</f>
        <v>-16.296709345350283</v>
      </c>
      <c r="Q34" s="2" cm="1">
        <f t="array" ref="Q34">THETAGREEK($B34,100,0.01,Q$23,0.2)</f>
        <v>-15.823830276781894</v>
      </c>
      <c r="R34" s="2" cm="1">
        <f t="array" ref="R34">THETAGREEK($B34,100,0.01,R$23,0.2)</f>
        <v>-15.388229234169218</v>
      </c>
      <c r="S34" s="2" cm="1">
        <f t="array" ref="S34">THETAGREEK($B34,100,0.01,S$23,0.2)</f>
        <v>-14.985312617237863</v>
      </c>
      <c r="T34" s="2" cm="1">
        <f t="array" ref="T34">THETAGREEK($B34,100,0.01,T$23,0.2)</f>
        <v>-14.611221995441392</v>
      </c>
      <c r="U34" s="2" cm="1">
        <f t="array" ref="U34">THETAGREEK($B34,100,0.01,U$23,0.2)</f>
        <v>-14.262694648567853</v>
      </c>
      <c r="V34" s="2" cm="1">
        <f t="array" ref="V34">THETAGREEK($B34,100,0.01,V$23,0.2)</f>
        <v>-13.936953581695549</v>
      </c>
      <c r="W34" s="2" cm="1">
        <f t="array" ref="W34">THETAGREEK($B34,100,0.01,W$23,0.2)</f>
        <v>-13.631620460789184</v>
      </c>
      <c r="X34" s="2" cm="1">
        <f t="array" ref="X34">THETAGREEK($B34,100,0.01,X$23,0.2)</f>
        <v>-13.344646327705053</v>
      </c>
      <c r="Y34" s="2" cm="1">
        <f t="array" ref="Y34">THETAGREEK($B34,100,0.01,Y$23,0.2)</f>
        <v>-13.074256129568198</v>
      </c>
      <c r="Z34" s="2" cm="1">
        <f t="array" ref="Z34">THETAGREEK($B34,100,0.01,Z$23,0.2)</f>
        <v>-12.818904024249404</v>
      </c>
      <c r="AA34" s="2" cm="1">
        <f t="array" ref="AA34">THETAGREEK($B34,100,0.01,AA$23,0.2)</f>
        <v>-12.577237135737073</v>
      </c>
      <c r="AB34" s="2" cm="1">
        <f t="array" ref="AB34">THETAGREEK($B34,100,0.01,AB$23,0.2)</f>
        <v>-12.348065974251577</v>
      </c>
      <c r="AC34" s="2" cm="1">
        <f t="array" ref="AC34">THETAGREEK($B34,100,0.01,AC$23,0.2)</f>
        <v>-12.130340145520243</v>
      </c>
      <c r="AD34" s="2" cm="1">
        <f t="array" ref="AD34">THETAGREEK($B34,100,0.01,AD$23,0.2)</f>
        <v>-11.923128283789662</v>
      </c>
      <c r="AE34" s="2" cm="1">
        <f t="array" ref="AE34">THETAGREEK($B34,100,0.01,AE$23,0.2)</f>
        <v>-11.725601378684571</v>
      </c>
      <c r="AF34" s="2" cm="1">
        <f t="array" ref="AF34">THETAGREEK($B34,100,0.01,AF$23,0.2)</f>
        <v>-11.537018845638839</v>
      </c>
      <c r="AG34" s="2" cm="1">
        <f t="array" ref="AG34">THETAGREEK($B34,100,0.01,AG$23,0.2)</f>
        <v>-11.35671682729074</v>
      </c>
      <c r="AH34" s="2" cm="1">
        <f t="array" ref="AH34">THETAGREEK($B34,100,0.01,AH$23,0.2)</f>
        <v>-11.184098319330767</v>
      </c>
      <c r="AI34" s="2" cm="1">
        <f t="array" ref="AI34">THETAGREEK($B34,100,0.01,AI$23,0.2)</f>
        <v>-11.018624796525547</v>
      </c>
      <c r="AJ34" s="2" cm="1">
        <f t="array" ref="AJ34">THETAGREEK($B34,100,0.01,AJ$23,0.2)</f>
        <v>-10.859809078753022</v>
      </c>
      <c r="AK34" s="2" cm="1">
        <f t="array" ref="AK34">THETAGREEK($B34,100,0.01,AK$23,0.2)</f>
        <v>-10.70720922715646</v>
      </c>
      <c r="AL34" s="2" cm="1">
        <f t="array" ref="AL34">THETAGREEK($B34,100,0.01,AL$23,0.2)</f>
        <v>-10.560423300170621</v>
      </c>
      <c r="AM34" s="2" cm="1">
        <f t="array" ref="AM34">THETAGREEK($B34,100,0.01,AM$23,0.2)</f>
        <v>-10.41908483061383</v>
      </c>
      <c r="AN34" s="2" cm="1">
        <f t="array" ref="AN34">THETAGREEK($B34,100,0.01,AN$23,0.2)</f>
        <v>-10.28285891010847</v>
      </c>
      <c r="AO34" s="2" cm="1">
        <f t="array" ref="AO34">THETAGREEK($B34,100,0.01,AO$23,0.2)</f>
        <v>-10.151438787186633</v>
      </c>
      <c r="AP34" s="2" cm="1">
        <f t="array" ref="AP34">THETAGREEK($B34,100,0.01,AP$23,0.2)</f>
        <v>-10.024542901626253</v>
      </c>
      <c r="AQ34" s="2" cm="1">
        <f t="array" ref="AQ34">THETAGREEK($B34,100,0.01,AQ$23,0.2)</f>
        <v>-9.9019122906697277</v>
      </c>
      <c r="AR34" s="2" cm="1">
        <f t="array" ref="AR34">THETAGREEK($B34,100,0.01,AR$23,0.2)</f>
        <v>-9.7833083134387238</v>
      </c>
      <c r="AS34" s="2" cm="1">
        <f t="array" ref="AS34">THETAGREEK($B34,100,0.01,AS$23,0.2)</f>
        <v>-9.6685106485715213</v>
      </c>
      <c r="AT34" s="2" cm="1">
        <f t="array" ref="AT34">THETAGREEK($B34,100,0.01,AT$23,0.2)</f>
        <v>-9.5573155272603429</v>
      </c>
      <c r="AU34" s="2" cm="1">
        <f t="array" ref="AU34">THETAGREEK($B34,100,0.01,AU$23,0.2)</f>
        <v>-9.4495341697608257</v>
      </c>
      <c r="AV34" s="2" cm="1">
        <f t="array" ref="AV34">THETAGREEK($B34,100,0.01,AV$23,0.2)</f>
        <v>-9.3449913983241419</v>
      </c>
      <c r="AW34" s="2" cm="1">
        <f t="array" ref="AW34">THETAGREEK($B34,100,0.01,AW$23,0.2)</f>
        <v>-9.2435244035560942</v>
      </c>
      <c r="AX34" s="2" cm="1">
        <f t="array" ref="AX34">THETAGREEK($B34,100,0.01,AX$23,0.2)</f>
        <v>-9.1449816445881886</v>
      </c>
      <c r="AY34" s="2" cm="1">
        <f t="array" ref="AY34">THETAGREEK($B34,100,0.01,AY$23,0.2)</f>
        <v>-9.0492218662759321</v>
      </c>
      <c r="AZ34" s="2" cm="1">
        <f t="array" ref="AZ34">THETAGREEK($B34,100,0.01,AZ$23,0.2)</f>
        <v>-8.9561132190169523</v>
      </c>
    </row>
    <row r="35" spans="1:52" x14ac:dyDescent="0.3">
      <c r="A35" s="2"/>
      <c r="B35" s="2">
        <v>115</v>
      </c>
      <c r="C35" s="2" cm="1">
        <f t="array" ref="C35">THETAGREEK($B35,100,0.01,C$23,0.2)</f>
        <v>-6.6624341622880943</v>
      </c>
      <c r="D35" s="2" cm="1">
        <f t="array" ref="D35">THETAGREEK($B35,100,0.01,D$23,0.2)</f>
        <v>-14.530751418599104</v>
      </c>
      <c r="E35" s="2" cm="1">
        <f t="array" ref="E35">THETAGREEK($B35,100,0.01,E$23,0.2)</f>
        <v>-17.54696009111073</v>
      </c>
      <c r="F35" s="2" cm="1">
        <f t="array" ref="F35">THETAGREEK($B35,100,0.01,F$23,0.2)</f>
        <v>-18.514108917011391</v>
      </c>
      <c r="G35" s="2" cm="1">
        <f t="array" ref="G35">THETAGREEK($B35,100,0.01,G$23,0.2)</f>
        <v>-18.651196159849498</v>
      </c>
      <c r="H35" s="2" cm="1">
        <f t="array" ref="H35">THETAGREEK($B35,100,0.01,H$23,0.2)</f>
        <v>-18.433694652369613</v>
      </c>
      <c r="I35" s="2" cm="1">
        <f t="array" ref="I35">THETAGREEK($B35,100,0.01,I$23,0.2)</f>
        <v>-18.062938186086765</v>
      </c>
      <c r="J35" s="2" cm="1">
        <f t="array" ref="J35">THETAGREEK($B35,100,0.01,J$23,0.2)</f>
        <v>-17.630655983351584</v>
      </c>
      <c r="K35" s="2" cm="1">
        <f t="array" ref="K35">THETAGREEK($B35,100,0.01,K$23,0.2)</f>
        <v>-17.180742357753516</v>
      </c>
      <c r="L35" s="2" cm="1">
        <f t="array" ref="L35">THETAGREEK($B35,100,0.01,L$23,0.2)</f>
        <v>-16.734688247160612</v>
      </c>
      <c r="M35" s="2" cm="1">
        <f t="array" ref="M35">THETAGREEK($B35,100,0.01,M$23,0.2)</f>
        <v>-16.302919134127553</v>
      </c>
      <c r="N35" s="2" cm="1">
        <f t="array" ref="N35">THETAGREEK($B35,100,0.01,N$23,0.2)</f>
        <v>-15.890186085726683</v>
      </c>
      <c r="O35" s="2" cm="1">
        <f t="array" ref="O35">THETAGREEK($B35,100,0.01,O$23,0.2)</f>
        <v>-15.498263711305897</v>
      </c>
      <c r="P35" s="2" cm="1">
        <f t="array" ref="P35">THETAGREEK($B35,100,0.01,P$23,0.2)</f>
        <v>-15.127355363289711</v>
      </c>
      <c r="Q35" s="2" cm="1">
        <f t="array" ref="Q35">THETAGREEK($B35,100,0.01,Q$23,0.2)</f>
        <v>-14.776847352355727</v>
      </c>
      <c r="R35" s="2" cm="1">
        <f t="array" ref="R35">THETAGREEK($B35,100,0.01,R$23,0.2)</f>
        <v>-14.445722257165214</v>
      </c>
      <c r="S35" s="2" cm="1">
        <f t="array" ref="S35">THETAGREEK($B35,100,0.01,S$23,0.2)</f>
        <v>-14.132787957538719</v>
      </c>
      <c r="T35" s="2" cm="1">
        <f t="array" ref="T35">THETAGREEK($B35,100,0.01,T$23,0.2)</f>
        <v>-13.836804526589066</v>
      </c>
      <c r="U35" s="2" cm="1">
        <f t="array" ref="U35">THETAGREEK($B35,100,0.01,U$23,0.2)</f>
        <v>-13.556553430702799</v>
      </c>
      <c r="V35" s="2" cm="1">
        <f t="array" ref="V35">THETAGREEK($B35,100,0.01,V$23,0.2)</f>
        <v>-13.290873731806084</v>
      </c>
      <c r="W35" s="2" cm="1">
        <f t="array" ref="W35">THETAGREEK($B35,100,0.01,W$23,0.2)</f>
        <v>-13.038679310418321</v>
      </c>
      <c r="X35" s="2" cm="1">
        <f t="array" ref="X35">THETAGREEK($B35,100,0.01,X$23,0.2)</f>
        <v>-12.798965204957609</v>
      </c>
      <c r="Y35" s="2" cm="1">
        <f t="array" ref="Y35">THETAGREEK($B35,100,0.01,Y$23,0.2)</f>
        <v>-12.570807802113904</v>
      </c>
      <c r="Z35" s="2" cm="1">
        <f t="array" ref="Z35">THETAGREEK($B35,100,0.01,Z$23,0.2)</f>
        <v>-12.353361669868805</v>
      </c>
      <c r="AA35" s="2" cm="1">
        <f t="array" ref="AA35">THETAGREEK($B35,100,0.01,AA$23,0.2)</f>
        <v>-12.14585468338846</v>
      </c>
      <c r="AB35" s="2" cm="1">
        <f t="array" ref="AB35">THETAGREEK($B35,100,0.01,AB$23,0.2)</f>
        <v>-11.947582415290251</v>
      </c>
      <c r="AC35" s="2" cm="1">
        <f t="array" ref="AC35">THETAGREEK($B35,100,0.01,AC$23,0.2)</f>
        <v>-11.757902354508428</v>
      </c>
      <c r="AD35" s="2" cm="1">
        <f t="array" ref="AD35">THETAGREEK($B35,100,0.01,AD$23,0.2)</f>
        <v>-11.57622827228788</v>
      </c>
      <c r="AE35" s="2" cm="1">
        <f t="array" ref="AE35">THETAGREEK($B35,100,0.01,AE$23,0.2)</f>
        <v>-11.402024905468268</v>
      </c>
      <c r="AF35" s="2" cm="1">
        <f t="array" ref="AF35">THETAGREEK($B35,100,0.01,AF$23,0.2)</f>
        <v>-11.234803038031252</v>
      </c>
      <c r="AG35" s="2" cm="1">
        <f t="array" ref="AG35">THETAGREEK($B35,100,0.01,AG$23,0.2)</f>
        <v>-11.074115008915394</v>
      </c>
      <c r="AH35" s="2" cm="1">
        <f t="array" ref="AH35">THETAGREEK($B35,100,0.01,AH$23,0.2)</f>
        <v>-10.919550643386183</v>
      </c>
      <c r="AI35" s="2" cm="1">
        <f t="array" ref="AI35">THETAGREEK($B35,100,0.01,AI$23,0.2)</f>
        <v>-10.770733588200963</v>
      </c>
      <c r="AJ35" s="2" cm="1">
        <f t="array" ref="AJ35">THETAGREEK($B35,100,0.01,AJ$23,0.2)</f>
        <v>-10.627318022120582</v>
      </c>
      <c r="AK35" s="2" cm="1">
        <f t="array" ref="AK35">THETAGREEK($B35,100,0.01,AK$23,0.2)</f>
        <v>-10.488985709688878</v>
      </c>
      <c r="AL35" s="2" cm="1">
        <f t="array" ref="AL35">THETAGREEK($B35,100,0.01,AL$23,0.2)</f>
        <v>-10.355443365569007</v>
      </c>
      <c r="AM35" s="2" cm="1">
        <f t="array" ref="AM35">THETAGREEK($B35,100,0.01,AM$23,0.2)</f>
        <v>-10.226420297808811</v>
      </c>
      <c r="AN35" s="2" cm="1">
        <f t="array" ref="AN35">THETAGREEK($B35,100,0.01,AN$23,0.2)</f>
        <v>-10.101666300410209</v>
      </c>
      <c r="AO35" s="2" cm="1">
        <f t="array" ref="AO35">THETAGREEK($B35,100,0.01,AO$23,0.2)</f>
        <v>-9.9809497680104347</v>
      </c>
      <c r="AP35" s="2" cm="1">
        <f t="array" ref="AP35">THETAGREEK($B35,100,0.01,AP$23,0.2)</f>
        <v>-9.8640560080507544</v>
      </c>
      <c r="AQ35" s="2" cm="1">
        <f t="array" ref="AQ35">THETAGREEK($B35,100,0.01,AQ$23,0.2)</f>
        <v>-9.75078572833743</v>
      </c>
      <c r="AR35" s="2" cm="1">
        <f t="array" ref="AR35">THETAGREEK($B35,100,0.01,AR$23,0.2)</f>
        <v>-9.6409536802939542</v>
      </c>
      <c r="AS35" s="2" cm="1">
        <f t="array" ref="AS35">THETAGREEK($B35,100,0.01,AS$23,0.2)</f>
        <v>-9.5343874404139619</v>
      </c>
      <c r="AT35" s="2" cm="1">
        <f t="array" ref="AT35">THETAGREEK($B35,100,0.01,AT$23,0.2)</f>
        <v>-9.4309263144315238</v>
      </c>
      <c r="AU35" s="2" cm="1">
        <f t="array" ref="AU35">THETAGREEK($B35,100,0.01,AU$23,0.2)</f>
        <v>-9.3304203505278736</v>
      </c>
      <c r="AV35" s="2" cm="1">
        <f t="array" ref="AV35">THETAGREEK($B35,100,0.01,AV$23,0.2)</f>
        <v>-9.2327294494990859</v>
      </c>
      <c r="AW35" s="2" cm="1">
        <f t="array" ref="AW35">THETAGREEK($B35,100,0.01,AW$23,0.2)</f>
        <v>-9.1377225612318043</v>
      </c>
      <c r="AX35" s="2" cm="1">
        <f t="array" ref="AX35">THETAGREEK($B35,100,0.01,AX$23,0.2)</f>
        <v>-9.0452769580894525</v>
      </c>
      <c r="AY35" s="2" cm="1">
        <f t="array" ref="AY35">THETAGREEK($B35,100,0.01,AY$23,0.2)</f>
        <v>-8.9552775769165596</v>
      </c>
      <c r="AZ35" s="2" cm="1">
        <f t="array" ref="AZ35">THETAGREEK($B35,100,0.01,AZ$23,0.2)</f>
        <v>-8.8676164223400207</v>
      </c>
    </row>
    <row r="36" spans="1:52" x14ac:dyDescent="0.3">
      <c r="A36" s="2"/>
      <c r="B36" s="2">
        <v>120</v>
      </c>
      <c r="C36" s="2" cm="1">
        <f t="array" ref="C36">THETAGREEK($B36,100,0.01,C$23,0.2)</f>
        <v>-2.0311928373157206</v>
      </c>
      <c r="D36" s="2" cm="1">
        <f t="array" ref="D36">THETAGREEK($B36,100,0.01,D$23,0.2)</f>
        <v>-6.8093265573089994</v>
      </c>
      <c r="E36" s="2" cm="1">
        <f t="array" ref="E36">THETAGREEK($B36,100,0.01,E$23,0.2)</f>
        <v>-10.455240155593648</v>
      </c>
      <c r="F36" s="2" cm="1">
        <f t="array" ref="F36">THETAGREEK($B36,100,0.01,F$23,0.2)</f>
        <v>-12.546278099756995</v>
      </c>
      <c r="G36" s="2" cm="1">
        <f t="array" ref="G36">THETAGREEK($B36,100,0.01,G$23,0.2)</f>
        <v>-13.679578851154991</v>
      </c>
      <c r="H36" s="2" cm="1">
        <f t="array" ref="H36">THETAGREEK($B36,100,0.01,H$23,0.2)</f>
        <v>-14.261210126843142</v>
      </c>
      <c r="I36" s="2" cm="1">
        <f t="array" ref="I36">THETAGREEK($B36,100,0.01,I$23,0.2)</f>
        <v>-14.521210146966745</v>
      </c>
      <c r="J36" s="2" cm="1">
        <f t="array" ref="J36">THETAGREEK($B36,100,0.01,J$23,0.2)</f>
        <v>-14.589509594135791</v>
      </c>
      <c r="K36" s="2" cm="1">
        <f t="array" ref="K36">THETAGREEK($B36,100,0.01,K$23,0.2)</f>
        <v>-14.54153572439116</v>
      </c>
      <c r="L36" s="2" cm="1">
        <f t="array" ref="L36">THETAGREEK($B36,100,0.01,L$23,0.2)</f>
        <v>-14.422453192886163</v>
      </c>
      <c r="M36" s="2" cm="1">
        <f t="array" ref="M36">THETAGREEK($B36,100,0.01,M$23,0.2)</f>
        <v>-14.26007348188805</v>
      </c>
      <c r="N36" s="2" cm="1">
        <f t="array" ref="N36">THETAGREEK($B36,100,0.01,N$23,0.2)</f>
        <v>-14.071926810927605</v>
      </c>
      <c r="O36" s="2" cm="1">
        <f t="array" ref="O36">THETAGREEK($B36,100,0.01,O$23,0.2)</f>
        <v>-13.869267611873024</v>
      </c>
      <c r="P36" s="2" cm="1">
        <f t="array" ref="P36">THETAGREEK($B36,100,0.01,P$23,0.2)</f>
        <v>-13.659417917166053</v>
      </c>
      <c r="Q36" s="2" cm="1">
        <f t="array" ref="Q36">THETAGREEK($B36,100,0.01,Q$23,0.2)</f>
        <v>-13.447179619307098</v>
      </c>
      <c r="R36" s="2" cm="1">
        <f t="array" ref="R36">THETAGREEK($B36,100,0.01,R$23,0.2)</f>
        <v>-13.235708448180448</v>
      </c>
      <c r="S36" s="2" cm="1">
        <f t="array" ref="S36">THETAGREEK($B36,100,0.01,S$23,0.2)</f>
        <v>-13.02706766855888</v>
      </c>
      <c r="T36" s="2" cm="1">
        <f t="array" ref="T36">THETAGREEK($B36,100,0.01,T$23,0.2)</f>
        <v>-12.822586179953218</v>
      </c>
      <c r="U36" s="2" cm="1">
        <f t="array" ref="U36">THETAGREEK($B36,100,0.01,U$23,0.2)</f>
        <v>-12.623094336012478</v>
      </c>
      <c r="V36" s="2" cm="1">
        <f t="array" ref="V36">THETAGREEK($B36,100,0.01,V$23,0.2)</f>
        <v>-12.429081700535093</v>
      </c>
      <c r="W36" s="2" cm="1">
        <f t="array" ref="W36">THETAGREEK($B36,100,0.01,W$23,0.2)</f>
        <v>-12.240804025726854</v>
      </c>
      <c r="X36" s="2" cm="1">
        <f t="array" ref="X36">THETAGREEK($B36,100,0.01,X$23,0.2)</f>
        <v>-12.058356643617795</v>
      </c>
      <c r="Y36" s="2" cm="1">
        <f t="array" ref="Y36">THETAGREEK($B36,100,0.01,Y$23,0.2)</f>
        <v>-11.881725307174985</v>
      </c>
      <c r="Z36" s="2" cm="1">
        <f t="array" ref="Z36">THETAGREEK($B36,100,0.01,Z$23,0.2)</f>
        <v>-11.710821688332922</v>
      </c>
      <c r="AA36" s="2" cm="1">
        <f t="array" ref="AA36">THETAGREEK($B36,100,0.01,AA$23,0.2)</f>
        <v>-11.545508312764126</v>
      </c>
      <c r="AB36" s="2" cm="1">
        <f t="array" ref="AB36">THETAGREEK($B36,100,0.01,AB$23,0.2)</f>
        <v>-11.38561614607546</v>
      </c>
      <c r="AC36" s="2" cm="1">
        <f t="array" ref="AC36">THETAGREEK($B36,100,0.01,AC$23,0.2)</f>
        <v>-11.230957021103054</v>
      </c>
      <c r="AD36" s="2" cm="1">
        <f t="array" ref="AD36">THETAGREEK($B36,100,0.01,AD$23,0.2)</f>
        <v>-11.081332415043297</v>
      </c>
      <c r="AE36" s="2" cm="1">
        <f t="array" ref="AE36">THETAGREEK($B36,100,0.01,AE$23,0.2)</f>
        <v>-10.936539626837602</v>
      </c>
      <c r="AF36" s="2" cm="1">
        <f t="array" ref="AF36">THETAGREEK($B36,100,0.01,AF$23,0.2)</f>
        <v>-10.79637609301737</v>
      </c>
      <c r="AG36" s="2" cm="1">
        <f t="array" ref="AG36">THETAGREEK($B36,100,0.01,AG$23,0.2)</f>
        <v>-10.660642365176333</v>
      </c>
      <c r="AH36" s="2" cm="1">
        <f t="array" ref="AH36">THETAGREEK($B36,100,0.01,AH$23,0.2)</f>
        <v>-10.529144122620979</v>
      </c>
      <c r="AI36" s="2" cm="1">
        <f t="array" ref="AI36">THETAGREEK($B36,100,0.01,AI$23,0.2)</f>
        <v>-10.401693488682069</v>
      </c>
      <c r="AJ36" s="2" cm="1">
        <f t="array" ref="AJ36">THETAGREEK($B36,100,0.01,AJ$23,0.2)</f>
        <v>-10.278109844758466</v>
      </c>
      <c r="AK36" s="2" cm="1">
        <f t="array" ref="AK36">THETAGREEK($B36,100,0.01,AK$23,0.2)</f>
        <v>-10.158220283054241</v>
      </c>
      <c r="AL36" s="2" cm="1">
        <f t="array" ref="AL36">THETAGREEK($B36,100,0.01,AL$23,0.2)</f>
        <v>-10.041859800796029</v>
      </c>
      <c r="AM36" s="2" cm="1">
        <f t="array" ref="AM36">THETAGREEK($B36,100,0.01,AM$23,0.2)</f>
        <v>-9.9288713111042313</v>
      </c>
      <c r="AN36" s="2" cm="1">
        <f t="array" ref="AN36">THETAGREEK($B36,100,0.01,AN$23,0.2)</f>
        <v>-9.8191055256033408</v>
      </c>
      <c r="AO36" s="2" cm="1">
        <f t="array" ref="AO36">THETAGREEK($B36,100,0.01,AO$23,0.2)</f>
        <v>-9.7124207491688033</v>
      </c>
      <c r="AP36" s="2" cm="1">
        <f t="array" ref="AP36">THETAGREEK($B36,100,0.01,AP$23,0.2)</f>
        <v>-9.6086826164213832</v>
      </c>
      <c r="AQ36" s="2" cm="1">
        <f t="array" ref="AQ36">THETAGREEK($B36,100,0.01,AQ$23,0.2)</f>
        <v>-9.5077637916289373</v>
      </c>
      <c r="AR36" s="2" cm="1">
        <f t="array" ref="AR36">THETAGREEK($B36,100,0.01,AR$23,0.2)</f>
        <v>-9.4095436477968324</v>
      </c>
      <c r="AS36" s="2" cm="1">
        <f t="array" ref="AS36">THETAGREEK($B36,100,0.01,AS$23,0.2)</f>
        <v>-9.3139079363717592</v>
      </c>
      <c r="AT36" s="2" cm="1">
        <f t="array" ref="AT36">THETAGREEK($B36,100,0.01,AT$23,0.2)</f>
        <v>-9.2207484557500994</v>
      </c>
      <c r="AU36" s="2" cm="1">
        <f t="array" ref="AU36">THETAGREEK($B36,100,0.01,AU$23,0.2)</f>
        <v>-9.1299627243809294</v>
      </c>
      <c r="AV36" s="2" cm="1">
        <f t="array" ref="AV36">THETAGREEK($B36,100,0.01,AV$23,0.2)</f>
        <v>-9.0414536624707438</v>
      </c>
      <c r="AW36" s="2" cm="1">
        <f t="array" ref="AW36">THETAGREEK($B36,100,0.01,AW$23,0.2)</f>
        <v>-8.9551292849757456</v>
      </c>
      <c r="AX36" s="2" cm="1">
        <f t="array" ref="AX36">THETAGREEK($B36,100,0.01,AX$23,0.2)</f>
        <v>-8.8709024075908722</v>
      </c>
      <c r="AY36" s="2" cm="1">
        <f t="array" ref="AY36">THETAGREEK($B36,100,0.01,AY$23,0.2)</f>
        <v>-8.7886903667264438</v>
      </c>
      <c r="AZ36" s="2" cm="1">
        <f t="array" ref="AZ36">THETAGREEK($B36,100,0.01,AZ$23,0.2)</f>
        <v>-8.7084147539386478</v>
      </c>
    </row>
    <row r="37" spans="1:52" x14ac:dyDescent="0.3">
      <c r="A37" s="2"/>
      <c r="B37" s="2">
        <v>125</v>
      </c>
      <c r="C37" s="2" cm="1">
        <f t="array" ref="C37">THETAGREEK($B37,100,0.01,C$23,0.2)</f>
        <v>-1.1307602943593071</v>
      </c>
      <c r="D37" s="2" cm="1">
        <f t="array" ref="D37">THETAGREEK($B37,100,0.01,D$23,0.2)</f>
        <v>-3.0857205605128093</v>
      </c>
      <c r="E37" s="2" cm="1">
        <f t="array" ref="E37">THETAGREEK($B37,100,0.01,E$23,0.2)</f>
        <v>-5.7948243917954816</v>
      </c>
      <c r="F37" s="2" cm="1">
        <f t="array" ref="F37">THETAGREEK($B37,100,0.01,F$23,0.2)</f>
        <v>-7.958591838172242</v>
      </c>
      <c r="G37" s="2" cm="1">
        <f t="array" ref="G37">THETAGREEK($B37,100,0.01,G$23,0.2)</f>
        <v>-9.4758240304281056</v>
      </c>
      <c r="H37" s="2" cm="1">
        <f t="array" ref="H37">THETAGREEK($B37,100,0.01,H$23,0.2)</f>
        <v>-10.498786373235744</v>
      </c>
      <c r="I37" s="2" cm="1">
        <f t="array" ref="I37">THETAGREEK($B37,100,0.01,I$23,0.2)</f>
        <v>-11.175182483177142</v>
      </c>
      <c r="J37" s="2" cm="1">
        <f t="array" ref="J37">THETAGREEK($B37,100,0.01,J$23,0.2)</f>
        <v>-11.612498724053657</v>
      </c>
      <c r="K37" s="2" cm="1">
        <f t="array" ref="K37">THETAGREEK($B37,100,0.01,K$23,0.2)</f>
        <v>-11.884259348685369</v>
      </c>
      <c r="L37" s="2" cm="1">
        <f t="array" ref="L37">THETAGREEK($B37,100,0.01,L$23,0.2)</f>
        <v>-12.04029010675692</v>
      </c>
      <c r="M37" s="2" cm="1">
        <f t="array" ref="M37">THETAGREEK($B37,100,0.01,M$23,0.2)</f>
        <v>-12.114605507424416</v>
      </c>
      <c r="N37" s="2" cm="1">
        <f t="array" ref="N37">THETAGREEK($B37,100,0.01,N$23,0.2)</f>
        <v>-12.13072532991346</v>
      </c>
      <c r="O37" s="2" cm="1">
        <f t="array" ref="O37">THETAGREEK($B37,100,0.01,O$23,0.2)</f>
        <v>-12.105143348580361</v>
      </c>
      <c r="P37" s="2" cm="1">
        <f t="array" ref="P37">THETAGREEK($B37,100,0.01,P$23,0.2)</f>
        <v>-12.049585597874838</v>
      </c>
      <c r="Q37" s="2" cm="1">
        <f t="array" ref="Q37">THETAGREEK($B37,100,0.01,Q$23,0.2)</f>
        <v>-11.972494176799783</v>
      </c>
      <c r="R37" s="2" cm="1">
        <f t="array" ref="R37">THETAGREEK($B37,100,0.01,R$23,0.2)</f>
        <v>-11.880015492206349</v>
      </c>
      <c r="S37" s="2" cm="1">
        <f t="array" ref="S37">THETAGREEK($B37,100,0.01,S$23,0.2)</f>
        <v>-11.776668359831449</v>
      </c>
      <c r="T37" s="2" cm="1">
        <f t="array" ref="T37">THETAGREEK($B37,100,0.01,T$23,0.2)</f>
        <v>-11.665802503330523</v>
      </c>
      <c r="U37" s="2" cm="1">
        <f t="array" ref="U37">THETAGREEK($B37,100,0.01,U$23,0.2)</f>
        <v>-11.549917791588616</v>
      </c>
      <c r="V37" s="2" cm="1">
        <f t="array" ref="V37">THETAGREEK($B37,100,0.01,V$23,0.2)</f>
        <v>-11.430889564645947</v>
      </c>
      <c r="W37" s="2" cm="1">
        <f t="array" ref="W37">THETAGREEK($B37,100,0.01,W$23,0.2)</f>
        <v>-11.310129709402279</v>
      </c>
      <c r="X37" s="2" cm="1">
        <f t="array" ref="X37">THETAGREEK($B37,100,0.01,X$23,0.2)</f>
        <v>-11.18870316921881</v>
      </c>
      <c r="Y37" s="2" cm="1">
        <f t="array" ref="Y37">THETAGREEK($B37,100,0.01,Y$23,0.2)</f>
        <v>-11.067413137741065</v>
      </c>
      <c r="Z37" s="2" cm="1">
        <f t="array" ref="Z37">THETAGREEK($B37,100,0.01,Z$23,0.2)</f>
        <v>-10.94686397906654</v>
      </c>
      <c r="AA37" s="2" cm="1">
        <f t="array" ref="AA37">THETAGREEK($B37,100,0.01,AA$23,0.2)</f>
        <v>-10.827508125225114</v>
      </c>
      <c r="AB37" s="2" cm="1">
        <f t="array" ref="AB37">THETAGREEK($B37,100,0.01,AB$23,0.2)</f>
        <v>-10.709681325571292</v>
      </c>
      <c r="AC37" s="2" cm="1">
        <f t="array" ref="AC37">THETAGREEK($B37,100,0.01,AC$23,0.2)</f>
        <v>-10.593629344967724</v>
      </c>
      <c r="AD37" s="2" cm="1">
        <f t="array" ref="AD37">THETAGREEK($B37,100,0.01,AD$23,0.2)</f>
        <v>-10.479528326893274</v>
      </c>
      <c r="AE37" s="2" cm="1">
        <f t="array" ref="AE37">THETAGREEK($B37,100,0.01,AE$23,0.2)</f>
        <v>-10.367500423458152</v>
      </c>
      <c r="AF37" s="2" cm="1">
        <f t="array" ref="AF37">THETAGREEK($B37,100,0.01,AF$23,0.2)</f>
        <v>-10.257625861371491</v>
      </c>
      <c r="AG37" s="2" cm="1">
        <f t="array" ref="AG37">THETAGREEK($B37,100,0.01,AG$23,0.2)</f>
        <v>-10.149952304567991</v>
      </c>
      <c r="AH37" s="2" cm="1">
        <f t="array" ref="AH37">THETAGREEK($B37,100,0.01,AH$23,0.2)</f>
        <v>-10.044502152469903</v>
      </c>
      <c r="AI37" s="2" cm="1">
        <f t="array" ref="AI37">THETAGREEK($B37,100,0.01,AI$23,0.2)</f>
        <v>-9.9412782519542375</v>
      </c>
      <c r="AJ37" s="2" cm="1">
        <f t="array" ref="AJ37">THETAGREEK($B37,100,0.01,AJ$23,0.2)</f>
        <v>-9.8402683833234494</v>
      </c>
      <c r="AK37" s="2" cm="1">
        <f t="array" ref="AK37">THETAGREEK($B37,100,0.01,AK$23,0.2)</f>
        <v>-9.741448793678634</v>
      </c>
      <c r="AL37" s="2" cm="1">
        <f t="array" ref="AL37">THETAGREEK($B37,100,0.01,AL$23,0.2)</f>
        <v>-9.6447869864853129</v>
      </c>
      <c r="AM37" s="2" cm="1">
        <f t="array" ref="AM37">THETAGREEK($B37,100,0.01,AM$23,0.2)</f>
        <v>-9.5502439277393307</v>
      </c>
      <c r="AN37" s="2" cm="1">
        <f t="array" ref="AN37">THETAGREEK($B37,100,0.01,AN$23,0.2)</f>
        <v>-9.4577757926631296</v>
      </c>
      <c r="AO37" s="2" cm="1">
        <f t="array" ref="AO37">THETAGREEK($B37,100,0.01,AO$23,0.2)</f>
        <v>-9.3673353491848452</v>
      </c>
      <c r="AP37" s="2" cm="1">
        <f t="array" ref="AP37">THETAGREEK($B37,100,0.01,AP$23,0.2)</f>
        <v>-9.2788730533246131</v>
      </c>
      <c r="AQ37" s="2" cm="1">
        <f t="array" ref="AQ37">THETAGREEK($B37,100,0.01,AQ$23,0.2)</f>
        <v>-9.1923379153920095</v>
      </c>
      <c r="AR37" s="2" cm="1">
        <f t="array" ref="AR37">THETAGREEK($B37,100,0.01,AR$23,0.2)</f>
        <v>-9.1076781833787077</v>
      </c>
      <c r="AS37" s="2" cm="1">
        <f t="array" ref="AS37">THETAGREEK($B37,100,0.01,AS$23,0.2)</f>
        <v>-9.0248418802174921</v>
      </c>
      <c r="AT37" s="2" cm="1">
        <f t="array" ref="AT37">THETAGREEK($B37,100,0.01,AT$23,0.2)</f>
        <v>-8.9437772240074604</v>
      </c>
      <c r="AU37" s="2" cm="1">
        <f t="array" ref="AU37">THETAGREEK($B37,100,0.01,AU$23,0.2)</f>
        <v>-8.8644329543763156</v>
      </c>
      <c r="AV37" s="2" cm="1">
        <f t="array" ref="AV37">THETAGREEK($B37,100,0.01,AV$23,0.2)</f>
        <v>-8.7867585834879804</v>
      </c>
      <c r="AW37" s="2" cm="1">
        <f t="array" ref="AW37">THETAGREEK($B37,100,0.01,AW$23,0.2)</f>
        <v>-8.710704586522322</v>
      </c>
      <c r="AX37" s="2" cm="1">
        <f t="array" ref="AX37">THETAGREEK($B37,100,0.01,AX$23,0.2)</f>
        <v>-8.6362225435355846</v>
      </c>
      <c r="AY37" s="2" cm="1">
        <f t="array" ref="AY37">THETAGREEK($B37,100,0.01,AY$23,0.2)</f>
        <v>-8.5632652422891145</v>
      </c>
      <c r="AZ37" s="2" cm="1">
        <f t="array" ref="AZ37">THETAGREEK($B37,100,0.01,AZ$23,0.2)</f>
        <v>-8.4917867497813333</v>
      </c>
    </row>
    <row r="38" spans="1:52" x14ac:dyDescent="0.3">
      <c r="A38" s="2"/>
      <c r="B38" s="2">
        <v>130</v>
      </c>
      <c r="C38" s="2" cm="1">
        <f t="array" ref="C38">THETAGREEK($B38,100,0.01,C$23,0.2)</f>
        <v>-1.011314885940982</v>
      </c>
      <c r="D38" s="2" cm="1">
        <f t="array" ref="D38">THETAGREEK($B38,100,0.01,D$23,0.2)</f>
        <v>-1.6395687486126482</v>
      </c>
      <c r="E38" s="2" cm="1">
        <f t="array" ref="E38">THETAGREEK($B38,100,0.01,E$23,0.2)</f>
        <v>-3.1896307968166888</v>
      </c>
      <c r="F38" s="2" cm="1">
        <f t="array" ref="F38">THETAGREEK($B38,100,0.01,F$23,0.2)</f>
        <v>-4.8765180408663351</v>
      </c>
      <c r="G38" s="2" cm="1">
        <f t="array" ref="G38">THETAGREEK($B38,100,0.01,G$23,0.2)</f>
        <v>-6.3196399066611759</v>
      </c>
      <c r="H38" s="2" cm="1">
        <f t="array" ref="H38">THETAGREEK($B38,100,0.01,H$23,0.2)</f>
        <v>-7.4549158362803007</v>
      </c>
      <c r="I38" s="2" cm="1">
        <f t="array" ref="I38">THETAGREEK($B38,100,0.01,I$23,0.2)</f>
        <v>-8.3185975346264502</v>
      </c>
      <c r="J38" s="2" cm="1">
        <f t="array" ref="J38">THETAGREEK($B38,100,0.01,J$23,0.2)</f>
        <v>-8.9653549903618153</v>
      </c>
      <c r="K38" s="2" cm="1">
        <f t="array" ref="K38">THETAGREEK($B38,100,0.01,K$23,0.2)</f>
        <v>-9.4446293072958287</v>
      </c>
      <c r="L38" s="2" cm="1">
        <f t="array" ref="L38">THETAGREEK($B38,100,0.01,L$23,0.2)</f>
        <v>-9.7959134720922805</v>
      </c>
      <c r="M38" s="2" cm="1">
        <f t="array" ref="M38">THETAGREEK($B38,100,0.01,M$23,0.2)</f>
        <v>-10.049443094670199</v>
      </c>
      <c r="N38" s="2" cm="1">
        <f t="array" ref="N38">THETAGREEK($B38,100,0.01,N$23,0.2)</f>
        <v>-10.228048934947017</v>
      </c>
      <c r="O38" s="2" cm="1">
        <f t="array" ref="O38">THETAGREEK($B38,100,0.01,O$23,0.2)</f>
        <v>-10.348940102070419</v>
      </c>
      <c r="P38" s="2" cm="1">
        <f t="array" ref="P38">THETAGREEK($B38,100,0.01,P$23,0.2)</f>
        <v>-10.425136368168197</v>
      </c>
      <c r="Q38" s="2" cm="1">
        <f t="array" ref="Q38">THETAGREEK($B38,100,0.01,Q$23,0.2)</f>
        <v>-10.466548968052377</v>
      </c>
      <c r="R38" s="2" cm="1">
        <f t="array" ref="R38">THETAGREEK($B38,100,0.01,R$23,0.2)</f>
        <v>-10.48077707772423</v>
      </c>
      <c r="S38" s="2" cm="1">
        <f t="array" ref="S38">THETAGREEK($B38,100,0.01,S$23,0.2)</f>
        <v>-10.473690534397045</v>
      </c>
      <c r="T38" s="2" cm="1">
        <f t="array" ref="T38">THETAGREEK($B38,100,0.01,T$23,0.2)</f>
        <v>-10.449856424320105</v>
      </c>
      <c r="U38" s="2" cm="1">
        <f t="array" ref="U38">THETAGREEK($B38,100,0.01,U$23,0.2)</f>
        <v>-10.412852797669157</v>
      </c>
      <c r="V38" s="2" cm="1">
        <f t="array" ref="V38">THETAGREEK($B38,100,0.01,V$23,0.2)</f>
        <v>-10.365500893051253</v>
      </c>
      <c r="W38" s="2" cm="1">
        <f t="array" ref="W38">THETAGREEK($B38,100,0.01,W$23,0.2)</f>
        <v>-10.310038335047231</v>
      </c>
      <c r="X38" s="2" cm="1">
        <f t="array" ref="X38">THETAGREEK($B38,100,0.01,X$23,0.2)</f>
        <v>-10.248249330234806</v>
      </c>
      <c r="Y38" s="2" cm="1">
        <f t="array" ref="Y38">THETAGREEK($B38,100,0.01,Y$23,0.2)</f>
        <v>-10.181563316293108</v>
      </c>
      <c r="Z38" s="2" cm="1">
        <f t="array" ref="Z38">THETAGREEK($B38,100,0.01,Z$23,0.2)</f>
        <v>-10.111130290998121</v>
      </c>
      <c r="AA38" s="2" cm="1">
        <f t="array" ref="AA38">THETAGREEK($B38,100,0.01,AA$23,0.2)</f>
        <v>-10.037878767364239</v>
      </c>
      <c r="AB38" s="2" cm="1">
        <f t="array" ref="AB38">THETAGREEK($B38,100,0.01,AB$23,0.2)</f>
        <v>-9.9625606837654459</v>
      </c>
      <c r="AC38" s="2" cm="1">
        <f t="array" ref="AC38">THETAGREEK($B38,100,0.01,AC$23,0.2)</f>
        <v>-9.8857864442688612</v>
      </c>
      <c r="AD38" s="2" cm="1">
        <f t="array" ref="AD38">THETAGREEK($B38,100,0.01,AD$23,0.2)</f>
        <v>-9.8080524361260171</v>
      </c>
      <c r="AE38" s="2" cm="1">
        <f t="array" ref="AE38">THETAGREEK($B38,100,0.01,AE$23,0.2)</f>
        <v>-9.7297627723637063</v>
      </c>
      <c r="AF38" s="2" cm="1">
        <f t="array" ref="AF38">THETAGREEK($B38,100,0.01,AF$23,0.2)</f>
        <v>-9.6512465710031439</v>
      </c>
      <c r="AG38" s="2" cm="1">
        <f t="array" ref="AG38">THETAGREEK($B38,100,0.01,AG$23,0.2)</f>
        <v>-9.572771762103736</v>
      </c>
      <c r="AH38" s="2" cm="1">
        <f t="array" ref="AH38">THETAGREEK($B38,100,0.01,AH$23,0.2)</f>
        <v>-9.4945561769618987</v>
      </c>
      <c r="AI38" s="2" cm="1">
        <f t="array" ref="AI38">THETAGREEK($B38,100,0.01,AI$23,0.2)</f>
        <v>-9.4167764973823935</v>
      </c>
      <c r="AJ38" s="2" cm="1">
        <f t="array" ref="AJ38">THETAGREEK($B38,100,0.01,AJ$23,0.2)</f>
        <v>-9.3395755106275438</v>
      </c>
      <c r="AK38" s="2" cm="1">
        <f t="array" ref="AK38">THETAGREEK($B38,100,0.01,AK$23,0.2)</f>
        <v>-9.2630680157409717</v>
      </c>
      <c r="AL38" s="2" cm="1">
        <f t="array" ref="AL38">THETAGREEK($B38,100,0.01,AL$23,0.2)</f>
        <v>-9.1873456510076892</v>
      </c>
      <c r="AM38" s="2" cm="1">
        <f t="array" ref="AM38">THETAGREEK($B38,100,0.01,AM$23,0.2)</f>
        <v>-9.1124808542362583</v>
      </c>
      <c r="AN38" s="2" cm="1">
        <f t="array" ref="AN38">THETAGREEK($B38,100,0.01,AN$23,0.2)</f>
        <v>-9.0385301228630492</v>
      </c>
      <c r="AO38" s="2" cm="1">
        <f t="array" ref="AO38">THETAGREEK($B38,100,0.01,AO$23,0.2)</f>
        <v>-8.965536706297085</v>
      </c>
      <c r="AP38" s="2" cm="1">
        <f t="array" ref="AP38">THETAGREEK($B38,100,0.01,AP$23,0.2)</f>
        <v>-8.8935328360136179</v>
      </c>
      <c r="AQ38" s="2" cm="1">
        <f t="array" ref="AQ38">THETAGREEK($B38,100,0.01,AQ$23,0.2)</f>
        <v>-8.8225415778523395</v>
      </c>
      <c r="AR38" s="2" cm="1">
        <f t="array" ref="AR38">THETAGREEK($B38,100,0.01,AR$23,0.2)</f>
        <v>-8.752578374423301</v>
      </c>
      <c r="AS38" s="2" cm="1">
        <f t="array" ref="AS38">THETAGREEK($B38,100,0.01,AS$23,0.2)</f>
        <v>-8.6836523324448365</v>
      </c>
      <c r="AT38" s="2" cm="1">
        <f t="array" ref="AT38">THETAGREEK($B38,100,0.01,AT$23,0.2)</f>
        <v>-8.6157672994561487</v>
      </c>
      <c r="AU38" s="2" cm="1">
        <f t="array" ref="AU38">THETAGREEK($B38,100,0.01,AU$23,0.2)</f>
        <v>-8.5489227660693956</v>
      </c>
      <c r="AV38" s="2" cm="1">
        <f t="array" ref="AV38">THETAGREEK($B38,100,0.01,AV$23,0.2)</f>
        <v>-8.4831146232977126</v>
      </c>
      <c r="AW38" s="2" cm="1">
        <f t="array" ref="AW38">THETAGREEK($B38,100,0.01,AW$23,0.2)</f>
        <v>-8.4183357991662309</v>
      </c>
      <c r="AX38" s="2" cm="1">
        <f t="array" ref="AX38">THETAGREEK($B38,100,0.01,AX$23,0.2)</f>
        <v>-8.3545767945112814</v>
      </c>
      <c r="AY38" s="2" cm="1">
        <f t="array" ref="AY38">THETAGREEK($B38,100,0.01,AY$23,0.2)</f>
        <v>-8.2918261343875752</v>
      </c>
      <c r="AZ38" s="2" cm="1">
        <f t="array" ref="AZ38">THETAGREEK($B38,100,0.01,AZ$23,0.2)</f>
        <v>-8.2300707486689859</v>
      </c>
    </row>
    <row r="39" spans="1:52" x14ac:dyDescent="0.3">
      <c r="A39" s="2"/>
      <c r="B39" s="2">
        <v>135</v>
      </c>
      <c r="C39" s="2" cm="1">
        <f t="array" ref="C39">THETAGREEK($B39,100,0.01,C$23,0.2)</f>
        <v>-0.99987587970602798</v>
      </c>
      <c r="D39" s="2" cm="1">
        <f t="array" ref="D39">THETAGREEK($B39,100,0.01,D$23,0.2)</f>
        <v>-1.1699032672049601</v>
      </c>
      <c r="E39" s="2" cm="1">
        <f t="array" ref="E39">THETAGREEK($B39,100,0.01,E$23,0.2)</f>
        <v>-1.9113646017988646</v>
      </c>
      <c r="F39" s="2" cm="1">
        <f t="array" ref="F39">THETAGREEK($B39,100,0.01,F$23,0.2)</f>
        <v>-3.0149238500830591</v>
      </c>
      <c r="G39" s="2" cm="1">
        <f t="array" ref="G39">THETAGREEK($B39,100,0.01,G$23,0.2)</f>
        <v>-4.1585838566039577</v>
      </c>
      <c r="H39" s="2" cm="1">
        <f t="array" ref="H39">THETAGREEK($B39,100,0.01,H$23,0.2)</f>
        <v>-5.1880333604875037</v>
      </c>
      <c r="I39" s="2" cm="1">
        <f t="array" ref="I39">THETAGREEK($B39,100,0.01,I$23,0.2)</f>
        <v>-6.0588387322217248</v>
      </c>
      <c r="J39" s="2" cm="1">
        <f t="array" ref="J39">THETAGREEK($B39,100,0.01,J$23,0.2)</f>
        <v>-6.7737313975105078</v>
      </c>
      <c r="K39" s="2" cm="1">
        <f t="array" ref="K39">THETAGREEK($B39,100,0.01,K$23,0.2)</f>
        <v>-7.3515312572557914</v>
      </c>
      <c r="L39" s="2" cm="1">
        <f t="array" ref="L39">THETAGREEK($B39,100,0.01,L$23,0.2)</f>
        <v>-7.814251988155136</v>
      </c>
      <c r="M39" s="2" cm="1">
        <f t="array" ref="M39">THETAGREEK($B39,100,0.01,M$23,0.2)</f>
        <v>-8.1823445854471917</v>
      </c>
      <c r="N39" s="2" cm="1">
        <f t="array" ref="N39">THETAGREEK($B39,100,0.01,N$23,0.2)</f>
        <v>-8.4732969731189698</v>
      </c>
      <c r="O39" s="2" cm="1">
        <f t="array" ref="O39">THETAGREEK($B39,100,0.01,O$23,0.2)</f>
        <v>-8.7015323471400041</v>
      </c>
      <c r="P39" s="2" cm="1">
        <f t="array" ref="P39">THETAGREEK($B39,100,0.01,P$23,0.2)</f>
        <v>-8.8787542416566847</v>
      </c>
      <c r="Q39" s="2" cm="1">
        <f t="array" ref="Q39">THETAGREEK($B39,100,0.01,Q$23,0.2)</f>
        <v>-9.0143973869559861</v>
      </c>
      <c r="R39" s="2" cm="1">
        <f t="array" ref="R39">THETAGREEK($B39,100,0.01,R$23,0.2)</f>
        <v>-9.1160567956324439</v>
      </c>
      <c r="S39" s="2" cm="1">
        <f t="array" ref="S39">THETAGREEK($B39,100,0.01,S$23,0.2)</f>
        <v>-9.189855063596271</v>
      </c>
      <c r="T39" s="2" cm="1">
        <f t="array" ref="T39">THETAGREEK($B39,100,0.01,T$23,0.2)</f>
        <v>-9.2407424093732402</v>
      </c>
      <c r="U39" s="2" cm="1">
        <f t="array" ref="U39">THETAGREEK($B39,100,0.01,U$23,0.2)</f>
        <v>-9.2727363258834288</v>
      </c>
      <c r="V39" s="2" cm="1">
        <f t="array" ref="V39">THETAGREEK($B39,100,0.01,V$23,0.2)</f>
        <v>-9.289110993522069</v>
      </c>
      <c r="W39" s="2" cm="1">
        <f t="array" ref="W39">THETAGREEK($B39,100,0.01,W$23,0.2)</f>
        <v>-9.2925463768358068</v>
      </c>
      <c r="X39" s="2" cm="1">
        <f t="array" ref="X39">THETAGREEK($B39,100,0.01,X$23,0.2)</f>
        <v>-9.2852455414539126</v>
      </c>
      <c r="Y39" s="2" cm="1">
        <f t="array" ref="Y39">THETAGREEK($B39,100,0.01,Y$23,0.2)</f>
        <v>-9.2690271321479365</v>
      </c>
      <c r="Z39" s="2" cm="1">
        <f t="array" ref="Z39">THETAGREEK($B39,100,0.01,Z$23,0.2)</f>
        <v>-9.2453984986621425</v>
      </c>
      <c r="AA39" s="2" cm="1">
        <f t="array" ref="AA39">THETAGREEK($B39,100,0.01,AA$23,0.2)</f>
        <v>-9.2156137445608568</v>
      </c>
      <c r="AB39" s="2" cm="1">
        <f t="array" ref="AB39">THETAGREEK($B39,100,0.01,AB$23,0.2)</f>
        <v>-9.1807200077148927</v>
      </c>
      <c r="AC39" s="2" cm="1">
        <f t="array" ref="AC39">THETAGREEK($B39,100,0.01,AC$23,0.2)</f>
        <v>-9.1415945267547745</v>
      </c>
      <c r="AD39" s="2" cm="1">
        <f t="array" ref="AD39">THETAGREEK($B39,100,0.01,AD$23,0.2)</f>
        <v>-9.0989744659920522</v>
      </c>
      <c r="AE39" s="2" cm="1">
        <f t="array" ref="AE39">THETAGREEK($B39,100,0.01,AE$23,0.2)</f>
        <v>-9.0534810249709583</v>
      </c>
      <c r="AF39" s="2" cm="1">
        <f t="array" ref="AF39">THETAGREEK($B39,100,0.01,AF$23,0.2)</f>
        <v>-9.0056390170271499</v>
      </c>
      <c r="AG39" s="2" cm="1">
        <f t="array" ref="AG39">THETAGREEK($B39,100,0.01,AG$23,0.2)</f>
        <v>-8.9558928393738704</v>
      </c>
      <c r="AH39" s="2" cm="1">
        <f t="array" ref="AH39">THETAGREEK($B39,100,0.01,AH$23,0.2)</f>
        <v>-8.9046195562173036</v>
      </c>
      <c r="AI39" s="2" cm="1">
        <f t="array" ref="AI39">THETAGREEK($B39,100,0.01,AI$23,0.2)</f>
        <v>-8.8521396616323074</v>
      </c>
      <c r="AJ39" s="2" cm="1">
        <f t="array" ref="AJ39">THETAGREEK($B39,100,0.01,AJ$23,0.2)</f>
        <v>-8.7987259693413105</v>
      </c>
      <c r="AK39" s="2" cm="1">
        <f t="array" ref="AK39">THETAGREEK($B39,100,0.01,AK$23,0.2)</f>
        <v>-8.7446109837697836</v>
      </c>
      <c r="AL39" s="2" cm="1">
        <f t="array" ref="AL39">THETAGREEK($B39,100,0.01,AL$23,0.2)</f>
        <v>-8.6899930344846421</v>
      </c>
      <c r="AM39" s="2" cm="1">
        <f t="array" ref="AM39">THETAGREEK($B39,100,0.01,AM$23,0.2)</f>
        <v>-8.6350413995834554</v>
      </c>
      <c r="AN39" s="2" cm="1">
        <f t="array" ref="AN39">THETAGREEK($B39,100,0.01,AN$23,0.2)</f>
        <v>-8.5799005991753852</v>
      </c>
      <c r="AO39" s="2" cm="1">
        <f t="array" ref="AO39">THETAGREEK($B39,100,0.01,AO$23,0.2)</f>
        <v>-8.5246940050328952</v>
      </c>
      <c r="AP39" s="2" cm="1">
        <f t="array" ref="AP39">THETAGREEK($B39,100,0.01,AP$23,0.2)</f>
        <v>-8.4695268847023772</v>
      </c>
      <c r="AQ39" s="2" cm="1">
        <f t="array" ref="AQ39">THETAGREEK($B39,100,0.01,AQ$23,0.2)</f>
        <v>-8.4144889762404063</v>
      </c>
      <c r="AR39" s="2" cm="1">
        <f t="array" ref="AR39">THETAGREEK($B39,100,0.01,AR$23,0.2)</f>
        <v>-8.3596566720603391</v>
      </c>
      <c r="AS39" s="2" cm="1">
        <f t="array" ref="AS39">THETAGREEK($B39,100,0.01,AS$23,0.2)</f>
        <v>-8.3050948761828174</v>
      </c>
      <c r="AT39" s="2" cm="1">
        <f t="array" ref="AT39">THETAGREEK($B39,100,0.01,AT$23,0.2)</f>
        <v>-8.2508585877490379</v>
      </c>
      <c r="AU39" s="2" cm="1">
        <f t="array" ref="AU39">THETAGREEK($B39,100,0.01,AU$23,0.2)</f>
        <v>-8.1969942544065084</v>
      </c>
      <c r="AV39" s="2" cm="1">
        <f t="array" ref="AV39">THETAGREEK($B39,100,0.01,AV$23,0.2)</f>
        <v>-8.143540931667534</v>
      </c>
      <c r="AW39" s="2" cm="1">
        <f t="array" ref="AW39">THETAGREEK($B39,100,0.01,AW$23,0.2)</f>
        <v>-8.0905312782216061</v>
      </c>
      <c r="AX39" s="2" cm="1">
        <f t="array" ref="AX39">THETAGREEK($B39,100,0.01,AX$23,0.2)</f>
        <v>-8.0379924121790989</v>
      </c>
      <c r="AY39" s="2" cm="1">
        <f t="array" ref="AY39">THETAGREEK($B39,100,0.01,AY$23,0.2)</f>
        <v>-7.9859466491180617</v>
      </c>
      <c r="AZ39" s="2" cm="1">
        <f t="array" ref="AZ39">THETAGREEK($B39,100,0.01,AZ$23,0.2)</f>
        <v>-7.9344121394260245</v>
      </c>
    </row>
    <row r="40" spans="1:52" x14ac:dyDescent="0.3">
      <c r="A40" s="2"/>
      <c r="B40" s="2">
        <v>140</v>
      </c>
      <c r="C40" s="2" cm="1">
        <f t="array" ref="C40">THETAGREEK($B40,100,0.01,C$23,0.2)</f>
        <v>-0.99904941220576171</v>
      </c>
      <c r="D40" s="2" cm="1">
        <f t="array" ref="D40">THETAGREEK($B40,100,0.01,D$23,0.2)</f>
        <v>-1.0388283555729734</v>
      </c>
      <c r="E40" s="2" cm="1">
        <f t="array" ref="E40">THETAGREEK($B40,100,0.01,E$23,0.2)</f>
        <v>-1.3487952222257125</v>
      </c>
      <c r="F40" s="2" cm="1">
        <f t="array" ref="F40">THETAGREEK($B40,100,0.01,F$23,0.2)</f>
        <v>-1.9846849685346619</v>
      </c>
      <c r="G40" s="2" cm="1">
        <f t="array" ref="G40">THETAGREEK($B40,100,0.01,G$23,0.2)</f>
        <v>-2.7855630263031972</v>
      </c>
      <c r="H40" s="2" cm="1">
        <f t="array" ref="H40">THETAGREEK($B40,100,0.01,H$23,0.2)</f>
        <v>-3.6083602469389642</v>
      </c>
      <c r="I40" s="2" cm="1">
        <f t="array" ref="I40">THETAGREEK($B40,100,0.01,I$23,0.2)</f>
        <v>-4.3762692327935353</v>
      </c>
      <c r="J40" s="2" cm="1">
        <f t="array" ref="J40">THETAGREEK($B40,100,0.01,J$23,0.2)</f>
        <v>-5.0584173293597976</v>
      </c>
      <c r="K40" s="2" cm="1">
        <f t="array" ref="K40">THETAGREEK($B40,100,0.01,K$23,0.2)</f>
        <v>-5.6482262361697639</v>
      </c>
      <c r="L40" s="2" cm="1">
        <f t="array" ref="L40">THETAGREEK($B40,100,0.01,L$23,0.2)</f>
        <v>-6.1503168442155749</v>
      </c>
      <c r="M40" s="2" cm="1">
        <f t="array" ref="M40">THETAGREEK($B40,100,0.01,M$23,0.2)</f>
        <v>-6.573692890399184</v>
      </c>
      <c r="N40" s="2" cm="1">
        <f t="array" ref="N40">THETAGREEK($B40,100,0.01,N$23,0.2)</f>
        <v>-6.9284482833850278</v>
      </c>
      <c r="O40" s="2" cm="1">
        <f t="array" ref="O40">THETAGREEK($B40,100,0.01,O$23,0.2)</f>
        <v>-7.2242871212075892</v>
      </c>
      <c r="P40" s="2" cm="1">
        <f t="array" ref="P40">THETAGREEK($B40,100,0.01,P$23,0.2)</f>
        <v>-7.4699378252745916</v>
      </c>
      <c r="Q40" s="2" cm="1">
        <f t="array" ref="Q40">THETAGREEK($B40,100,0.01,Q$23,0.2)</f>
        <v>-7.6729927557568294</v>
      </c>
      <c r="R40" s="2" cm="1">
        <f t="array" ref="R40">THETAGREEK($B40,100,0.01,R$23,0.2)</f>
        <v>-7.8399396771623389</v>
      </c>
      <c r="S40" s="2" cm="1">
        <f t="array" ref="S40">THETAGREEK($B40,100,0.01,S$23,0.2)</f>
        <v>-7.9762706319666092</v>
      </c>
      <c r="T40" s="2" cm="1">
        <f t="array" ref="T40">THETAGREEK($B40,100,0.01,T$23,0.2)</f>
        <v>-8.0866135493499165</v>
      </c>
      <c r="U40" s="2" cm="1">
        <f t="array" ref="U40">THETAGREEK($B40,100,0.01,U$23,0.2)</f>
        <v>-8.1748616762875361</v>
      </c>
      <c r="V40" s="2" cm="1">
        <f t="array" ref="V40">THETAGREEK($B40,100,0.01,V$23,0.2)</f>
        <v>-8.2442905792216727</v>
      </c>
      <c r="W40" s="2" cm="1">
        <f t="array" ref="W40">THETAGREEK($B40,100,0.01,W$23,0.2)</f>
        <v>-8.2976595328760503</v>
      </c>
      <c r="X40" s="2" cm="1">
        <f t="array" ref="X40">THETAGREEK($B40,100,0.01,X$23,0.2)</f>
        <v>-8.3372973728872015</v>
      </c>
      <c r="Y40" s="2" cm="1">
        <f t="array" ref="Y40">THETAGREEK($B40,100,0.01,Y$23,0.2)</f>
        <v>-8.365174255617136</v>
      </c>
      <c r="Z40" s="2" cm="1">
        <f t="array" ref="Z40">THETAGREEK($B40,100,0.01,Z$23,0.2)</f>
        <v>-8.3829612129155997</v>
      </c>
      <c r="AA40" s="2" cm="1">
        <f t="array" ref="AA40">THETAGREEK($B40,100,0.01,AA$23,0.2)</f>
        <v>-8.3920794034958632</v>
      </c>
      <c r="AB40" s="2" cm="1">
        <f t="array" ref="AB40">THETAGREEK($B40,100,0.01,AB$23,0.2)</f>
        <v>-8.3937407929026033</v>
      </c>
      <c r="AC40" s="2" cm="1">
        <f t="array" ref="AC40">THETAGREEK($B40,100,0.01,AC$23,0.2)</f>
        <v>-8.3889817622818104</v>
      </c>
      <c r="AD40" s="2" cm="1">
        <f t="array" ref="AD40">THETAGREEK($B40,100,0.01,AD$23,0.2)</f>
        <v>-8.3786909096674016</v>
      </c>
      <c r="AE40" s="2" cm="1">
        <f t="array" ref="AE40">THETAGREEK($B40,100,0.01,AE$23,0.2)</f>
        <v>-8.3636320911201718</v>
      </c>
      <c r="AF40" s="2" cm="1">
        <f t="array" ref="AF40">THETAGREEK($B40,100,0.01,AF$23,0.2)</f>
        <v>-8.3444635614848828</v>
      </c>
      <c r="AG40" s="2" cm="1">
        <f t="array" ref="AG40">THETAGREEK($B40,100,0.01,AG$23,0.2)</f>
        <v>-8.3217539167589134</v>
      </c>
      <c r="AH40" s="2" cm="1">
        <f t="array" ref="AH40">THETAGREEK($B40,100,0.01,AH$23,0.2)</f>
        <v>-8.2959954096944628</v>
      </c>
      <c r="AI40" s="2" cm="1">
        <f t="array" ref="AI40">THETAGREEK($B40,100,0.01,AI$23,0.2)</f>
        <v>-8.267615103668609</v>
      </c>
      <c r="AJ40" s="2" cm="1">
        <f t="array" ref="AJ40">THETAGREEK($B40,100,0.01,AJ$23,0.2)</f>
        <v>-8.236984243256213</v>
      </c>
      <c r="AK40" s="2" cm="1">
        <f t="array" ref="AK40">THETAGREEK($B40,100,0.01,AK$23,0.2)</f>
        <v>-8.2044261498205131</v>
      </c>
      <c r="AL40" s="2" cm="1">
        <f t="array" ref="AL40">THETAGREEK($B40,100,0.01,AL$23,0.2)</f>
        <v>-8.1702228937436665</v>
      </c>
      <c r="AM40" s="2" cm="1">
        <f t="array" ref="AM40">THETAGREEK($B40,100,0.01,AM$23,0.2)</f>
        <v>-8.1346209490912464</v>
      </c>
      <c r="AN40" s="2" cm="1">
        <f t="array" ref="AN40">THETAGREEK($B40,100,0.01,AN$23,0.2)</f>
        <v>-8.0978359994306786</v>
      </c>
      <c r="AO40" s="2" cm="1">
        <f t="array" ref="AO40">THETAGREEK($B40,100,0.01,AO$23,0.2)</f>
        <v>-8.0600570334895369</v>
      </c>
      <c r="AP40" s="2" cm="1">
        <f t="array" ref="AP40">THETAGREEK($B40,100,0.01,AP$23,0.2)</f>
        <v>-8.0214498449633034</v>
      </c>
      <c r="AQ40" s="2" cm="1">
        <f t="array" ref="AQ40">THETAGREEK($B40,100,0.01,AQ$23,0.2)</f>
        <v>-7.9821600309544092</v>
      </c>
      <c r="AR40" s="2" cm="1">
        <f t="array" ref="AR40">THETAGREEK($B40,100,0.01,AR$23,0.2)</f>
        <v>-7.9423155673574506</v>
      </c>
      <c r="AS40" s="2" cm="1">
        <f t="array" ref="AS40">THETAGREEK($B40,100,0.01,AS$23,0.2)</f>
        <v>-7.9020290262893917</v>
      </c>
      <c r="AT40" s="2" cm="1">
        <f t="array" ref="AT40">THETAGREEK($B40,100,0.01,AT$23,0.2)</f>
        <v>-7.8613994898310819</v>
      </c>
      <c r="AU40" s="2" cm="1">
        <f t="array" ref="AU40">THETAGREEK($B40,100,0.01,AU$23,0.2)</f>
        <v>-7.8205142054430654</v>
      </c>
      <c r="AV40" s="2" cm="1">
        <f t="array" ref="AV40">THETAGREEK($B40,100,0.01,AV$23,0.2)</f>
        <v>-7.7794500210809971</v>
      </c>
      <c r="AW40" s="2" cm="1">
        <f t="array" ref="AW40">THETAGREEK($B40,100,0.01,AW$23,0.2)</f>
        <v>-7.7382746319715308</v>
      </c>
      <c r="AX40" s="2" cm="1">
        <f t="array" ref="AX40">THETAGREEK($B40,100,0.01,AX$23,0.2)</f>
        <v>-7.697047665983936</v>
      </c>
      <c r="AY40" s="2" cm="1">
        <f t="array" ref="AY40">THETAGREEK($B40,100,0.01,AY$23,0.2)</f>
        <v>-7.6558216303563773</v>
      </c>
      <c r="AZ40" s="2" cm="1">
        <f t="array" ref="AZ40">THETAGREEK($B40,100,0.01,AZ$23,0.2)</f>
        <v>-7.6146427390558058</v>
      </c>
    </row>
    <row r="41" spans="1:52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</row>
    <row r="42" spans="1:52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</row>
    <row r="43" spans="1:52" x14ac:dyDescent="0.3">
      <c r="A43" s="2" t="s">
        <v>15</v>
      </c>
      <c r="B43" s="2"/>
      <c r="C43" s="2" t="s">
        <v>12</v>
      </c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</row>
    <row r="44" spans="1:52" x14ac:dyDescent="0.3">
      <c r="A44" s="2"/>
      <c r="B44" s="2"/>
      <c r="C44" s="2">
        <v>0.1</v>
      </c>
      <c r="D44" s="2">
        <v>0.2</v>
      </c>
      <c r="E44" s="2">
        <v>0.3</v>
      </c>
      <c r="F44" s="2">
        <v>0.4</v>
      </c>
      <c r="G44" s="2">
        <v>0.5</v>
      </c>
      <c r="H44" s="2">
        <v>0.6</v>
      </c>
      <c r="I44" s="2">
        <v>0.7</v>
      </c>
      <c r="J44" s="2">
        <v>0.8</v>
      </c>
      <c r="K44" s="2">
        <v>0.9</v>
      </c>
      <c r="L44" s="2">
        <v>1</v>
      </c>
      <c r="M44" s="2">
        <v>1.1000000000000001</v>
      </c>
      <c r="N44" s="2">
        <v>1.2</v>
      </c>
      <c r="O44" s="2">
        <v>1.3</v>
      </c>
      <c r="P44" s="2">
        <v>1.4</v>
      </c>
      <c r="Q44" s="2">
        <v>1.5</v>
      </c>
      <c r="R44" s="2">
        <v>1.6</v>
      </c>
      <c r="S44" s="2">
        <v>1.7</v>
      </c>
      <c r="T44" s="2">
        <v>1.8</v>
      </c>
      <c r="U44" s="2">
        <v>1.9</v>
      </c>
      <c r="V44" s="2">
        <v>2</v>
      </c>
      <c r="W44" s="2">
        <v>2.1</v>
      </c>
      <c r="X44" s="2">
        <v>2.2000000000000002</v>
      </c>
      <c r="Y44" s="2">
        <v>2.2999999999999998</v>
      </c>
      <c r="Z44" s="2">
        <v>2.4</v>
      </c>
      <c r="AA44" s="2">
        <v>2.5</v>
      </c>
      <c r="AB44" s="2">
        <v>2.6</v>
      </c>
      <c r="AC44" s="2">
        <v>2.7</v>
      </c>
      <c r="AD44" s="2">
        <v>2.8</v>
      </c>
      <c r="AE44" s="2">
        <v>2.9</v>
      </c>
      <c r="AF44" s="2">
        <v>3</v>
      </c>
      <c r="AG44" s="2">
        <v>3.1</v>
      </c>
      <c r="AH44" s="2">
        <v>3.2</v>
      </c>
      <c r="AI44" s="2">
        <v>3.3</v>
      </c>
      <c r="AJ44" s="2">
        <v>3.4</v>
      </c>
      <c r="AK44" s="2">
        <v>3.5</v>
      </c>
      <c r="AL44" s="2">
        <v>3.6</v>
      </c>
      <c r="AM44" s="2">
        <v>3.7</v>
      </c>
      <c r="AN44" s="2">
        <v>3.8</v>
      </c>
      <c r="AO44" s="2">
        <v>3.9</v>
      </c>
      <c r="AP44" s="2">
        <v>4</v>
      </c>
      <c r="AQ44" s="2">
        <v>4.0999999999999996</v>
      </c>
      <c r="AR44" s="2">
        <v>4.2</v>
      </c>
      <c r="AS44" s="2">
        <v>4.3</v>
      </c>
      <c r="AT44" s="2">
        <v>4.4000000000000004</v>
      </c>
      <c r="AU44" s="2">
        <v>4.5</v>
      </c>
      <c r="AV44" s="2">
        <v>4.5999999999999996</v>
      </c>
      <c r="AW44" s="2">
        <v>4.7</v>
      </c>
      <c r="AX44" s="2">
        <v>4.8</v>
      </c>
      <c r="AY44" s="2">
        <v>4.9000000000000004</v>
      </c>
      <c r="AZ44" s="2">
        <v>5</v>
      </c>
    </row>
    <row r="45" spans="1:52" x14ac:dyDescent="0.3">
      <c r="A45" s="2" t="s">
        <v>11</v>
      </c>
      <c r="B45" s="2">
        <v>60</v>
      </c>
      <c r="C45" s="2" cm="1">
        <f t="array" ref="C45">THETAGREEK($B45,100,0.01,C$44,0.4)</f>
        <v>-1.4485039991105231E-2</v>
      </c>
      <c r="D45" s="2" cm="1">
        <f t="array" ref="D45">THETAGREEK($B45,100,0.01,D$44,0.4)</f>
        <v>-0.60338223197593854</v>
      </c>
      <c r="E45" s="2" cm="1">
        <f t="array" ref="E45">THETAGREEK($B45,100,0.01,E$44,0.4)</f>
        <v>-1.9151622811895384</v>
      </c>
      <c r="F45" s="2" cm="1">
        <f t="array" ref="F45">THETAGREEK($B45,100,0.01,F$44,0.4)</f>
        <v>-3.2676546646789197</v>
      </c>
      <c r="G45" s="2" cm="1">
        <f t="array" ref="G45">THETAGREEK($B45,100,0.01,G$44,0.4)</f>
        <v>-4.3873411094725823</v>
      </c>
      <c r="H45" s="2" cm="1">
        <f t="array" ref="H45">THETAGREEK($B45,100,0.01,H$44,0.4)</f>
        <v>-5.2478378445142599</v>
      </c>
      <c r="I45" s="2" cm="1">
        <f t="array" ref="I45">THETAGREEK($B45,100,0.01,I$44,0.4)</f>
        <v>-5.8901425239135126</v>
      </c>
      <c r="J45" s="2" cm="1">
        <f t="array" ref="J45">THETAGREEK($B45,100,0.01,J$44,0.4)</f>
        <v>-6.3628065714776039</v>
      </c>
      <c r="K45" s="2" cm="1">
        <f t="array" ref="K45">THETAGREEK($B45,100,0.01,K$44,0.4)</f>
        <v>-6.7068787506709882</v>
      </c>
      <c r="L45" s="2" cm="1">
        <f t="array" ref="L45">THETAGREEK($B45,100,0.01,L$44,0.4)</f>
        <v>-6.9540324269679985</v>
      </c>
      <c r="M45" s="2" cm="1">
        <f t="array" ref="M45">THETAGREEK($B45,100,0.01,M$44,0.4)</f>
        <v>-7.1279863654200701</v>
      </c>
      <c r="N45" s="2" cm="1">
        <f t="array" ref="N45">THETAGREEK($B45,100,0.01,N$44,0.4)</f>
        <v>-7.246369734349714</v>
      </c>
      <c r="O45" s="2" cm="1">
        <f t="array" ref="O45">THETAGREEK($B45,100,0.01,O$44,0.4)</f>
        <v>-7.3223107281117237</v>
      </c>
      <c r="P45" s="2" cm="1">
        <f t="array" ref="P45">THETAGREEK($B45,100,0.01,P$44,0.4)</f>
        <v>-7.3656449797542365</v>
      </c>
      <c r="Q45" s="2" cm="1">
        <f t="array" ref="Q45">THETAGREEK($B45,100,0.01,Q$44,0.4)</f>
        <v>-7.3837986516710945</v>
      </c>
      <c r="R45" s="2" cm="1">
        <f t="array" ref="R45">THETAGREEK($B45,100,0.01,R$44,0.4)</f>
        <v>-7.3824252711954728</v>
      </c>
      <c r="S45" s="2" cm="1">
        <f t="array" ref="S45">THETAGREEK($B45,100,0.01,S$44,0.4)</f>
        <v>-7.3658643020308165</v>
      </c>
      <c r="T45" s="2" cm="1">
        <f t="array" ref="T45">THETAGREEK($B45,100,0.01,T$44,0.4)</f>
        <v>-7.3374727315771349</v>
      </c>
      <c r="U45" s="2" cm="1">
        <f t="array" ref="U45">THETAGREEK($B45,100,0.01,U$44,0.4)</f>
        <v>-7.2998665061093853</v>
      </c>
      <c r="V45" s="2" cm="1">
        <f t="array" ref="V45">THETAGREEK($B45,100,0.01,V$44,0.4)</f>
        <v>-7.2550977770018834</v>
      </c>
      <c r="W45" s="2" cm="1">
        <f t="array" ref="W45">THETAGREEK($B45,100,0.01,W$44,0.4)</f>
        <v>-7.2047861651565688</v>
      </c>
      <c r="X45" s="2" cm="1">
        <f t="array" ref="X45">THETAGREEK($B45,100,0.01,X$44,0.4)</f>
        <v>-7.1502168322109707</v>
      </c>
      <c r="Y45" s="2" cm="1">
        <f t="array" ref="Y45">THETAGREEK($B45,100,0.01,Y$44,0.4)</f>
        <v>-7.0924143875979677</v>
      </c>
      <c r="Z45" s="2" cm="1">
        <f t="array" ref="Z45">THETAGREEK($B45,100,0.01,Z$44,0.4)</f>
        <v>-7.0321990512401849</v>
      </c>
      <c r="AA45" s="2" cm="1">
        <f t="array" ref="AA45">THETAGREEK($B45,100,0.01,AA$44,0.4)</f>
        <v>-6.9702296730167417</v>
      </c>
      <c r="AB45" s="2" cm="1">
        <f t="array" ref="AB45">THETAGREEK($B45,100,0.01,AB$44,0.4)</f>
        <v>-6.9070369344970564</v>
      </c>
      <c r="AC45" s="2" cm="1">
        <f t="array" ref="AC45">THETAGREEK($B45,100,0.01,AC$44,0.4)</f>
        <v>-6.8430491569514809</v>
      </c>
      <c r="AD45" s="2" cm="1">
        <f t="array" ref="AD45">THETAGREEK($B45,100,0.01,AD$44,0.4)</f>
        <v>-6.778612497436681</v>
      </c>
      <c r="AE45" s="2" cm="1">
        <f t="array" ref="AE45">THETAGREEK($B45,100,0.01,AE$44,0.4)</f>
        <v>-6.7140068534569757</v>
      </c>
      <c r="AF45" s="2" cm="1">
        <f t="array" ref="AF45">THETAGREEK($B45,100,0.01,AF$44,0.4)</f>
        <v>-6.6494584626121922</v>
      </c>
      <c r="AG45" s="2" cm="1">
        <f t="array" ref="AG45">THETAGREEK($B45,100,0.01,AG$44,0.4)</f>
        <v>-6.585149939707958</v>
      </c>
      <c r="AH45" s="2" cm="1">
        <f t="array" ref="AH45">THETAGREEK($B45,100,0.01,AH$44,0.4)</f>
        <v>-6.5212283142825314</v>
      </c>
      <c r="AI45" s="2" cm="1">
        <f t="array" ref="AI45">THETAGREEK($B45,100,0.01,AI$44,0.4)</f>
        <v>-6.457811498371659</v>
      </c>
      <c r="AJ45" s="2" cm="1">
        <f t="array" ref="AJ45">THETAGREEK($B45,100,0.01,AJ$44,0.4)</f>
        <v>-6.3949935148716559</v>
      </c>
      <c r="AK45" s="2" cm="1">
        <f t="array" ref="AK45">THETAGREEK($B45,100,0.01,AK$44,0.4)</f>
        <v>-6.3328487420268766</v>
      </c>
      <c r="AL45" s="2" cm="1">
        <f t="array" ref="AL45">THETAGREEK($B45,100,0.01,AL$44,0.4)</f>
        <v>-6.2714353728795853</v>
      </c>
      <c r="AM45" s="2" cm="1">
        <f t="array" ref="AM45">THETAGREEK($B45,100,0.01,AM$44,0.4)</f>
        <v>-6.2107982452979273</v>
      </c>
      <c r="AN45" s="2" cm="1">
        <f t="array" ref="AN45">THETAGREEK($B45,100,0.01,AN$44,0.4)</f>
        <v>-6.1509711650371433</v>
      </c>
      <c r="AO45" s="2" cm="1">
        <f t="array" ref="AO45">THETAGREEK($B45,100,0.01,AO$44,0.4)</f>
        <v>-6.0919788186963597</v>
      </c>
      <c r="AP45" s="2" cm="1">
        <f t="array" ref="AP45">THETAGREEK($B45,100,0.01,AP$44,0.4)</f>
        <v>-6.0338383535688811</v>
      </c>
      <c r="AQ45" s="2" cm="1">
        <f t="array" ref="AQ45">THETAGREEK($B45,100,0.01,AQ$44,0.4)</f>
        <v>-5.9765606858815667</v>
      </c>
      <c r="AR45" s="2" cm="1">
        <f t="array" ref="AR45">THETAGREEK($B45,100,0.01,AR$44,0.4)</f>
        <v>-5.92015158675812</v>
      </c>
      <c r="AS45" s="2" cm="1">
        <f t="array" ref="AS45">THETAGREEK($B45,100,0.01,AS$44,0.4)</f>
        <v>-5.8646125856540525</v>
      </c>
      <c r="AT45" s="2" cm="1">
        <f t="array" ref="AT45">THETAGREEK($B45,100,0.01,AT$44,0.4)</f>
        <v>-5.8099417234171771</v>
      </c>
      <c r="AU45" s="2" cm="1">
        <f t="array" ref="AU45">THETAGREEK($B45,100,0.01,AU$44,0.4)</f>
        <v>-5.7561341810851712</v>
      </c>
      <c r="AV45" s="2" cm="1">
        <f t="array" ref="AV45">THETAGREEK($B45,100,0.01,AV$44,0.4)</f>
        <v>-5.7031828057028484</v>
      </c>
      <c r="AW45" s="2" cm="1">
        <f t="array" ref="AW45">THETAGREEK($B45,100,0.01,AW$44,0.4)</f>
        <v>-5.6510785505669565</v>
      </c>
      <c r="AX45" s="2" cm="1">
        <f t="array" ref="AX45">THETAGREEK($B45,100,0.01,AX$44,0.4)</f>
        <v>-5.5998108441843248</v>
      </c>
      <c r="AY45" s="2" cm="1">
        <f t="array" ref="AY45">THETAGREEK($B45,100,0.01,AY$44,0.4)</f>
        <v>-5.5493678997045093</v>
      </c>
      <c r="AZ45" s="2" cm="1">
        <f t="array" ref="AZ45">THETAGREEK($B45,100,0.01,AZ$44,0.4)</f>
        <v>-5.499736974538795</v>
      </c>
    </row>
    <row r="46" spans="1:52" x14ac:dyDescent="0.3">
      <c r="A46" s="2"/>
      <c r="B46" s="2">
        <v>65</v>
      </c>
      <c r="C46" s="2" cm="1">
        <f t="array" ref="C46">THETAGREEK($B46,100,0.01,C$44,0.4)</f>
        <v>-0.15816671990779366</v>
      </c>
      <c r="D46" s="2" cm="1">
        <f t="array" ref="D46">THETAGREEK($B46,100,0.01,D$44,0.4)</f>
        <v>-2.0296399900203856</v>
      </c>
      <c r="E46" s="2" cm="1">
        <f t="array" ref="E46">THETAGREEK($B46,100,0.01,E$44,0.4)</f>
        <v>-4.3511878855430925</v>
      </c>
      <c r="F46" s="2" cm="1">
        <f t="array" ref="F46">THETAGREEK($B46,100,0.01,F$44,0.4)</f>
        <v>-6.1015975284293473</v>
      </c>
      <c r="G46" s="2" cm="1">
        <f t="array" ref="G46">THETAGREEK($B46,100,0.01,G$44,0.4)</f>
        <v>-7.2828659695784355</v>
      </c>
      <c r="H46" s="2" cm="1">
        <f t="array" ref="H46">THETAGREEK($B46,100,0.01,H$44,0.4)</f>
        <v>-8.054101524868079</v>
      </c>
      <c r="I46" s="2" cm="1">
        <f t="array" ref="I46">THETAGREEK($B46,100,0.01,I$44,0.4)</f>
        <v>-8.5474296218762937</v>
      </c>
      <c r="J46" s="2" cm="1">
        <f t="array" ref="J46">THETAGREEK($B46,100,0.01,J$44,0.4)</f>
        <v>-8.853530938660418</v>
      </c>
      <c r="K46" s="2" cm="1">
        <f t="array" ref="K46">THETAGREEK($B46,100,0.01,K$44,0.4)</f>
        <v>-9.0323853776870884</v>
      </c>
      <c r="L46" s="2" cm="1">
        <f t="array" ref="L46">THETAGREEK($B46,100,0.01,L$44,0.4)</f>
        <v>-9.1237183699720656</v>
      </c>
      <c r="M46" s="2" cm="1">
        <f t="array" ref="M46">THETAGREEK($B46,100,0.01,M$44,0.4)</f>
        <v>-9.1541829926196314</v>
      </c>
      <c r="N46" s="2" cm="1">
        <f t="array" ref="N46">THETAGREEK($B46,100,0.01,N$44,0.4)</f>
        <v>-9.1419511975942989</v>
      </c>
      <c r="O46" s="2" cm="1">
        <f t="array" ref="O46">THETAGREEK($B46,100,0.01,O$44,0.4)</f>
        <v>-9.099613455807873</v>
      </c>
      <c r="P46" s="2" cm="1">
        <f t="array" ref="P46">THETAGREEK($B46,100,0.01,P$44,0.4)</f>
        <v>-9.0360241892454685</v>
      </c>
      <c r="Q46" s="2" cm="1">
        <f t="array" ref="Q46">THETAGREEK($B46,100,0.01,Q$44,0.4)</f>
        <v>-8.9574937528163741</v>
      </c>
      <c r="R46" s="2" cm="1">
        <f t="array" ref="R46">THETAGREEK($B46,100,0.01,R$44,0.4)</f>
        <v>-8.8685715788678561</v>
      </c>
      <c r="S46" s="2" cm="1">
        <f t="array" ref="S46">THETAGREEK($B46,100,0.01,S$44,0.4)</f>
        <v>-8.7725696783413323</v>
      </c>
      <c r="T46" s="2" cm="1">
        <f t="array" ref="T46">THETAGREEK($B46,100,0.01,T$44,0.4)</f>
        <v>-8.6719184510353831</v>
      </c>
      <c r="U46" s="2" cm="1">
        <f t="array" ref="U46">THETAGREEK($B46,100,0.01,U$44,0.4)</f>
        <v>-8.5684123300312152</v>
      </c>
      <c r="V46" s="2" cm="1">
        <f t="array" ref="V46">THETAGREEK($B46,100,0.01,V$44,0.4)</f>
        <v>-8.4633818457621608</v>
      </c>
      <c r="W46" s="2" cm="1">
        <f t="array" ref="W46">THETAGREEK($B46,100,0.01,W$44,0.4)</f>
        <v>-8.35781576928653</v>
      </c>
      <c r="X46" s="2" cm="1">
        <f t="array" ref="X46">THETAGREEK($B46,100,0.01,X$44,0.4)</f>
        <v>-8.2524488857509635</v>
      </c>
      <c r="Y46" s="2" cm="1">
        <f t="array" ref="Y46">THETAGREEK($B46,100,0.01,Y$44,0.4)</f>
        <v>-8.1478257790413693</v>
      </c>
      <c r="Z46" s="2" cm="1">
        <f t="array" ref="Z46">THETAGREEK($B46,100,0.01,Z$44,0.4)</f>
        <v>-8.0443476595049948</v>
      </c>
      <c r="AA46" s="2" cm="1">
        <f t="array" ref="AA46">THETAGREEK($B46,100,0.01,AA$44,0.4)</f>
        <v>-7.9423070638026179</v>
      </c>
      <c r="AB46" s="2" cm="1">
        <f t="array" ref="AB46">THETAGREEK($B46,100,0.01,AB$44,0.4)</f>
        <v>-7.8419137859994485</v>
      </c>
      <c r="AC46" s="2" cm="1">
        <f t="array" ref="AC46">THETAGREEK($B46,100,0.01,AC$44,0.4)</f>
        <v>-7.7433144046425957</v>
      </c>
      <c r="AD46" s="2" cm="1">
        <f t="array" ref="AD46">THETAGREEK($B46,100,0.01,AD$44,0.4)</f>
        <v>-7.6466070892526092</v>
      </c>
      <c r="AE46" s="2" cm="1">
        <f t="array" ref="AE46">THETAGREEK($B46,100,0.01,AE$44,0.4)</f>
        <v>-7.5518528971754231</v>
      </c>
      <c r="AF46" s="2" cm="1">
        <f t="array" ref="AF46">THETAGREEK($B46,100,0.01,AF$44,0.4)</f>
        <v>-7.4590844403659302</v>
      </c>
      <c r="AG46" s="2" cm="1">
        <f t="array" ref="AG46">THETAGREEK($B46,100,0.01,AG$44,0.4)</f>
        <v>-7.3683125667906113</v>
      </c>
      <c r="AH46" s="2" cm="1">
        <f t="array" ref="AH46">THETAGREEK($B46,100,0.01,AH$44,0.4)</f>
        <v>-7.2795315329855068</v>
      </c>
      <c r="AI46" s="2" cm="1">
        <f t="array" ref="AI46">THETAGREEK($B46,100,0.01,AI$44,0.4)</f>
        <v>-7.1927230228009797</v>
      </c>
      <c r="AJ46" s="2" cm="1">
        <f t="array" ref="AJ46">THETAGREEK($B46,100,0.01,AJ$44,0.4)</f>
        <v>-7.1078592787943116</v>
      </c>
      <c r="AK46" s="2" cm="1">
        <f t="array" ref="AK46">THETAGREEK($B46,100,0.01,AK$44,0.4)</f>
        <v>-7.0249055476353366</v>
      </c>
      <c r="AL46" s="2" cm="1">
        <f t="array" ref="AL46">THETAGREEK($B46,100,0.01,AL$44,0.4)</f>
        <v>-6.943821992676166</v>
      </c>
      <c r="AM46" s="2" cm="1">
        <f t="array" ref="AM46">THETAGREEK($B46,100,0.01,AM$44,0.4)</f>
        <v>-6.8645651908651741</v>
      </c>
      <c r="AN46" s="2" cm="1">
        <f t="array" ref="AN46">THETAGREEK($B46,100,0.01,AN$44,0.4)</f>
        <v>-6.7870893041645726</v>
      </c>
      <c r="AO46" s="2" cm="1">
        <f t="array" ref="AO46">THETAGREEK($B46,100,0.01,AO$44,0.4)</f>
        <v>-6.711346995202228</v>
      </c>
      <c r="AP46" s="2" cm="1">
        <f t="array" ref="AP46">THETAGREEK($B46,100,0.01,AP$44,0.4)</f>
        <v>-6.6372901413497472</v>
      </c>
      <c r="AQ46" s="2" cm="1">
        <f t="array" ref="AQ46">THETAGREEK($B46,100,0.01,AQ$44,0.4)</f>
        <v>-6.5648703895319604</v>
      </c>
      <c r="AR46" s="2" cm="1">
        <f t="array" ref="AR46">THETAGREEK($B46,100,0.01,AR$44,0.4)</f>
        <v>-6.4940395849308441</v>
      </c>
      <c r="AS46" s="2" cm="1">
        <f t="array" ref="AS46">THETAGREEK($B46,100,0.01,AS$44,0.4)</f>
        <v>-6.424750099679958</v>
      </c>
      <c r="AT46" s="2" cm="1">
        <f t="array" ref="AT46">THETAGREEK($B46,100,0.01,AT$44,0.4)</f>
        <v>-6.3569550821566496</v>
      </c>
      <c r="AU46" s="2" cm="1">
        <f t="array" ref="AU46">THETAGREEK($B46,100,0.01,AU$44,0.4)</f>
        <v>-6.2906086431972099</v>
      </c>
      <c r="AV46" s="2" cm="1">
        <f t="array" ref="AV46">THETAGREEK($B46,100,0.01,AV$44,0.4)</f>
        <v>-6.2256659922050925</v>
      </c>
      <c r="AW46" s="2" cm="1">
        <f t="array" ref="AW46">THETAGREEK($B46,100,0.01,AW$44,0.4)</f>
        <v>-6.1620835334837034</v>
      </c>
      <c r="AX46" s="2" cm="1">
        <f t="array" ref="AX46">THETAGREEK($B46,100,0.01,AX$44,0.4)</f>
        <v>-6.0998189310419146</v>
      </c>
      <c r="AY46" s="2" cm="1">
        <f t="array" ref="AY46">THETAGREEK($B46,100,0.01,AY$44,0.4)</f>
        <v>-6.0388311484703125</v>
      </c>
      <c r="AZ46" s="2" cm="1">
        <f t="array" ref="AZ46">THETAGREEK($B46,100,0.01,AZ$44,0.4)</f>
        <v>-5.9790804691745958</v>
      </c>
    </row>
    <row r="47" spans="1:52" x14ac:dyDescent="0.3">
      <c r="A47" s="2"/>
      <c r="B47" s="2">
        <v>70</v>
      </c>
      <c r="C47" s="2" cm="1">
        <f t="array" ref="C47">THETAGREEK($B47,100,0.01,C$44,0.4)</f>
        <v>-1.0123391075579409</v>
      </c>
      <c r="D47" s="2" cm="1">
        <f t="array" ref="D47">THETAGREEK($B47,100,0.01,D$44,0.4)</f>
        <v>-5.2204983169411996</v>
      </c>
      <c r="E47" s="2" cm="1">
        <f t="array" ref="E47">THETAGREEK($B47,100,0.01,E$44,0.4)</f>
        <v>-8.2596472588658507</v>
      </c>
      <c r="F47" s="2" cm="1">
        <f t="array" ref="F47">THETAGREEK($B47,100,0.01,F$44,0.4)</f>
        <v>-9.950492288959822</v>
      </c>
      <c r="G47" s="2" cm="1">
        <f t="array" ref="G47">THETAGREEK($B47,100,0.01,G$44,0.4)</f>
        <v>-10.842802939309427</v>
      </c>
      <c r="H47" s="2" cm="1">
        <f t="array" ref="H47">THETAGREEK($B47,100,0.01,H$44,0.4)</f>
        <v>-11.284647566070815</v>
      </c>
      <c r="I47" s="2" cm="1">
        <f t="array" ref="I47">THETAGREEK($B47,100,0.01,I$44,0.4)</f>
        <v>-11.467690907498289</v>
      </c>
      <c r="J47" s="2" cm="1">
        <f t="array" ref="J47">THETAGREEK($B47,100,0.01,J$44,0.4)</f>
        <v>-11.498386961759074</v>
      </c>
      <c r="K47" s="2" cm="1">
        <f t="array" ref="K47">THETAGREEK($B47,100,0.01,K$44,0.4)</f>
        <v>-11.437802917534675</v>
      </c>
      <c r="L47" s="2" cm="1">
        <f t="array" ref="L47">THETAGREEK($B47,100,0.01,L$44,0.4)</f>
        <v>-11.322159031684684</v>
      </c>
      <c r="M47" s="2" cm="1">
        <f t="array" ref="M47">THETAGREEK($B47,100,0.01,M$44,0.4)</f>
        <v>-11.173574351865557</v>
      </c>
      <c r="N47" s="2" cm="1">
        <f t="array" ref="N47">THETAGREEK($B47,100,0.01,N$44,0.4)</f>
        <v>-11.00588182601107</v>
      </c>
      <c r="O47" s="2" cm="1">
        <f t="array" ref="O47">THETAGREEK($B47,100,0.01,O$44,0.4)</f>
        <v>-10.827891734583936</v>
      </c>
      <c r="P47" s="2" cm="1">
        <f t="array" ref="P47">THETAGREEK($B47,100,0.01,P$44,0.4)</f>
        <v>-10.645286857211941</v>
      </c>
      <c r="Q47" s="2" cm="1">
        <f t="array" ref="Q47">THETAGREEK($B47,100,0.01,Q$44,0.4)</f>
        <v>-10.461757475295459</v>
      </c>
      <c r="R47" s="2" cm="1">
        <f t="array" ref="R47">THETAGREEK($B47,100,0.01,R$44,0.4)</f>
        <v>-10.279699900276585</v>
      </c>
      <c r="S47" s="2" cm="1">
        <f t="array" ref="S47">THETAGREEK($B47,100,0.01,S$44,0.4)</f>
        <v>-10.100656789538538</v>
      </c>
      <c r="T47" s="2" cm="1">
        <f t="array" ref="T47">THETAGREEK($B47,100,0.01,T$44,0.4)</f>
        <v>-9.9256005642391418</v>
      </c>
      <c r="U47" s="2" cm="1">
        <f t="array" ref="U47">THETAGREEK($B47,100,0.01,U$44,0.4)</f>
        <v>-9.7551191863777067</v>
      </c>
      <c r="V47" s="2" cm="1">
        <f t="array" ref="V47">THETAGREEK($B47,100,0.01,V$44,0.4)</f>
        <v>-9.5895398649106856</v>
      </c>
      <c r="W47" s="2" cm="1">
        <f t="array" ref="W47">THETAGREEK($B47,100,0.01,W$44,0.4)</f>
        <v>-9.4290125478650388</v>
      </c>
      <c r="X47" s="2" cm="1">
        <f t="array" ref="X47">THETAGREEK($B47,100,0.01,X$44,0.4)</f>
        <v>-9.2735669177835138</v>
      </c>
      <c r="Y47" s="2" cm="1">
        <f t="array" ref="Y47">THETAGREEK($B47,100,0.01,Y$44,0.4)</f>
        <v>-9.1231516651214744</v>
      </c>
      <c r="Z47" s="2" cm="1">
        <f t="array" ref="Z47">THETAGREEK($B47,100,0.01,Z$44,0.4)</f>
        <v>-8.9776617499656073</v>
      </c>
      <c r="AA47" s="2" cm="1">
        <f t="array" ref="AA47">THETAGREEK($B47,100,0.01,AA$44,0.4)</f>
        <v>-8.8369574265646342</v>
      </c>
      <c r="AB47" s="2" cm="1">
        <f t="array" ref="AB47">THETAGREEK($B47,100,0.01,AB$44,0.4)</f>
        <v>-8.7008775609094702</v>
      </c>
      <c r="AC47" s="2" cm="1">
        <f t="array" ref="AC47">THETAGREEK($B47,100,0.01,AC$44,0.4)</f>
        <v>-8.5692489592072665</v>
      </c>
      <c r="AD47" s="2" cm="1">
        <f t="array" ref="AD47">THETAGREEK($B47,100,0.01,AD$44,0.4)</f>
        <v>-8.4418928869894927</v>
      </c>
      <c r="AE47" s="2" cm="1">
        <f t="array" ref="AE47">THETAGREEK($B47,100,0.01,AE$44,0.4)</f>
        <v>-8.3186295974514408</v>
      </c>
      <c r="AF47" s="2" cm="1">
        <f t="array" ref="AF47">THETAGREEK($B47,100,0.01,AF$44,0.4)</f>
        <v>-8.199281442307031</v>
      </c>
      <c r="AG47" s="2" cm="1">
        <f t="array" ref="AG47">THETAGREEK($B47,100,0.01,AG$44,0.4)</f>
        <v>-8.0836749699620398</v>
      </c>
      <c r="AH47" s="2" cm="1">
        <f t="array" ref="AH47">THETAGREEK($B47,100,0.01,AH$44,0.4)</f>
        <v>-7.9716422989236673</v>
      </c>
      <c r="AI47" s="2" cm="1">
        <f t="array" ref="AI47">THETAGREEK($B47,100,0.01,AI$44,0.4)</f>
        <v>-7.8630219725241046</v>
      </c>
      <c r="AJ47" s="2" cm="1">
        <f t="array" ref="AJ47">THETAGREEK($B47,100,0.01,AJ$44,0.4)</f>
        <v>-7.7576594432499997</v>
      </c>
      <c r="AK47" s="2" cm="1">
        <f t="array" ref="AK47">THETAGREEK($B47,100,0.01,AK$44,0.4)</f>
        <v>-7.6554072938565572</v>
      </c>
      <c r="AL47" s="2" cm="1">
        <f t="array" ref="AL47">THETAGREEK($B47,100,0.01,AL$44,0.4)</f>
        <v>-7.5561252729920652</v>
      </c>
      <c r="AM47" s="2" cm="1">
        <f t="array" ref="AM47">THETAGREEK($B47,100,0.01,AM$44,0.4)</f>
        <v>-7.459680201828621</v>
      </c>
      <c r="AN47" s="2" cm="1">
        <f t="array" ref="AN47">THETAGREEK($B47,100,0.01,AN$44,0.4)</f>
        <v>-7.3659457928083194</v>
      </c>
      <c r="AO47" s="2" cm="1">
        <f t="array" ref="AO47">THETAGREEK($B47,100,0.01,AO$44,0.4)</f>
        <v>-7.2748024104095332</v>
      </c>
      <c r="AP47" s="2" cm="1">
        <f t="array" ref="AP47">THETAGREEK($B47,100,0.01,AP$44,0.4)</f>
        <v>-7.1861367956458313</v>
      </c>
      <c r="AQ47" s="2" cm="1">
        <f t="array" ref="AQ47">THETAGREEK($B47,100,0.01,AQ$44,0.4)</f>
        <v>-7.099841770000431</v>
      </c>
      <c r="AR47" s="2" cm="1">
        <f t="array" ref="AR47">THETAGREEK($B47,100,0.01,AR$44,0.4)</f>
        <v>-7.0158159300796745</v>
      </c>
      <c r="AS47" s="2" cm="1">
        <f t="array" ref="AS47">THETAGREEK($B47,100,0.01,AS$44,0.4)</f>
        <v>-6.9339633410134836</v>
      </c>
      <c r="AT47" s="2" cm="1">
        <f t="array" ref="AT47">THETAGREEK($B47,100,0.01,AT$44,0.4)</f>
        <v>-6.8541932342307339</v>
      </c>
      <c r="AU47" s="2" cm="1">
        <f t="array" ref="AU47">THETAGREEK($B47,100,0.01,AU$44,0.4)</f>
        <v>-6.7764197134691271</v>
      </c>
      <c r="AV47" s="2" cm="1">
        <f t="array" ref="AV47">THETAGREEK($B47,100,0.01,AV$44,0.4)</f>
        <v>-6.7005614715778288</v>
      </c>
      <c r="AW47" s="2" cm="1">
        <f t="array" ref="AW47">THETAGREEK($B47,100,0.01,AW$44,0.4)</f>
        <v>-6.6265415197170174</v>
      </c>
      <c r="AX47" s="2" cm="1">
        <f t="array" ref="AX47">THETAGREEK($B47,100,0.01,AX$44,0.4)</f>
        <v>-6.5542869298620507</v>
      </c>
      <c r="AY47" s="2" cm="1">
        <f t="array" ref="AY47">THETAGREEK($B47,100,0.01,AY$44,0.4)</f>
        <v>-6.4837285910158045</v>
      </c>
      <c r="AZ47" s="2" cm="1">
        <f t="array" ref="AZ47">THETAGREEK($B47,100,0.01,AZ$44,0.4)</f>
        <v>-6.414800979171507</v>
      </c>
    </row>
    <row r="48" spans="1:52" x14ac:dyDescent="0.3">
      <c r="A48" s="2"/>
      <c r="B48" s="2">
        <v>75</v>
      </c>
      <c r="C48" s="2" cm="1">
        <f t="array" ref="C48">THETAGREEK($B48,100,0.01,C$44,0.4)</f>
        <v>-4.1873661372726332</v>
      </c>
      <c r="D48" s="2" cm="1">
        <f t="array" ref="D48">THETAGREEK($B48,100,0.01,D$44,0.4)</f>
        <v>-10.783235760832367</v>
      </c>
      <c r="E48" s="2" cm="1">
        <f t="array" ref="E48">THETAGREEK($B48,100,0.01,E$44,0.4)</f>
        <v>-13.536503081939685</v>
      </c>
      <c r="F48" s="2" cm="1">
        <f t="array" ref="F48">THETAGREEK($B48,100,0.01,F$44,0.4)</f>
        <v>-14.526452782887358</v>
      </c>
      <c r="G48" s="2" cm="1">
        <f t="array" ref="G48">THETAGREEK($B48,100,0.01,G$44,0.4)</f>
        <v>-14.768196082177488</v>
      </c>
      <c r="H48" s="2" cm="1">
        <f t="array" ref="H48">THETAGREEK($B48,100,0.01,H$44,0.4)</f>
        <v>-14.675507332665523</v>
      </c>
      <c r="I48" s="2" cm="1">
        <f t="array" ref="I48">THETAGREEK($B48,100,0.01,I$44,0.4)</f>
        <v>-14.429161205899431</v>
      </c>
      <c r="J48" s="2" cm="1">
        <f t="array" ref="J48">THETAGREEK($B48,100,0.01,J$44,0.4)</f>
        <v>-14.113972033561282</v>
      </c>
      <c r="K48" s="2" cm="1">
        <f t="array" ref="K48">THETAGREEK($B48,100,0.01,K$44,0.4)</f>
        <v>-13.771878854738464</v>
      </c>
      <c r="L48" s="2" cm="1">
        <f t="array" ref="L48">THETAGREEK($B48,100,0.01,L$44,0.4)</f>
        <v>-13.424295066054123</v>
      </c>
      <c r="M48" s="2" cm="1">
        <f t="array" ref="M48">THETAGREEK($B48,100,0.01,M$44,0.4)</f>
        <v>-13.082261128255285</v>
      </c>
      <c r="N48" s="2" cm="1">
        <f t="array" ref="N48">THETAGREEK($B48,100,0.01,N$44,0.4)</f>
        <v>-12.751357630893521</v>
      </c>
      <c r="O48" s="2" cm="1">
        <f t="array" ref="O48">THETAGREEK($B48,100,0.01,O$44,0.4)</f>
        <v>-12.434208211673939</v>
      </c>
      <c r="P48" s="2" cm="1">
        <f t="array" ref="P48">THETAGREEK($B48,100,0.01,P$44,0.4)</f>
        <v>-12.131808416400263</v>
      </c>
      <c r="Q48" s="2" cm="1">
        <f t="array" ref="Q48">THETAGREEK($B48,100,0.01,Q$44,0.4)</f>
        <v>-11.844254620695123</v>
      </c>
      <c r="R48" s="2" cm="1">
        <f t="array" ref="R48">THETAGREEK($B48,100,0.01,R$44,0.4)</f>
        <v>-11.571153933702572</v>
      </c>
      <c r="S48" s="2" cm="1">
        <f t="array" ref="S48">THETAGREEK($B48,100,0.01,S$44,0.4)</f>
        <v>-11.311858766449806</v>
      </c>
      <c r="T48" s="2" cm="1">
        <f t="array" ref="T48">THETAGREEK($B48,100,0.01,T$44,0.4)</f>
        <v>-11.065602382559657</v>
      </c>
      <c r="U48" s="2" cm="1">
        <f t="array" ref="U48">THETAGREEK($B48,100,0.01,U$44,0.4)</f>
        <v>-10.83157729495548</v>
      </c>
      <c r="V48" s="2" cm="1">
        <f t="array" ref="V48">THETAGREEK($B48,100,0.01,V$44,0.4)</f>
        <v>-10.608980111472453</v>
      </c>
      <c r="W48" s="2" cm="1">
        <f t="array" ref="W48">THETAGREEK($B48,100,0.01,W$44,0.4)</f>
        <v>-10.397036449613291</v>
      </c>
      <c r="X48" s="2" cm="1">
        <f t="array" ref="X48">THETAGREEK($B48,100,0.01,X$44,0.4)</f>
        <v>-10.195013934274993</v>
      </c>
      <c r="Y48" s="2" cm="1">
        <f t="array" ref="Y48">THETAGREEK($B48,100,0.01,Y$44,0.4)</f>
        <v>-10.002228068931329</v>
      </c>
      <c r="Z48" s="2" cm="1">
        <f t="array" ref="Z48">THETAGREEK($B48,100,0.01,Z$44,0.4)</f>
        <v>-9.8180438795006246</v>
      </c>
      <c r="AA48" s="2" cm="1">
        <f t="array" ref="AA48">THETAGREEK($B48,100,0.01,AA$44,0.4)</f>
        <v>-9.6418751009203572</v>
      </c>
      <c r="AB48" s="2" cm="1">
        <f t="array" ref="AB48">THETAGREEK($B48,100,0.01,AB$44,0.4)</f>
        <v>-9.4731819922012406</v>
      </c>
      <c r="AC48" s="2" cm="1">
        <f t="array" ref="AC48">THETAGREEK($B48,100,0.01,AC$44,0.4)</f>
        <v>-9.3114684460296058</v>
      </c>
      <c r="AD48" s="2" cm="1">
        <f t="array" ref="AD48">THETAGREEK($B48,100,0.01,AD$44,0.4)</f>
        <v>-9.1562787990746166</v>
      </c>
      <c r="AE48" s="2" cm="1">
        <f t="array" ref="AE48">THETAGREEK($B48,100,0.01,AE$44,0.4)</f>
        <v>-9.0071945870991073</v>
      </c>
      <c r="AF48" s="2" cm="1">
        <f t="array" ref="AF48">THETAGREEK($B48,100,0.01,AF$44,0.4)</f>
        <v>-8.8638313875484176</v>
      </c>
      <c r="AG48" s="2" cm="1">
        <f t="array" ref="AG48">THETAGREEK($B48,100,0.01,AG$44,0.4)</f>
        <v>-8.7258358288057227</v>
      </c>
      <c r="AH48" s="2" cm="1">
        <f t="array" ref="AH48">THETAGREEK($B48,100,0.01,AH$44,0.4)</f>
        <v>-8.5928828057395155</v>
      </c>
      <c r="AI48" s="2" cm="1">
        <f t="array" ref="AI48">THETAGREEK($B48,100,0.01,AI$44,0.4)</f>
        <v>-8.46467291677512</v>
      </c>
      <c r="AJ48" s="2" cm="1">
        <f t="array" ref="AJ48">THETAGREEK($B48,100,0.01,AJ$44,0.4)</f>
        <v>-8.3409301229774346</v>
      </c>
      <c r="AK48" s="2" cm="1">
        <f t="array" ref="AK48">THETAGREEK($B48,100,0.01,AK$44,0.4)</f>
        <v>-8.2213996210266505</v>
      </c>
      <c r="AL48" s="2" cm="1">
        <f t="array" ref="AL48">THETAGREEK($B48,100,0.01,AL$44,0.4)</f>
        <v>-8.1058459172571151</v>
      </c>
      <c r="AM48" s="2" cm="1">
        <f t="array" ref="AM48">THETAGREEK($B48,100,0.01,AM$44,0.4)</f>
        <v>-7.9940510876679021</v>
      </c>
      <c r="AN48" s="2" cm="1">
        <f t="array" ref="AN48">THETAGREEK($B48,100,0.01,AN$44,0.4)</f>
        <v>-7.8858132080711449</v>
      </c>
      <c r="AO48" s="2" cm="1">
        <f t="array" ref="AO48">THETAGREEK($B48,100,0.01,AO$44,0.4)</f>
        <v>-7.7809449387207161</v>
      </c>
      <c r="AP48" s="2" cm="1">
        <f t="array" ref="AP48">THETAGREEK($B48,100,0.01,AP$44,0.4)</f>
        <v>-7.6792722484729277</v>
      </c>
      <c r="AQ48" s="2" cm="1">
        <f t="array" ref="AQ48">THETAGREEK($B48,100,0.01,AQ$44,0.4)</f>
        <v>-7.5806332645253658</v>
      </c>
      <c r="AR48" s="2" cm="1">
        <f t="array" ref="AR48">THETAGREEK($B48,100,0.01,AR$44,0.4)</f>
        <v>-7.4848772349037764</v>
      </c>
      <c r="AS48" s="2" cm="1">
        <f t="array" ref="AS48">THETAGREEK($B48,100,0.01,AS$44,0.4)</f>
        <v>-7.3918635920225855</v>
      </c>
      <c r="AT48" s="2" cm="1">
        <f t="array" ref="AT48">THETAGREEK($B48,100,0.01,AT$44,0.4)</f>
        <v>-7.3014611067737976</v>
      </c>
      <c r="AU48" s="2" cm="1">
        <f t="array" ref="AU48">THETAGREEK($B48,100,0.01,AU$44,0.4)</f>
        <v>-7.2135471236682305</v>
      </c>
      <c r="AV48" s="2" cm="1">
        <f t="array" ref="AV48">THETAGREEK($B48,100,0.01,AV$44,0.4)</f>
        <v>-7.1280068685445235</v>
      </c>
      <c r="AW48" s="2" cm="1">
        <f t="array" ref="AW48">THETAGREEK($B48,100,0.01,AW$44,0.4)</f>
        <v>-7.0447328212682994</v>
      </c>
      <c r="AX48" s="2" cm="1">
        <f t="array" ref="AX48">THETAGREEK($B48,100,0.01,AX$44,0.4)</f>
        <v>-6.9636241466648796</v>
      </c>
      <c r="AY48" s="2" cm="1">
        <f t="array" ref="AY48">THETAGREEK($B48,100,0.01,AY$44,0.4)</f>
        <v>-6.8845861776672876</v>
      </c>
      <c r="AZ48" s="2" cm="1">
        <f t="array" ref="AZ48">THETAGREEK($B48,100,0.01,AZ$44,0.4)</f>
        <v>-6.8075299453217202</v>
      </c>
    </row>
    <row r="49" spans="1:52" x14ac:dyDescent="0.3">
      <c r="A49" s="2"/>
      <c r="B49" s="2">
        <v>80</v>
      </c>
      <c r="C49" s="2" cm="1">
        <f t="array" ref="C49">THETAGREEK($B49,100,0.01,C$44,0.4)</f>
        <v>-12.073826179949494</v>
      </c>
      <c r="D49" s="2" cm="1">
        <f t="array" ref="D49">THETAGREEK($B49,100,0.01,D$44,0.4)</f>
        <v>-18.579872054340804</v>
      </c>
      <c r="E49" s="2" cm="1">
        <f t="array" ref="E49">THETAGREEK($B49,100,0.01,E$44,0.4)</f>
        <v>-19.646987669596626</v>
      </c>
      <c r="F49" s="2" cm="1">
        <f t="array" ref="F49">THETAGREEK($B49,100,0.01,F$44,0.4)</f>
        <v>-19.351354755097841</v>
      </c>
      <c r="G49" s="2" cm="1">
        <f t="array" ref="G49">THETAGREEK($B49,100,0.01,G$44,0.4)</f>
        <v>-18.687192970972117</v>
      </c>
      <c r="H49" s="2" cm="1">
        <f t="array" ref="H49">THETAGREEK($B49,100,0.01,H$44,0.4)</f>
        <v>-17.94418934688078</v>
      </c>
      <c r="I49" s="2" cm="1">
        <f t="array" ref="I49">THETAGREEK($B49,100,0.01,I$44,0.4)</f>
        <v>-17.216368544264213</v>
      </c>
      <c r="J49" s="2" cm="1">
        <f t="array" ref="J49">THETAGREEK($B49,100,0.01,J$44,0.4)</f>
        <v>-16.534025398114874</v>
      </c>
      <c r="K49" s="2" cm="1">
        <f t="array" ref="K49">THETAGREEK($B49,100,0.01,K$44,0.4)</f>
        <v>-15.90463758225401</v>
      </c>
      <c r="L49" s="2" cm="1">
        <f t="array" ref="L49">THETAGREEK($B49,100,0.01,L$44,0.4)</f>
        <v>-15.327230531986578</v>
      </c>
      <c r="M49" s="2" cm="1">
        <f t="array" ref="M49">THETAGREEK($B49,100,0.01,M$44,0.4)</f>
        <v>-14.797847376412999</v>
      </c>
      <c r="N49" s="2" cm="1">
        <f t="array" ref="N49">THETAGREEK($B49,100,0.01,N$44,0.4)</f>
        <v>-14.311725369479682</v>
      </c>
      <c r="O49" s="2" cm="1">
        <f t="array" ref="O49">THETAGREEK($B49,100,0.01,O$44,0.4)</f>
        <v>-13.864163937202974</v>
      </c>
      <c r="P49" s="2" cm="1">
        <f t="array" ref="P49">THETAGREEK($B49,100,0.01,P$44,0.4)</f>
        <v>-13.450848873246763</v>
      </c>
      <c r="Q49" s="2" cm="1">
        <f t="array" ref="Q49">THETAGREEK($B49,100,0.01,Q$44,0.4)</f>
        <v>-13.067945945573674</v>
      </c>
      <c r="R49" s="2" cm="1">
        <f t="array" ref="R49">THETAGREEK($B49,100,0.01,R$44,0.4)</f>
        <v>-12.712098032993625</v>
      </c>
      <c r="S49" s="2" cm="1">
        <f t="array" ref="S49">THETAGREEK($B49,100,0.01,S$44,0.4)</f>
        <v>-12.380384755028716</v>
      </c>
      <c r="T49" s="2" cm="1">
        <f t="array" ref="T49">THETAGREEK($B49,100,0.01,T$44,0.4)</f>
        <v>-12.070270687569471</v>
      </c>
      <c r="U49" s="2" cm="1">
        <f t="array" ref="U49">THETAGREEK($B49,100,0.01,U$44,0.4)</f>
        <v>-11.779553458051947</v>
      </c>
      <c r="V49" s="2" cm="1">
        <f t="array" ref="V49">THETAGREEK($B49,100,0.01,V$44,0.4)</f>
        <v>-11.506316248155974</v>
      </c>
      <c r="W49" s="2" cm="1">
        <f t="array" ref="W49">THETAGREEK($B49,100,0.01,W$44,0.4)</f>
        <v>-11.248886143660853</v>
      </c>
      <c r="X49" s="2" cm="1">
        <f t="array" ref="X49">THETAGREEK($B49,100,0.01,X$44,0.4)</f>
        <v>-11.00579839936683</v>
      </c>
      <c r="Y49" s="2" cm="1">
        <f t="array" ref="Y49">THETAGREEK($B49,100,0.01,Y$44,0.4)</f>
        <v>-10.775766123202594</v>
      </c>
      <c r="Z49" s="2" cm="1">
        <f t="array" ref="Z49">THETAGREEK($B49,100,0.01,Z$44,0.4)</f>
        <v>-10.557654697524956</v>
      </c>
      <c r="AA49" s="2" cm="1">
        <f t="array" ref="AA49">THETAGREEK($B49,100,0.01,AA$44,0.4)</f>
        <v>-10.350460240736547</v>
      </c>
      <c r="AB49" s="2" cm="1">
        <f t="array" ref="AB49">THETAGREEK($B49,100,0.01,AB$44,0.4)</f>
        <v>-10.153291469324582</v>
      </c>
      <c r="AC49" s="2" cm="1">
        <f t="array" ref="AC49">THETAGREEK($B49,100,0.01,AC$44,0.4)</f>
        <v>-9.9653544019165796</v>
      </c>
      <c r="AD49" s="2" cm="1">
        <f t="array" ref="AD49">THETAGREEK($B49,100,0.01,AD$44,0.4)</f>
        <v>-9.785939431125124</v>
      </c>
      <c r="AE49" s="2" cm="1">
        <f t="array" ref="AE49">THETAGREEK($B49,100,0.01,AE$44,0.4)</f>
        <v>-9.6144103664863696</v>
      </c>
      <c r="AF49" s="2" cm="1">
        <f t="array" ref="AF49">THETAGREEK($B49,100,0.01,AF$44,0.4)</f>
        <v>-9.4501951194088569</v>
      </c>
      <c r="AG49" s="2" cm="1">
        <f t="array" ref="AG49">THETAGREEK($B49,100,0.01,AG$44,0.4)</f>
        <v>-9.2927777582942888</v>
      </c>
      <c r="AH49" s="2" cm="1">
        <f t="array" ref="AH49">THETAGREEK($B49,100,0.01,AH$44,0.4)</f>
        <v>-9.1416917096524237</v>
      </c>
      <c r="AI49" s="2" cm="1">
        <f t="array" ref="AI49">THETAGREEK($B49,100,0.01,AI$44,0.4)</f>
        <v>-8.9965139203339941</v>
      </c>
      <c r="AJ49" s="2" cm="1">
        <f t="array" ref="AJ49">THETAGREEK($B49,100,0.01,AJ$44,0.4)</f>
        <v>-8.8568598282448345</v>
      </c>
      <c r="AK49" s="2" cm="1">
        <f t="array" ref="AK49">THETAGREEK($B49,100,0.01,AK$44,0.4)</f>
        <v>-8.7223790152854246</v>
      </c>
      <c r="AL49" s="2" cm="1">
        <f t="array" ref="AL49">THETAGREEK($B49,100,0.01,AL$44,0.4)</f>
        <v>-8.5927514378335381</v>
      </c>
      <c r="AM49" s="2" cm="1">
        <f t="array" ref="AM49">THETAGREEK($B49,100,0.01,AM$44,0.4)</f>
        <v>-8.4676841477400817</v>
      </c>
      <c r="AN49" s="2" cm="1">
        <f t="array" ref="AN49">THETAGREEK($B49,100,0.01,AN$44,0.4)</f>
        <v>-8.3469084312730253</v>
      </c>
      <c r="AO49" s="2" cm="1">
        <f t="array" ref="AO49">THETAGREEK($B49,100,0.01,AO$44,0.4)</f>
        <v>-8.2301773053207103</v>
      </c>
      <c r="AP49" s="2" cm="1">
        <f t="array" ref="AP49">THETAGREEK($B49,100,0.01,AP$44,0.4)</f>
        <v>-8.1172633199407027</v>
      </c>
      <c r="AQ49" s="2" cm="1">
        <f t="array" ref="AQ49">THETAGREEK($B49,100,0.01,AQ$44,0.4)</f>
        <v>-8.0079566244066616</v>
      </c>
      <c r="AR49" s="2" cm="1">
        <f t="array" ref="AR49">THETAGREEK($B49,100,0.01,AR$44,0.4)</f>
        <v>-7.9020632605812509</v>
      </c>
      <c r="AS49" s="2" cm="1">
        <f t="array" ref="AS49">THETAGREEK($B49,100,0.01,AS$44,0.4)</f>
        <v>-7.7994036529839015</v>
      </c>
      <c r="AT49" s="2" cm="1">
        <f t="array" ref="AT49">THETAGREEK($B49,100,0.01,AT$44,0.4)</f>
        <v>-7.6998112695347753</v>
      </c>
      <c r="AU49" s="2" cm="1">
        <f t="array" ref="AU49">THETAGREEK($B49,100,0.01,AU$44,0.4)</f>
        <v>-7.6031314308081237</v>
      </c>
      <c r="AV49" s="2" cm="1">
        <f t="array" ref="AV49">THETAGREEK($B49,100,0.01,AV$44,0.4)</f>
        <v>-7.5092202488539774</v>
      </c>
      <c r="AW49" s="2" cm="1">
        <f t="array" ref="AW49">THETAGREEK($B49,100,0.01,AW$44,0.4)</f>
        <v>-7.4179436793572489</v>
      </c>
      <c r="AX49" s="2" cm="1">
        <f t="array" ref="AX49">THETAGREEK($B49,100,0.01,AX$44,0.4)</f>
        <v>-7.3291766731864527</v>
      </c>
      <c r="AY49" s="2" cm="1">
        <f t="array" ref="AY49">THETAGREEK($B49,100,0.01,AY$44,0.4)</f>
        <v>-7.2428024153137134</v>
      </c>
      <c r="AZ49" s="2" cm="1">
        <f t="array" ref="AZ49">THETAGREEK($B49,100,0.01,AZ$44,0.4)</f>
        <v>-7.1587116407226805</v>
      </c>
    </row>
    <row r="50" spans="1:52" x14ac:dyDescent="0.3">
      <c r="A50" s="2"/>
      <c r="B50" s="2">
        <v>85</v>
      </c>
      <c r="C50" s="2" cm="1">
        <f t="array" ref="C50">THETAGREEK($B50,100,0.01,C$44,0.4)</f>
        <v>-25.760857213486961</v>
      </c>
      <c r="D50" s="2" cm="1">
        <f t="array" ref="D50">THETAGREEK($B50,100,0.01,D$44,0.4)</f>
        <v>-27.51780644102854</v>
      </c>
      <c r="E50" s="2" cm="1">
        <f t="array" ref="E50">THETAGREEK($B50,100,0.01,E$44,0.4)</f>
        <v>-25.766066533005393</v>
      </c>
      <c r="F50" s="2" cm="1">
        <f t="array" ref="F50">THETAGREEK($B50,100,0.01,F$44,0.4)</f>
        <v>-23.881721945707039</v>
      </c>
      <c r="G50" s="2" cm="1">
        <f t="array" ref="G50">THETAGREEK($B50,100,0.01,G$44,0.4)</f>
        <v>-22.236430906152794</v>
      </c>
      <c r="H50" s="2" cm="1">
        <f t="array" ref="H50">THETAGREEK($B50,100,0.01,H$44,0.4)</f>
        <v>-20.839734755578309</v>
      </c>
      <c r="I50" s="2" cm="1">
        <f t="array" ref="I50">THETAGREEK($B50,100,0.01,I$44,0.4)</f>
        <v>-19.650508771726095</v>
      </c>
      <c r="J50" s="2" cm="1">
        <f t="array" ref="J50">THETAGREEK($B50,100,0.01,J$44,0.4)</f>
        <v>-18.627715439039598</v>
      </c>
      <c r="K50" s="2" cm="1">
        <f t="array" ref="K50">THETAGREEK($B50,100,0.01,K$44,0.4)</f>
        <v>-17.738208937953065</v>
      </c>
      <c r="L50" s="2" cm="1">
        <f t="array" ref="L50">THETAGREEK($B50,100,0.01,L$44,0.4)</f>
        <v>-16.956407583705278</v>
      </c>
      <c r="M50" s="2" cm="1">
        <f t="array" ref="M50">THETAGREEK($B50,100,0.01,M$44,0.4)</f>
        <v>-16.262680831430362</v>
      </c>
      <c r="N50" s="2" cm="1">
        <f t="array" ref="N50">THETAGREEK($B50,100,0.01,N$44,0.4)</f>
        <v>-15.641859779293421</v>
      </c>
      <c r="O50" s="2" cm="1">
        <f t="array" ref="O50">THETAGREEK($B50,100,0.01,O$44,0.4)</f>
        <v>-15.082091023656167</v>
      </c>
      <c r="P50" s="2" cm="1">
        <f t="array" ref="P50">THETAGREEK($B50,100,0.01,P$44,0.4)</f>
        <v>-14.573997008105559</v>
      </c>
      <c r="Q50" s="2" cm="1">
        <f t="array" ref="Q50">THETAGREEK($B50,100,0.01,Q$44,0.4)</f>
        <v>-14.110067696082009</v>
      </c>
      <c r="R50" s="2" cm="1">
        <f t="array" ref="R50">THETAGREEK($B50,100,0.01,R$44,0.4)</f>
        <v>-13.684218495265023</v>
      </c>
      <c r="S50" s="2" cm="1">
        <f t="array" ref="S50">THETAGREEK($B50,100,0.01,S$44,0.4)</f>
        <v>-13.291466158634185</v>
      </c>
      <c r="T50" s="2" cm="1">
        <f t="array" ref="T50">THETAGREEK($B50,100,0.01,T$44,0.4)</f>
        <v>-12.927688528608495</v>
      </c>
      <c r="U50" s="2" cm="1">
        <f t="array" ref="U50">THETAGREEK($B50,100,0.01,U$44,0.4)</f>
        <v>-12.589444320537932</v>
      </c>
      <c r="V50" s="2" cm="1">
        <f t="array" ref="V50">THETAGREEK($B50,100,0.01,V$44,0.4)</f>
        <v>-12.273836342607138</v>
      </c>
      <c r="W50" s="2" cm="1">
        <f t="array" ref="W50">THETAGREEK($B50,100,0.01,W$44,0.4)</f>
        <v>-11.978406496322346</v>
      </c>
      <c r="X50" s="2" cm="1">
        <f t="array" ref="X50">THETAGREEK($B50,100,0.01,X$44,0.4)</f>
        <v>-11.701054297520102</v>
      </c>
      <c r="Y50" s="2" cm="1">
        <f t="array" ref="Y50">THETAGREEK($B50,100,0.01,Y$44,0.4)</f>
        <v>-11.439973001602054</v>
      </c>
      <c r="Z50" s="2" cm="1">
        <f t="array" ref="Z50">THETAGREEK($B50,100,0.01,Z$44,0.4)</f>
        <v>-11.19359904832954</v>
      </c>
      <c r="AA50" s="2" cm="1">
        <f t="array" ref="AA50">THETAGREEK($B50,100,0.01,AA$44,0.4)</f>
        <v>-10.960571688832554</v>
      </c>
      <c r="AB50" s="2" cm="1">
        <f t="array" ref="AB50">THETAGREEK($B50,100,0.01,AB$44,0.4)</f>
        <v>-10.739700472848726</v>
      </c>
      <c r="AC50" s="2" cm="1">
        <f t="array" ref="AC50">THETAGREEK($B50,100,0.01,AC$44,0.4)</f>
        <v>-10.529938859880156</v>
      </c>
      <c r="AD50" s="2" cm="1">
        <f t="array" ref="AD50">THETAGREEK($B50,100,0.01,AD$44,0.4)</f>
        <v>-10.330362643086183</v>
      </c>
      <c r="AE50" s="2" cm="1">
        <f t="array" ref="AE50">THETAGREEK($B50,100,0.01,AE$44,0.4)</f>
        <v>-10.140152186484436</v>
      </c>
      <c r="AF50" s="2" cm="1">
        <f t="array" ref="AF50">THETAGREEK($B50,100,0.01,AF$44,0.4)</f>
        <v>-9.9585777068946832</v>
      </c>
      <c r="AG50" s="2" cm="1">
        <f t="array" ref="AG50">THETAGREEK($B50,100,0.01,AG$44,0.4)</f>
        <v>-9.7849870046266254</v>
      </c>
      <c r="AH50" s="2" cm="1">
        <f t="array" ref="AH50">THETAGREEK($B50,100,0.01,AH$44,0.4)</f>
        <v>-9.6187951770589759</v>
      </c>
      <c r="AI50" s="2" cm="1">
        <f t="array" ref="AI50">THETAGREEK($B50,100,0.01,AI$44,0.4)</f>
        <v>-9.4594759482467996</v>
      </c>
      <c r="AJ50" s="2" cm="1">
        <f t="array" ref="AJ50">THETAGREEK($B50,100,0.01,AJ$44,0.4)</f>
        <v>-9.3065543235945665</v>
      </c>
      <c r="AK50" s="2" cm="1">
        <f t="array" ref="AK50">THETAGREEK($B50,100,0.01,AK$44,0.4)</f>
        <v>-9.1596003372765065</v>
      </c>
      <c r="AL50" s="2" cm="1">
        <f t="array" ref="AL50">THETAGREEK($B50,100,0.01,AL$44,0.4)</f>
        <v>-9.0182237057271468</v>
      </c>
      <c r="AM50" s="2" cm="1">
        <f t="array" ref="AM50">THETAGREEK($B50,100,0.01,AM$44,0.4)</f>
        <v>-8.8820692362927556</v>
      </c>
      <c r="AN50" s="2" cm="1">
        <f t="array" ref="AN50">THETAGREEK($B50,100,0.01,AN$44,0.4)</f>
        <v>-8.750812868348941</v>
      </c>
      <c r="AO50" s="2" cm="1">
        <f t="array" ref="AO50">THETAGREEK($B50,100,0.01,AO$44,0.4)</f>
        <v>-8.6241582465856279</v>
      </c>
      <c r="AP50" s="2" cm="1">
        <f t="array" ref="AP50">THETAGREEK($B50,100,0.01,AP$44,0.4)</f>
        <v>-8.5018337440435978</v>
      </c>
      <c r="AQ50" s="2" cm="1">
        <f t="array" ref="AQ50">THETAGREEK($B50,100,0.01,AQ$44,0.4)</f>
        <v>-8.383589866847359</v>
      </c>
      <c r="AR50" s="2" cm="1">
        <f t="array" ref="AR50">THETAGREEK($B50,100,0.01,AR$44,0.4)</f>
        <v>-8.2691969841733712</v>
      </c>
      <c r="AS50" s="2" cm="1">
        <f t="array" ref="AS50">THETAGREEK($B50,100,0.01,AS$44,0.4)</f>
        <v>-8.1584433364018683</v>
      </c>
      <c r="AT50" s="2" cm="1">
        <f t="array" ref="AT50">THETAGREEK($B50,100,0.01,AT$44,0.4)</f>
        <v>-8.0511332820739216</v>
      </c>
      <c r="AU50" s="2" cm="1">
        <f t="array" ref="AU50">THETAGREEK($B50,100,0.01,AU$44,0.4)</f>
        <v>-7.9470857505628985</v>
      </c>
      <c r="AV50" s="2" cm="1">
        <f t="array" ref="AV50">THETAGREEK($B50,100,0.01,AV$44,0.4)</f>
        <v>-7.8461328725442581</v>
      </c>
      <c r="AW50" s="2" cm="1">
        <f t="array" ref="AW50">THETAGREEK($B50,100,0.01,AW$44,0.4)</f>
        <v>-7.7481187646253558</v>
      </c>
      <c r="AX50" s="2" cm="1">
        <f t="array" ref="AX50">THETAGREEK($B50,100,0.01,AX$44,0.4)</f>
        <v>-7.6528984480472362</v>
      </c>
      <c r="AY50" s="2" cm="1">
        <f t="array" ref="AY50">THETAGREEK($B50,100,0.01,AY$44,0.4)</f>
        <v>-7.5603368843291188</v>
      </c>
      <c r="AZ50" s="2" cm="1">
        <f t="array" ref="AZ50">THETAGREEK($B50,100,0.01,AZ$44,0.4)</f>
        <v>-7.470308113200903</v>
      </c>
    </row>
    <row r="51" spans="1:52" x14ac:dyDescent="0.3">
      <c r="A51" s="2"/>
      <c r="B51" s="2">
        <v>90</v>
      </c>
      <c r="C51" s="2" cm="1">
        <f t="array" ref="C51">THETAGREEK($B51,100,0.01,C$44,0.4)</f>
        <v>-42.659189010820356</v>
      </c>
      <c r="D51" s="2" cm="1">
        <f t="array" ref="D51">THETAGREEK($B51,100,0.01,D$44,0.4)</f>
        <v>-35.882057413076936</v>
      </c>
      <c r="E51" s="2" cm="1">
        <f t="array" ref="E51">THETAGREEK($B51,100,0.01,E$44,0.4)</f>
        <v>-31.026846982490408</v>
      </c>
      <c r="F51" s="2" cm="1">
        <f t="array" ref="F51">THETAGREEK($B51,100,0.01,F$44,0.4)</f>
        <v>-27.636031104300724</v>
      </c>
      <c r="G51" s="2" cm="1">
        <f t="array" ref="G51">THETAGREEK($B51,100,0.01,G$44,0.4)</f>
        <v>-25.125250421574712</v>
      </c>
      <c r="H51" s="2" cm="1">
        <f t="array" ref="H51">THETAGREEK($B51,100,0.01,H$44,0.4)</f>
        <v>-23.175487406837636</v>
      </c>
      <c r="I51" s="2" cm="1">
        <f t="array" ref="I51">THETAGREEK($B51,100,0.01,I$44,0.4)</f>
        <v>-21.606087695219326</v>
      </c>
      <c r="J51" s="2" cm="1">
        <f t="array" ref="J51">THETAGREEK($B51,100,0.01,J$44,0.4)</f>
        <v>-20.307719503413566</v>
      </c>
      <c r="K51" s="2" cm="1">
        <f t="array" ref="K51">THETAGREEK($B51,100,0.01,K$44,0.4)</f>
        <v>-19.210237984369421</v>
      </c>
      <c r="L51" s="2" cm="1">
        <f t="array" ref="L51">THETAGREEK($B51,100,0.01,L$44,0.4)</f>
        <v>-18.266429362128555</v>
      </c>
      <c r="M51" s="2" cm="1">
        <f t="array" ref="M51">THETAGREEK($B51,100,0.01,M$44,0.4)</f>
        <v>-17.443241869618522</v>
      </c>
      <c r="N51" s="2" cm="1">
        <f t="array" ref="N51">THETAGREEK($B51,100,0.01,N$44,0.4)</f>
        <v>-16.716773867799791</v>
      </c>
      <c r="O51" s="2" cm="1">
        <f t="array" ref="O51">THETAGREEK($B51,100,0.01,O$44,0.4)</f>
        <v>-16.069263859192208</v>
      </c>
      <c r="P51" s="2" cm="1">
        <f t="array" ref="P51">THETAGREEK($B51,100,0.01,P$44,0.4)</f>
        <v>-15.487204901129376</v>
      </c>
      <c r="Q51" s="2" cm="1">
        <f t="array" ref="Q51">THETAGREEK($B51,100,0.01,Q$44,0.4)</f>
        <v>-14.960120009657974</v>
      </c>
      <c r="R51" s="2" cm="1">
        <f t="array" ref="R51">THETAGREEK($B51,100,0.01,R$44,0.4)</f>
        <v>-14.479741738689986</v>
      </c>
      <c r="S51" s="2" cm="1">
        <f t="array" ref="S51">THETAGREEK($B51,100,0.01,S$44,0.4)</f>
        <v>-14.039447493401147</v>
      </c>
      <c r="T51" s="2" cm="1">
        <f t="array" ref="T51">THETAGREEK($B51,100,0.01,T$44,0.4)</f>
        <v>-13.633861561151415</v>
      </c>
      <c r="U51" s="2" cm="1">
        <f t="array" ref="U51">THETAGREEK($B51,100,0.01,U$44,0.4)</f>
        <v>-13.258568723463835</v>
      </c>
      <c r="V51" s="2" cm="1">
        <f t="array" ref="V51">THETAGREEK($B51,100,0.01,V$44,0.4)</f>
        <v>-12.909904306994965</v>
      </c>
      <c r="W51" s="2" cm="1">
        <f t="array" ref="W51">THETAGREEK($B51,100,0.01,W$44,0.4)</f>
        <v>-12.584797698110449</v>
      </c>
      <c r="X51" s="2" cm="1">
        <f t="array" ref="X51">THETAGREEK($B51,100,0.01,X$44,0.4)</f>
        <v>-12.280653954379238</v>
      </c>
      <c r="Y51" s="2" cm="1">
        <f t="array" ref="Y51">THETAGREEK($B51,100,0.01,Y$44,0.4)</f>
        <v>-11.995263022754314</v>
      </c>
      <c r="Z51" s="2" cm="1">
        <f t="array" ref="Z51">THETAGREEK($B51,100,0.01,Z$44,0.4)</f>
        <v>-11.72672926947236</v>
      </c>
      <c r="AA51" s="2" cm="1">
        <f t="array" ref="AA51">THETAGREEK($B51,100,0.01,AA$44,0.4)</f>
        <v>-11.473416162776065</v>
      </c>
      <c r="AB51" s="2" cm="1">
        <f t="array" ref="AB51">THETAGREEK($B51,100,0.01,AB$44,0.4)</f>
        <v>-11.233902403840798</v>
      </c>
      <c r="AC51" s="2" cm="1">
        <f t="array" ref="AC51">THETAGREEK($B51,100,0.01,AC$44,0.4)</f>
        <v>-11.00694680803017</v>
      </c>
      <c r="AD51" s="2" cm="1">
        <f t="array" ref="AD51">THETAGREEK($B51,100,0.01,AD$44,0.4)</f>
        <v>-10.791459946272768</v>
      </c>
      <c r="AE51" s="2" cm="1">
        <f t="array" ref="AE51">THETAGREEK($B51,100,0.01,AE$44,0.4)</f>
        <v>-10.586481060840926</v>
      </c>
      <c r="AF51" s="2" cm="1">
        <f t="array" ref="AF51">THETAGREEK($B51,100,0.01,AF$44,0.4)</f>
        <v>-10.391159134160587</v>
      </c>
      <c r="AG51" s="2" cm="1">
        <f t="array" ref="AG51">THETAGREEK($B51,100,0.01,AG$44,0.4)</f>
        <v>-10.204737255603614</v>
      </c>
      <c r="AH51" s="2" cm="1">
        <f t="array" ref="AH51">THETAGREEK($B51,100,0.01,AH$44,0.4)</f>
        <v>-10.026539628071948</v>
      </c>
      <c r="AI51" s="2" cm="1">
        <f t="array" ref="AI51">THETAGREEK($B51,100,0.01,AI$44,0.4)</f>
        <v>-9.8559607032171375</v>
      </c>
      <c r="AJ51" s="2" cm="1">
        <f t="array" ref="AJ51">THETAGREEK($B51,100,0.01,AJ$44,0.4)</f>
        <v>-9.6924560450313884</v>
      </c>
      <c r="AK51" s="2" cm="1">
        <f t="array" ref="AK51">THETAGREEK($B51,100,0.01,AK$44,0.4)</f>
        <v>-9.5355346059447612</v>
      </c>
      <c r="AL51" s="2" cm="1">
        <f t="array" ref="AL51">THETAGREEK($B51,100,0.01,AL$44,0.4)</f>
        <v>-9.384752164347022</v>
      </c>
      <c r="AM51" s="2" cm="1">
        <f t="array" ref="AM51">THETAGREEK($B51,100,0.01,AM$44,0.4)</f>
        <v>-9.2397057225804158</v>
      </c>
      <c r="AN51" s="2" cm="1">
        <f t="array" ref="AN51">THETAGREEK($B51,100,0.01,AN$44,0.4)</f>
        <v>-9.1000287035300662</v>
      </c>
      <c r="AO51" s="2" cm="1">
        <f t="array" ref="AO51">THETAGREEK($B51,100,0.01,AO$44,0.4)</f>
        <v>-8.9653868146238995</v>
      </c>
      <c r="AP51" s="2" cm="1">
        <f t="array" ref="AP51">THETAGREEK($B51,100,0.01,AP$44,0.4)</f>
        <v>-8.8354744723097092</v>
      </c>
      <c r="AQ51" s="2" cm="1">
        <f t="array" ref="AQ51">THETAGREEK($B51,100,0.01,AQ$44,0.4)</f>
        <v>-8.710011699372231</v>
      </c>
      <c r="AR51" s="2" cm="1">
        <f t="array" ref="AR51">THETAGREEK($B51,100,0.01,AR$44,0.4)</f>
        <v>-8.5887414228952732</v>
      </c>
      <c r="AS51" s="2" cm="1">
        <f t="array" ref="AS51">THETAGREEK($B51,100,0.01,AS$44,0.4)</f>
        <v>-8.4714271131030205</v>
      </c>
      <c r="AT51" s="2" cm="1">
        <f t="array" ref="AT51">THETAGREEK($B51,100,0.01,AT$44,0.4)</f>
        <v>-8.3578507133728284</v>
      </c>
      <c r="AU51" s="2" cm="1">
        <f t="array" ref="AU51">THETAGREEK($B51,100,0.01,AU$44,0.4)</f>
        <v>-8.2478108198937985</v>
      </c>
      <c r="AV51" s="2" cm="1">
        <f t="array" ref="AV51">THETAGREEK($B51,100,0.01,AV$44,0.4)</f>
        <v>-8.1411210761334658</v>
      </c>
      <c r="AW51" s="2" cm="1">
        <f t="array" ref="AW51">THETAGREEK($B51,100,0.01,AW$44,0.4)</f>
        <v>-8.0376087527680777</v>
      </c>
      <c r="AX51" s="2" cm="1">
        <f t="array" ref="AX51">THETAGREEK($B51,100,0.01,AX$44,0.4)</f>
        <v>-7.9371134882632131</v>
      </c>
      <c r="AY51" s="2" cm="1">
        <f t="array" ref="AY51">THETAGREEK($B51,100,0.01,AY$44,0.4)</f>
        <v>-7.8394861690459443</v>
      </c>
      <c r="AZ51" s="2" cm="1">
        <f t="array" ref="AZ51">THETAGREEK($B51,100,0.01,AZ$44,0.4)</f>
        <v>-7.7445879313329113</v>
      </c>
    </row>
    <row r="52" spans="1:52" x14ac:dyDescent="0.3">
      <c r="A52" s="2"/>
      <c r="B52" s="2">
        <v>95</v>
      </c>
      <c r="C52" s="2" cm="1">
        <f t="array" ref="C52">THETAGREEK($B52,100,0.01,C$44,0.4)</f>
        <v>-56.988797295714171</v>
      </c>
      <c r="D52" s="2" cm="1">
        <f t="array" ref="D52">THETAGREEK($B52,100,0.01,D$44,0.4)</f>
        <v>-42.002232199350964</v>
      </c>
      <c r="E52" s="2" cm="1">
        <f t="array" ref="E52">THETAGREEK($B52,100,0.01,E$44,0.4)</f>
        <v>-34.754930584318473</v>
      </c>
      <c r="F52" s="2" cm="1">
        <f t="array" ref="F52">THETAGREEK($B52,100,0.01,F$44,0.4)</f>
        <v>-30.282971482866447</v>
      </c>
      <c r="G52" s="2" cm="1">
        <f t="array" ref="G52">THETAGREEK($B52,100,0.01,G$44,0.4)</f>
        <v>-27.170624072175883</v>
      </c>
      <c r="H52" s="2" cm="1">
        <f t="array" ref="H52">THETAGREEK($B52,100,0.01,H$44,0.4)</f>
        <v>-24.842484220414807</v>
      </c>
      <c r="I52" s="2" cm="1">
        <f t="array" ref="I52">THETAGREEK($B52,100,0.01,I$44,0.4)</f>
        <v>-23.01498345971493</v>
      </c>
      <c r="J52" s="2" cm="1">
        <f t="array" ref="J52">THETAGREEK($B52,100,0.01,J$44,0.4)</f>
        <v>-21.530103128320984</v>
      </c>
      <c r="K52" s="2" cm="1">
        <f t="array" ref="K52">THETAGREEK($B52,100,0.01,K$44,0.4)</f>
        <v>-20.291901895751916</v>
      </c>
      <c r="L52" s="2" cm="1">
        <f t="array" ref="L52">THETAGREEK($B52,100,0.01,L$44,0.4)</f>
        <v>-19.238311230412023</v>
      </c>
      <c r="M52" s="2" cm="1">
        <f t="array" ref="M52">THETAGREEK($B52,100,0.01,M$44,0.4)</f>
        <v>-18.32716079733666</v>
      </c>
      <c r="N52" s="2" cm="1">
        <f t="array" ref="N52">THETAGREEK($B52,100,0.01,N$44,0.4)</f>
        <v>-17.528660555547631</v>
      </c>
      <c r="O52" s="2" cm="1">
        <f t="array" ref="O52">THETAGREEK($B52,100,0.01,O$44,0.4)</f>
        <v>-16.821086556881475</v>
      </c>
      <c r="P52" s="2" cm="1">
        <f t="array" ref="P52">THETAGREEK($B52,100,0.01,P$44,0.4)</f>
        <v>-16.188172713460919</v>
      </c>
      <c r="Q52" s="2" cm="1">
        <f t="array" ref="Q52">THETAGREEK($B52,100,0.01,Q$44,0.4)</f>
        <v>-15.617464610070501</v>
      </c>
      <c r="R52" s="2" cm="1">
        <f t="array" ref="R52">THETAGREEK($B52,100,0.01,R$44,0.4)</f>
        <v>-15.099242266540807</v>
      </c>
      <c r="S52" s="2" cm="1">
        <f t="array" ref="S52">THETAGREEK($B52,100,0.01,S$44,0.4)</f>
        <v>-14.625793150155747</v>
      </c>
      <c r="T52" s="2" cm="1">
        <f t="array" ref="T52">THETAGREEK($B52,100,0.01,T$44,0.4)</f>
        <v>-14.190908335734292</v>
      </c>
      <c r="U52" s="2" cm="1">
        <f t="array" ref="U52">THETAGREEK($B52,100,0.01,U$44,0.4)</f>
        <v>-13.789525124969931</v>
      </c>
      <c r="V52" s="2" cm="1">
        <f t="array" ref="V52">THETAGREEK($B52,100,0.01,V$44,0.4)</f>
        <v>-13.417468324076356</v>
      </c>
      <c r="W52" s="2" cm="1">
        <f t="array" ref="W52">THETAGREEK($B52,100,0.01,W$44,0.4)</f>
        <v>-13.071259522299954</v>
      </c>
      <c r="X52" s="2" cm="1">
        <f t="array" ref="X52">THETAGREEK($B52,100,0.01,X$44,0.4)</f>
        <v>-12.74797420639214</v>
      </c>
      <c r="Y52" s="2" cm="1">
        <f t="array" ref="Y52">THETAGREEK($B52,100,0.01,Y$44,0.4)</f>
        <v>-12.445133145924315</v>
      </c>
      <c r="Z52" s="2" cm="1">
        <f t="array" ref="Z52">THETAGREEK($B52,100,0.01,Z$44,0.4)</f>
        <v>-12.160618738128898</v>
      </c>
      <c r="AA52" s="2" cm="1">
        <f t="array" ref="AA52">THETAGREEK($B52,100,0.01,AA$44,0.4)</f>
        <v>-11.892609803455848</v>
      </c>
      <c r="AB52" s="2" cm="1">
        <f t="array" ref="AB52">THETAGREEK($B52,100,0.01,AB$44,0.4)</f>
        <v>-11.63953020633959</v>
      </c>
      <c r="AC52" s="2" cm="1">
        <f t="array" ref="AC52">THETAGREEK($B52,100,0.01,AC$44,0.4)</f>
        <v>-11.400007964249276</v>
      </c>
      <c r="AD52" s="2" cm="1">
        <f t="array" ref="AD52">THETAGREEK($B52,100,0.01,AD$44,0.4)</f>
        <v>-11.172842404350531</v>
      </c>
      <c r="AE52" s="2" cm="1">
        <f t="array" ref="AE52">THETAGREEK($B52,100,0.01,AE$44,0.4)</f>
        <v>-10.956977559936339</v>
      </c>
      <c r="AF52" s="2" cm="1">
        <f t="array" ref="AF52">THETAGREEK($B52,100,0.01,AF$44,0.4)</f>
        <v>-10.75148045183958</v>
      </c>
      <c r="AG52" s="2" cm="1">
        <f t="array" ref="AG52">THETAGREEK($B52,100,0.01,AG$44,0.4)</f>
        <v>-10.555523228558826</v>
      </c>
      <c r="AH52" s="2" cm="1">
        <f t="array" ref="AH52">THETAGREEK($B52,100,0.01,AH$44,0.4)</f>
        <v>-10.368368379877936</v>
      </c>
      <c r="AI52" s="2" cm="1">
        <f t="array" ref="AI52">THETAGREEK($B52,100,0.01,AI$44,0.4)</f>
        <v>-10.189356417580287</v>
      </c>
      <c r="AJ52" s="2" cm="1">
        <f t="array" ref="AJ52">THETAGREEK($B52,100,0.01,AJ$44,0.4)</f>
        <v>-10.017895550878048</v>
      </c>
      <c r="AK52" s="2" cm="1">
        <f t="array" ref="AK52">THETAGREEK($B52,100,0.01,AK$44,0.4)</f>
        <v>-9.8534529855824378</v>
      </c>
      <c r="AL52" s="2" cm="1">
        <f t="array" ref="AL52">THETAGREEK($B52,100,0.01,AL$44,0.4)</f>
        <v>-9.6955475534573434</v>
      </c>
      <c r="AM52" s="2" cm="1">
        <f t="array" ref="AM52">THETAGREEK($B52,100,0.01,AM$44,0.4)</f>
        <v>-9.5437434377975574</v>
      </c>
      <c r="AN52" s="2" cm="1">
        <f t="array" ref="AN52">THETAGREEK($B52,100,0.01,AN$44,0.4)</f>
        <v>-9.3976448075172581</v>
      </c>
      <c r="AO52" s="2" cm="1">
        <f t="array" ref="AO52">THETAGREEK($B52,100,0.01,AO$44,0.4)</f>
        <v>-9.2568912081832018</v>
      </c>
      <c r="AP52" s="2" cm="1">
        <f t="array" ref="AP52">THETAGREEK($B52,100,0.01,AP$44,0.4)</f>
        <v>-9.1211535868822882</v>
      </c>
      <c r="AQ52" s="2" cm="1">
        <f t="array" ref="AQ52">THETAGREEK($B52,100,0.01,AQ$44,0.4)</f>
        <v>-8.990130850360373</v>
      </c>
      <c r="AR52" s="2" cm="1">
        <f t="array" ref="AR52">THETAGREEK($B52,100,0.01,AR$44,0.4)</f>
        <v>-8.8635468738469054</v>
      </c>
      <c r="AS52" s="2" cm="1">
        <f t="array" ref="AS52">THETAGREEK($B52,100,0.01,AS$44,0.4)</f>
        <v>-8.7411478923992547</v>
      </c>
      <c r="AT52" s="2" cm="1">
        <f t="array" ref="AT52">THETAGREEK($B52,100,0.01,AT$44,0.4)</f>
        <v>-8.6227002182307402</v>
      </c>
      <c r="AU52" s="2" cm="1">
        <f t="array" ref="AU52">THETAGREEK($B52,100,0.01,AU$44,0.4)</f>
        <v>-8.5079882369174271</v>
      </c>
      <c r="AV52" s="2" cm="1">
        <f t="array" ref="AV52">THETAGREEK($B52,100,0.01,AV$44,0.4)</f>
        <v>-8.3968126430647221</v>
      </c>
      <c r="AW52" s="2" cm="1">
        <f t="array" ref="AW52">THETAGREEK($B52,100,0.01,AW$44,0.4)</f>
        <v>-8.2889888823098463</v>
      </c>
      <c r="AX52" s="2" cm="1">
        <f t="array" ref="AX52">THETAGREEK($B52,100,0.01,AX$44,0.4)</f>
        <v>-8.1843457717150088</v>
      </c>
      <c r="AY52" s="2" cm="1">
        <f t="array" ref="AY52">THETAGREEK($B52,100,0.01,AY$44,0.4)</f>
        <v>-8.0827242748859671</v>
      </c>
      <c r="AZ52" s="2" cm="1">
        <f t="array" ref="AZ52">THETAGREEK($B52,100,0.01,AZ$44,0.4)</f>
        <v>-7.9839764117022733</v>
      </c>
    </row>
    <row r="53" spans="1:52" x14ac:dyDescent="0.3">
      <c r="A53" s="2"/>
      <c r="B53" s="2">
        <v>100</v>
      </c>
      <c r="C53" s="2" cm="1">
        <f t="array" ref="C53">THETAGREEK($B53,100,0.01,C$44,0.4)</f>
        <v>-63.39630413768927</v>
      </c>
      <c r="D53" s="2" cm="1">
        <f t="array" ref="D53">THETAGREEK($B53,100,0.01,D$44,0.4)</f>
        <v>-44.845743285436221</v>
      </c>
      <c r="E53" s="2" cm="1">
        <f t="array" ref="E53">THETAGREEK($B53,100,0.01,E$44,0.4)</f>
        <v>-36.603212972555227</v>
      </c>
      <c r="F53" s="2" cm="1">
        <f t="array" ref="F53">THETAGREEK($B53,100,0.01,F$44,0.4)</f>
        <v>-31.675548818110336</v>
      </c>
      <c r="G53" s="2" cm="1">
        <f t="array" ref="G53">THETAGREEK($B53,100,0.01,G$44,0.4)</f>
        <v>-28.303213701530066</v>
      </c>
      <c r="H53" s="2" cm="1">
        <f t="array" ref="H53">THETAGREEK($B53,100,0.01,H$44,0.4)</f>
        <v>-25.806884060072665</v>
      </c>
      <c r="I53" s="2" cm="1">
        <f t="array" ref="I53">THETAGREEK($B53,100,0.01,I$44,0.4)</f>
        <v>-23.86135768484684</v>
      </c>
      <c r="J53" s="2" cm="1">
        <f t="array" ref="J53">THETAGREEK($B53,100,0.01,J$44,0.4)</f>
        <v>-22.288808038805563</v>
      </c>
      <c r="K53" s="2" cm="1">
        <f t="array" ref="K53">THETAGREEK($B53,100,0.01,K$44,0.4)</f>
        <v>-20.982699995118882</v>
      </c>
      <c r="L53" s="2" cm="1">
        <f t="array" ref="L53">THETAGREEK($B53,100,0.01,L$44,0.4)</f>
        <v>-19.874795275875112</v>
      </c>
      <c r="M53" s="2" cm="1">
        <f t="array" ref="M53">THETAGREEK($B53,100,0.01,M$44,0.4)</f>
        <v>-18.919089230156349</v>
      </c>
      <c r="N53" s="2" cm="1">
        <f t="array" ref="N53">THETAGREEK($B53,100,0.01,N$44,0.4)</f>
        <v>-18.083283727500348</v>
      </c>
      <c r="O53" s="2" cm="1">
        <f t="array" ref="O53">THETAGREEK($B53,100,0.01,O$44,0.4)</f>
        <v>-17.343944863620592</v>
      </c>
      <c r="P53" s="2" cm="1">
        <f t="array" ref="P53">THETAGREEK($B53,100,0.01,P$44,0.4)</f>
        <v>-16.683600183340044</v>
      </c>
      <c r="Q53" s="2" cm="1">
        <f t="array" ref="Q53">THETAGREEK($B53,100,0.01,Q$44,0.4)</f>
        <v>-16.088919388282225</v>
      </c>
      <c r="R53" s="2" cm="1">
        <f t="array" ref="R53">THETAGREEK($B53,100,0.01,R$44,0.4)</f>
        <v>-15.549530820174439</v>
      </c>
      <c r="S53" s="2" cm="1">
        <f t="array" ref="S53">THETAGREEK($B53,100,0.01,S$44,0.4)</f>
        <v>-15.057226756954382</v>
      </c>
      <c r="T53" s="2" cm="1">
        <f t="array" ref="T53">THETAGREEK($B53,100,0.01,T$44,0.4)</f>
        <v>-14.605415029476507</v>
      </c>
      <c r="U53" s="2" cm="1">
        <f t="array" ref="U53">THETAGREEK($B53,100,0.01,U$44,0.4)</f>
        <v>-14.188731517456521</v>
      </c>
      <c r="V53" s="2" cm="1">
        <f t="array" ref="V53">THETAGREEK($B53,100,0.01,V$44,0.4)</f>
        <v>-13.802760554434039</v>
      </c>
      <c r="W53" s="2" cm="1">
        <f t="array" ref="W53">THETAGREEK($B53,100,0.01,W$44,0.4)</f>
        <v>-13.443829429286133</v>
      </c>
      <c r="X53" s="2" cm="1">
        <f t="array" ref="X53">THETAGREEK($B53,100,0.01,X$44,0.4)</f>
        <v>-13.108854836989757</v>
      </c>
      <c r="Y53" s="2" cm="1">
        <f t="array" ref="Y53">THETAGREEK($B53,100,0.01,Y$44,0.4)</f>
        <v>-12.795226435345137</v>
      </c>
      <c r="Z53" s="2" cm="1">
        <f t="array" ref="Z53">THETAGREEK($B53,100,0.01,Z$44,0.4)</f>
        <v>-12.500717352967783</v>
      </c>
      <c r="AA53" s="2" cm="1">
        <f t="array" ref="AA53">THETAGREEK($B53,100,0.01,AA$44,0.4)</f>
        <v>-12.223414571556798</v>
      </c>
      <c r="AB53" s="2" cm="1">
        <f t="array" ref="AB53">THETAGREEK($B53,100,0.01,AB$44,0.4)</f>
        <v>-11.961664166875455</v>
      </c>
      <c r="AC53" s="2" cm="1">
        <f t="array" ref="AC53">THETAGREEK($B53,100,0.01,AC$44,0.4)</f>
        <v>-11.714027799114449</v>
      </c>
      <c r="AD53" s="2" cm="1">
        <f t="array" ref="AD53">THETAGREEK($B53,100,0.01,AD$44,0.4)</f>
        <v>-11.479247818730913</v>
      </c>
      <c r="AE53" s="2" cm="1">
        <f t="array" ref="AE53">THETAGREEK($B53,100,0.01,AE$44,0.4)</f>
        <v>-11.256219040863904</v>
      </c>
      <c r="AF53" s="2" cm="1">
        <f t="array" ref="AF53">THETAGREEK($B53,100,0.01,AF$44,0.4)</f>
        <v>-11.043965732139476</v>
      </c>
      <c r="AG53" s="2" cm="1">
        <f t="array" ref="AG53">THETAGREEK($B53,100,0.01,AG$44,0.4)</f>
        <v>-10.841622708749757</v>
      </c>
      <c r="AH53" s="2" cm="1">
        <f t="array" ref="AH53">THETAGREEK($B53,100,0.01,AH$44,0.4)</f>
        <v>-10.648419704710784</v>
      </c>
      <c r="AI53" s="2" cm="1">
        <f t="array" ref="AI53">THETAGREEK($B53,100,0.01,AI$44,0.4)</f>
        <v>-10.463668361746777</v>
      </c>
      <c r="AJ53" s="2" cm="1">
        <f t="array" ref="AJ53">THETAGREEK($B53,100,0.01,AJ$44,0.4)</f>
        <v>-10.286751336307949</v>
      </c>
      <c r="AK53" s="2" cm="1">
        <f t="array" ref="AK53">THETAGREEK($B53,100,0.01,AK$44,0.4)</f>
        <v>-10.11711312805893</v>
      </c>
      <c r="AL53" s="2" cm="1">
        <f t="array" ref="AL53">THETAGREEK($B53,100,0.01,AL$44,0.4)</f>
        <v>-9.9542523171360848</v>
      </c>
      <c r="AM53" s="2" cm="1">
        <f t="array" ref="AM53">THETAGREEK($B53,100,0.01,AM$44,0.4)</f>
        <v>-9.7977149612512715</v>
      </c>
      <c r="AN53" s="2" cm="1">
        <f t="array" ref="AN53">THETAGREEK($B53,100,0.01,AN$44,0.4)</f>
        <v>-9.6470889531428661</v>
      </c>
      <c r="AO53" s="2" cm="1">
        <f t="array" ref="AO53">THETAGREEK($B53,100,0.01,AO$44,0.4)</f>
        <v>-9.5019991774613146</v>
      </c>
      <c r="AP53" s="2" cm="1">
        <f t="array" ref="AP53">THETAGREEK($B53,100,0.01,AP$44,0.4)</f>
        <v>-9.3621033365154904</v>
      </c>
      <c r="AQ53" s="2" cm="1">
        <f t="array" ref="AQ53">THETAGREEK($B53,100,0.01,AQ$44,0.4)</f>
        <v>-9.2270883383194811</v>
      </c>
      <c r="AR53" s="2" cm="1">
        <f t="array" ref="AR53">THETAGREEK($B53,100,0.01,AR$44,0.4)</f>
        <v>-9.0966671595066249</v>
      </c>
      <c r="AS53" s="2" cm="1">
        <f t="array" ref="AS53">THETAGREEK($B53,100,0.01,AS$44,0.4)</f>
        <v>-8.970576111003659</v>
      </c>
      <c r="AT53" s="2" cm="1">
        <f t="array" ref="AT53">THETAGREEK($B53,100,0.01,AT$44,0.4)</f>
        <v>-8.8485724467080065</v>
      </c>
      <c r="AU53" s="2" cm="1">
        <f t="array" ref="AU53">THETAGREEK($B53,100,0.01,AU$44,0.4)</f>
        <v>-8.7304322654170985</v>
      </c>
      <c r="AV53" s="2" cm="1">
        <f t="array" ref="AV53">THETAGREEK($B53,100,0.01,AV$44,0.4)</f>
        <v>-8.6159486644065009</v>
      </c>
      <c r="AW53" s="2" cm="1">
        <f t="array" ref="AW53">THETAGREEK($B53,100,0.01,AW$44,0.4)</f>
        <v>-8.5049301097213377</v>
      </c>
      <c r="AX53" s="2" cm="1">
        <f t="array" ref="AX53">THETAGREEK($B53,100,0.01,AX$44,0.4)</f>
        <v>-8.3971989937268319</v>
      </c>
      <c r="AY53" s="2" cm="1">
        <f t="array" ref="AY53">THETAGREEK($B53,100,0.01,AY$44,0.4)</f>
        <v>-8.2925903549903985</v>
      </c>
      <c r="AZ53" s="2" cm="1">
        <f t="array" ref="AZ53">THETAGREEK($B53,100,0.01,AZ$44,0.4)</f>
        <v>-8.1909507393213747</v>
      </c>
    </row>
    <row r="54" spans="1:52" x14ac:dyDescent="0.3">
      <c r="A54" s="2"/>
      <c r="B54" s="2">
        <v>105</v>
      </c>
      <c r="C54" s="2" cm="1">
        <f t="array" ref="C54">THETAGREEK($B54,100,0.01,C$44,0.4)</f>
        <v>-60.297148595007229</v>
      </c>
      <c r="D54" s="2" cm="1">
        <f t="array" ref="D54">THETAGREEK($B54,100,0.01,D$44,0.4)</f>
        <v>-44.256004503766889</v>
      </c>
      <c r="E54" s="2" cm="1">
        <f t="array" ref="E54">THETAGREEK($B54,100,0.01,E$44,0.4)</f>
        <v>-36.567083566374897</v>
      </c>
      <c r="F54" s="2" cm="1">
        <f t="array" ref="F54">THETAGREEK($B54,100,0.01,F$44,0.4)</f>
        <v>-31.83797598572885</v>
      </c>
      <c r="G54" s="2" cm="1">
        <f t="array" ref="G54">THETAGREEK($B54,100,0.01,G$44,0.4)</f>
        <v>-28.552294599414282</v>
      </c>
      <c r="H54" s="2" cm="1">
        <f t="array" ref="H54">THETAGREEK($B54,100,0.01,H$44,0.4)</f>
        <v>-26.09711907291674</v>
      </c>
      <c r="I54" s="2" cm="1">
        <f t="array" ref="I54">THETAGREEK($B54,100,0.01,I$44,0.4)</f>
        <v>-24.171313747800138</v>
      </c>
      <c r="J54" s="2" cm="1">
        <f t="array" ref="J54">THETAGREEK($B54,100,0.01,J$44,0.4)</f>
        <v>-22.607399948822071</v>
      </c>
      <c r="K54" s="2" cm="1">
        <f t="array" ref="K54">THETAGREEK($B54,100,0.01,K$44,0.4)</f>
        <v>-21.303832645306084</v>
      </c>
      <c r="L54" s="2" cm="1">
        <f t="array" ref="L54">THETAGREEK($B54,100,0.01,L$44,0.4)</f>
        <v>-20.194985180203791</v>
      </c>
      <c r="M54" s="2" cm="1">
        <f t="array" ref="M54">THETAGREEK($B54,100,0.01,M$44,0.4)</f>
        <v>-19.236305022200263</v>
      </c>
      <c r="N54" s="2" cm="1">
        <f t="array" ref="N54">THETAGREEK($B54,100,0.01,N$44,0.4)</f>
        <v>-18.396339140700768</v>
      </c>
      <c r="O54" s="2" cm="1">
        <f t="array" ref="O54">THETAGREEK($B54,100,0.01,O$44,0.4)</f>
        <v>-17.652162693585176</v>
      </c>
      <c r="P54" s="2" cm="1">
        <f t="array" ref="P54">THETAGREEK($B54,100,0.01,P$44,0.4)</f>
        <v>-16.986617774857127</v>
      </c>
      <c r="Q54" s="2" cm="1">
        <f t="array" ref="Q54">THETAGREEK($B54,100,0.01,Q$44,0.4)</f>
        <v>-16.386571905591165</v>
      </c>
      <c r="R54" s="2" cm="1">
        <f t="array" ref="R54">THETAGREEK($B54,100,0.01,R$44,0.4)</f>
        <v>-15.841779108769648</v>
      </c>
      <c r="S54" s="2" cm="1">
        <f t="array" ref="S54">THETAGREEK($B54,100,0.01,S$44,0.4)</f>
        <v>-15.344111686669144</v>
      </c>
      <c r="T54" s="2" cm="1">
        <f t="array" ref="T54">THETAGREEK($B54,100,0.01,T$44,0.4)</f>
        <v>-14.88702803913182</v>
      </c>
      <c r="U54" s="2" cm="1">
        <f t="array" ref="U54">THETAGREEK($B54,100,0.01,U$44,0.4)</f>
        <v>-14.465195325552072</v>
      </c>
      <c r="V54" s="2" cm="1">
        <f t="array" ref="V54">THETAGREEK($B54,100,0.01,V$44,0.4)</f>
        <v>-14.074216387417575</v>
      </c>
      <c r="W54" s="2" cm="1">
        <f t="array" ref="W54">THETAGREEK($B54,100,0.01,W$44,0.4)</f>
        <v>-13.710428505360934</v>
      </c>
      <c r="X54" s="2" cm="1">
        <f t="array" ref="X54">THETAGREEK($B54,100,0.01,X$44,0.4)</f>
        <v>-13.370752671671081</v>
      </c>
      <c r="Y54" s="2" cm="1">
        <f t="array" ref="Y54">THETAGREEK($B54,100,0.01,Y$44,0.4)</f>
        <v>-13.052579042216765</v>
      </c>
      <c r="Z54" s="2" cm="1">
        <f t="array" ref="Z54">THETAGREEK($B54,100,0.01,Z$44,0.4)</f>
        <v>-12.753678730648165</v>
      </c>
      <c r="AA54" s="2" cm="1">
        <f t="array" ref="AA54">THETAGREEK($B54,100,0.01,AA$44,0.4)</f>
        <v>-12.472135070623986</v>
      </c>
      <c r="AB54" s="2" cm="1">
        <f t="array" ref="AB54">THETAGREEK($B54,100,0.01,AB$44,0.4)</f>
        <v>-12.206289462217581</v>
      </c>
      <c r="AC54" s="2" cm="1">
        <f t="array" ref="AC54">THETAGREEK($B54,100,0.01,AC$44,0.4)</f>
        <v>-11.954698280095952</v>
      </c>
      <c r="AD54" s="2" cm="1">
        <f t="array" ref="AD54">THETAGREEK($B54,100,0.01,AD$44,0.4)</f>
        <v>-11.716098267735001</v>
      </c>
      <c r="AE54" s="2" cm="1">
        <f t="array" ref="AE54">THETAGREEK($B54,100,0.01,AE$44,0.4)</f>
        <v>-11.489378510189926</v>
      </c>
      <c r="AF54" s="2" cm="1">
        <f t="array" ref="AF54">THETAGREEK($B54,100,0.01,AF$44,0.4)</f>
        <v>-11.27355755624448</v>
      </c>
      <c r="AG54" s="2" cm="1">
        <f t="array" ref="AG54">THETAGREEK($B54,100,0.01,AG$44,0.4)</f>
        <v>-11.06776460751634</v>
      </c>
      <c r="AH54" s="2" cm="1">
        <f t="array" ref="AH54">THETAGREEK($B54,100,0.01,AH$44,0.4)</f>
        <v>-10.871223946473163</v>
      </c>
      <c r="AI54" s="2" cm="1">
        <f t="array" ref="AI54">THETAGREEK($B54,100,0.01,AI$44,0.4)</f>
        <v>-10.683241963986941</v>
      </c>
      <c r="AJ54" s="2" cm="1">
        <f t="array" ref="AJ54">THETAGREEK($B54,100,0.01,AJ$44,0.4)</f>
        <v>-10.5031962884336</v>
      </c>
      <c r="AK54" s="2" cm="1">
        <f t="array" ref="AK54">THETAGREEK($B54,100,0.01,AK$44,0.4)</f>
        <v>-10.330526625302015</v>
      </c>
      <c r="AL54" s="2" cm="1">
        <f t="array" ref="AL54">THETAGREEK($B54,100,0.01,AL$44,0.4)</f>
        <v>-10.164726997918931</v>
      </c>
      <c r="AM54" s="2" cm="1">
        <f t="array" ref="AM54">THETAGREEK($B54,100,0.01,AM$44,0.4)</f>
        <v>-10.005339142739745</v>
      </c>
      <c r="AN54" s="2" cm="1">
        <f t="array" ref="AN54">THETAGREEK($B54,100,0.01,AN$44,0.4)</f>
        <v>-9.8519468614105286</v>
      </c>
      <c r="AO54" s="2" cm="1">
        <f t="array" ref="AO54">THETAGREEK($B54,100,0.01,AO$44,0.4)</f>
        <v>-9.7041711699135522</v>
      </c>
      <c r="AP54" s="2" cm="1">
        <f t="array" ref="AP54">THETAGREEK($B54,100,0.01,AP$44,0.4)</f>
        <v>-9.5616661151017581</v>
      </c>
      <c r="AQ54" s="2" cm="1">
        <f t="array" ref="AQ54">THETAGREEK($B54,100,0.01,AQ$44,0.4)</f>
        <v>-9.4241151526905664</v>
      </c>
      <c r="AR54" s="2" cm="1">
        <f t="array" ref="AR54">THETAGREEK($B54,100,0.01,AR$44,0.4)</f>
        <v>-9.2912279997207978</v>
      </c>
      <c r="AS54" s="2" cm="1">
        <f t="array" ref="AS54">THETAGREEK($B54,100,0.01,AS$44,0.4)</f>
        <v>-9.1627378897001233</v>
      </c>
      <c r="AT54" s="2" cm="1">
        <f t="array" ref="AT54">THETAGREEK($B54,100,0.01,AT$44,0.4)</f>
        <v>-9.0383991708842757</v>
      </c>
      <c r="AU54" s="2" cm="1">
        <f t="array" ref="AU54">THETAGREEK($B54,100,0.01,AU$44,0.4)</f>
        <v>-8.9179851980948346</v>
      </c>
      <c r="AV54" s="2" cm="1">
        <f t="array" ref="AV54">THETAGREEK($B54,100,0.01,AV$44,0.4)</f>
        <v>-8.8012864765672845</v>
      </c>
      <c r="AW54" s="2" cm="1">
        <f t="array" ref="AW54">THETAGREEK($B54,100,0.01,AW$44,0.4)</f>
        <v>-8.6881090229536309</v>
      </c>
      <c r="AX54" s="2" cm="1">
        <f t="array" ref="AX54">THETAGREEK($B54,100,0.01,AX$44,0.4)</f>
        <v>-8.5782729140586014</v>
      </c>
      <c r="AY54" s="2" cm="1">
        <f t="array" ref="AY54">THETAGREEK($B54,100,0.01,AY$44,0.4)</f>
        <v>-8.471610998395871</v>
      </c>
      <c r="AZ54" s="2" cm="1">
        <f t="array" ref="AZ54">THETAGREEK($B54,100,0.01,AZ$44,0.4)</f>
        <v>-8.367967749390985</v>
      </c>
    </row>
    <row r="55" spans="1:52" x14ac:dyDescent="0.3">
      <c r="A55" s="2"/>
      <c r="B55" s="2">
        <v>110</v>
      </c>
      <c r="C55" s="2" cm="1">
        <f t="array" ref="C55">THETAGREEK($B55,100,0.01,C$44,0.4)</f>
        <v>-50.142753606296324</v>
      </c>
      <c r="D55" s="2" cm="1">
        <f t="array" ref="D55">THETAGREEK($B55,100,0.01,D$44,0.4)</f>
        <v>-40.819060655402289</v>
      </c>
      <c r="E55" s="2" cm="1">
        <f t="array" ref="E55">THETAGREEK($B55,100,0.01,E$44,0.4)</f>
        <v>-34.910452571598853</v>
      </c>
      <c r="F55" s="2" cm="1">
        <f t="array" ref="F55">THETAGREEK($B55,100,0.01,F$44,0.4)</f>
        <v>-30.923294645965072</v>
      </c>
      <c r="G55" s="2" cm="1">
        <f t="array" ref="G55">THETAGREEK($B55,100,0.01,G$44,0.4)</f>
        <v>-28.019398712540877</v>
      </c>
      <c r="H55" s="2" cm="1">
        <f t="array" ref="H55">THETAGREEK($B55,100,0.01,H$44,0.4)</f>
        <v>-25.786367144633598</v>
      </c>
      <c r="I55" s="2" cm="1">
        <f t="array" ref="I55">THETAGREEK($B55,100,0.01,I$44,0.4)</f>
        <v>-24.000622822467601</v>
      </c>
      <c r="J55" s="2" cm="1">
        <f t="array" ref="J55">THETAGREEK($B55,100,0.01,J$44,0.4)</f>
        <v>-22.530120311050585</v>
      </c>
      <c r="K55" s="2" cm="1">
        <f t="array" ref="K55">THETAGREEK($B55,100,0.01,K$44,0.4)</f>
        <v>-21.29146528439157</v>
      </c>
      <c r="L55" s="2" cm="1">
        <f t="array" ref="L55">THETAGREEK($B55,100,0.01,L$44,0.4)</f>
        <v>-20.229142168719267</v>
      </c>
      <c r="M55" s="2" cm="1">
        <f t="array" ref="M55">THETAGREEK($B55,100,0.01,M$44,0.4)</f>
        <v>-19.304604615384939</v>
      </c>
      <c r="N55" s="2" cm="1">
        <f t="array" ref="N55">THETAGREEK($B55,100,0.01,N$44,0.4)</f>
        <v>-18.490153408458156</v>
      </c>
      <c r="O55" s="2" cm="1">
        <f t="array" ref="O55">THETAGREEK($B55,100,0.01,O$44,0.4)</f>
        <v>-17.765308571531641</v>
      </c>
      <c r="P55" s="2" cm="1">
        <f t="array" ref="P55">THETAGREEK($B55,100,0.01,P$44,0.4)</f>
        <v>-17.114559817089432</v>
      </c>
      <c r="Q55" s="2" cm="1">
        <f t="array" ref="Q55">THETAGREEK($B55,100,0.01,Q$44,0.4)</f>
        <v>-16.525917337130625</v>
      </c>
      <c r="R55" s="2" cm="1">
        <f t="array" ref="R55">THETAGREEK($B55,100,0.01,R$44,0.4)</f>
        <v>-15.989947250682926</v>
      </c>
      <c r="S55" s="2" cm="1">
        <f t="array" ref="S55">THETAGREEK($B55,100,0.01,S$44,0.4)</f>
        <v>-15.499111311348734</v>
      </c>
      <c r="T55" s="2" cm="1">
        <f t="array" ref="T55">THETAGREEK($B55,100,0.01,T$44,0.4)</f>
        <v>-15.047303684995875</v>
      </c>
      <c r="U55" s="2" cm="1">
        <f t="array" ref="U55">THETAGREEK($B55,100,0.01,U$44,0.4)</f>
        <v>-14.629518905731945</v>
      </c>
      <c r="V55" s="2" cm="1">
        <f t="array" ref="V55">THETAGREEK($B55,100,0.01,V$44,0.4)</f>
        <v>-14.241609278967548</v>
      </c>
      <c r="W55" s="2" cm="1">
        <f t="array" ref="W55">THETAGREEK($B55,100,0.01,W$44,0.4)</f>
        <v>-13.880104595512325</v>
      </c>
      <c r="X55" s="2" cm="1">
        <f t="array" ref="X55">THETAGREEK($B55,100,0.01,X$44,0.4)</f>
        <v>-13.542076091696579</v>
      </c>
      <c r="Y55" s="2" cm="1">
        <f t="array" ref="Y55">THETAGREEK($B55,100,0.01,Y$44,0.4)</f>
        <v>-13.225032373286775</v>
      </c>
      <c r="Z55" s="2" cm="1">
        <f t="array" ref="Z55">THETAGREEK($B55,100,0.01,Z$44,0.4)</f>
        <v>-12.926838792551255</v>
      </c>
      <c r="AA55" s="2" cm="1">
        <f t="array" ref="AA55">THETAGREEK($B55,100,0.01,AA$44,0.4)</f>
        <v>-12.645654278926534</v>
      </c>
      <c r="AB55" s="2" cm="1">
        <f t="array" ref="AB55">THETAGREEK($B55,100,0.01,AB$44,0.4)</f>
        <v>-12.379881327173152</v>
      </c>
      <c r="AC55" s="2" cm="1">
        <f t="array" ref="AC55">THETAGREEK($B55,100,0.01,AC$44,0.4)</f>
        <v>-12.128126022344405</v>
      </c>
      <c r="AD55" s="2" cm="1">
        <f t="array" ref="AD55">THETAGREEK($B55,100,0.01,AD$44,0.4)</f>
        <v>-11.889165804749853</v>
      </c>
      <c r="AE55" s="2" cm="1">
        <f t="array" ref="AE55">THETAGREEK($B55,100,0.01,AE$44,0.4)</f>
        <v>-11.661923263882665</v>
      </c>
      <c r="AF55" s="2" cm="1">
        <f t="array" ref="AF55">THETAGREEK($B55,100,0.01,AF$44,0.4)</f>
        <v>-11.445444672340516</v>
      </c>
      <c r="AG55" s="2" cm="1">
        <f t="array" ref="AG55">THETAGREEK($B55,100,0.01,AG$44,0.4)</f>
        <v>-11.23888227861074</v>
      </c>
      <c r="AH55" s="2" cm="1">
        <f t="array" ref="AH55">THETAGREEK($B55,100,0.01,AH$44,0.4)</f>
        <v>-11.041479604687584</v>
      </c>
      <c r="AI55" s="2" cm="1">
        <f t="array" ref="AI55">THETAGREEK($B55,100,0.01,AI$44,0.4)</f>
        <v>-10.852559163800564</v>
      </c>
      <c r="AJ55" s="2" cm="1">
        <f t="array" ref="AJ55">THETAGREEK($B55,100,0.01,AJ$44,0.4)</f>
        <v>-10.67151214101259</v>
      </c>
      <c r="AK55" s="2" cm="1">
        <f t="array" ref="AK55">THETAGREEK($B55,100,0.01,AK$44,0.4)</f>
        <v>-10.497789676318185</v>
      </c>
      <c r="AL55" s="2" cm="1">
        <f t="array" ref="AL55">THETAGREEK($B55,100,0.01,AL$44,0.4)</f>
        <v>-10.330895464123314</v>
      </c>
      <c r="AM55" s="2" cm="1">
        <f t="array" ref="AM55">THETAGREEK($B55,100,0.01,AM$44,0.4)</f>
        <v>-10.170379440364316</v>
      </c>
      <c r="AN55" s="2" cm="1">
        <f t="array" ref="AN55">THETAGREEK($B55,100,0.01,AN$44,0.4)</f>
        <v>-10.01583237319878</v>
      </c>
      <c r="AO55" s="2" cm="1">
        <f t="array" ref="AO55">THETAGREEK($B55,100,0.01,AO$44,0.4)</f>
        <v>-9.8668812082382118</v>
      </c>
      <c r="AP55" s="2" cm="1">
        <f t="array" ref="AP55">THETAGREEK($B55,100,0.01,AP$44,0.4)</f>
        <v>-9.7231850469576777</v>
      </c>
      <c r="AQ55" s="2" cm="1">
        <f t="array" ref="AQ55">THETAGREEK($B55,100,0.01,AQ$44,0.4)</f>
        <v>-9.5844316589024174</v>
      </c>
      <c r="AR55" s="2" cm="1">
        <f t="array" ref="AR55">THETAGREEK($B55,100,0.01,AR$44,0.4)</f>
        <v>-9.4503344458890677</v>
      </c>
      <c r="AS55" s="2" cm="1">
        <f t="array" ref="AS55">THETAGREEK($B55,100,0.01,AS$44,0.4)</f>
        <v>-9.3206297905338982</v>
      </c>
      <c r="AT55" s="2" cm="1">
        <f t="array" ref="AT55">THETAGREEK($B55,100,0.01,AT$44,0.4)</f>
        <v>-9.1950747328692604</v>
      </c>
      <c r="AU55" s="2" cm="1">
        <f t="array" ref="AU55">THETAGREEK($B55,100,0.01,AU$44,0.4)</f>
        <v>-9.0734449280986098</v>
      </c>
      <c r="AV55" s="2" cm="1">
        <f t="array" ref="AV55">THETAGREEK($B55,100,0.01,AV$44,0.4)</f>
        <v>-8.9555328461277401</v>
      </c>
      <c r="AW55" s="2" cm="1">
        <f t="array" ref="AW55">THETAGREEK($B55,100,0.01,AW$44,0.4)</f>
        <v>-8.8411461797368887</v>
      </c>
      <c r="AX55" s="2" cm="1">
        <f t="array" ref="AX55">THETAGREEK($B55,100,0.01,AX$44,0.4)</f>
        <v>-8.7301064333915566</v>
      </c>
      <c r="AY55" s="2" cm="1">
        <f t="array" ref="AY55">THETAGREEK($B55,100,0.01,AY$44,0.4)</f>
        <v>-8.6222476689401457</v>
      </c>
      <c r="AZ55" s="2" cm="1">
        <f t="array" ref="AZ55">THETAGREEK($B55,100,0.01,AZ$44,0.4)</f>
        <v>-8.5174153879798649</v>
      </c>
    </row>
    <row r="56" spans="1:52" x14ac:dyDescent="0.3">
      <c r="A56" s="2"/>
      <c r="B56" s="2">
        <v>115</v>
      </c>
      <c r="C56" s="2" cm="1">
        <f t="array" ref="C56">THETAGREEK($B56,100,0.01,C$44,0.4)</f>
        <v>-37.179611538369791</v>
      </c>
      <c r="D56" s="2" cm="1">
        <f t="array" ref="D56">THETAGREEK($B56,100,0.01,D$44,0.4)</f>
        <v>-35.524768873390926</v>
      </c>
      <c r="E56" s="2" cm="1">
        <f t="array" ref="E56">THETAGREEK($B56,100,0.01,E$44,0.4)</f>
        <v>-32.051987164436682</v>
      </c>
      <c r="F56" s="2" cm="1">
        <f t="array" ref="F56">THETAGREEK($B56,100,0.01,F$44,0.4)</f>
        <v>-29.160643035246085</v>
      </c>
      <c r="G56" s="2" cm="1">
        <f t="array" ref="G56">THETAGREEK($B56,100,0.01,G$44,0.4)</f>
        <v>-26.849218654464391</v>
      </c>
      <c r="H56" s="2" cm="1">
        <f t="array" ref="H56">THETAGREEK($B56,100,0.01,H$44,0.4)</f>
        <v>-24.974648625225402</v>
      </c>
      <c r="I56" s="2" cm="1">
        <f t="array" ref="I56">THETAGREEK($B56,100,0.01,I$44,0.4)</f>
        <v>-23.422855075226487</v>
      </c>
      <c r="J56" s="2" cm="1">
        <f t="array" ref="J56">THETAGREEK($B56,100,0.01,J$44,0.4)</f>
        <v>-22.11358020416958</v>
      </c>
      <c r="K56" s="2" cm="1">
        <f t="array" ref="K56">THETAGREEK($B56,100,0.01,K$44,0.4)</f>
        <v>-20.990671802522918</v>
      </c>
      <c r="L56" s="2" cm="1">
        <f t="array" ref="L56">THETAGREEK($B56,100,0.01,L$44,0.4)</f>
        <v>-20.014124086157256</v>
      </c>
      <c r="M56" s="2" cm="1">
        <f t="array" ref="M56">THETAGREEK($B56,100,0.01,M$44,0.4)</f>
        <v>-19.15477827558173</v>
      </c>
      <c r="N56" s="2" cm="1">
        <f t="array" ref="N56">THETAGREEK($B56,100,0.01,N$44,0.4)</f>
        <v>-18.390901400786429</v>
      </c>
      <c r="O56" s="2" cm="1">
        <f t="array" ref="O56">THETAGREEK($B56,100,0.01,O$44,0.4)</f>
        <v>-17.705959527074931</v>
      </c>
      <c r="P56" s="2" cm="1">
        <f t="array" ref="P56">THETAGREEK($B56,100,0.01,P$44,0.4)</f>
        <v>-17.087140296083405</v>
      </c>
      <c r="Q56" s="2" cm="1">
        <f t="array" ref="Q56">THETAGREEK($B56,100,0.01,Q$44,0.4)</f>
        <v>-16.524350952909458</v>
      </c>
      <c r="R56" s="2" cm="1">
        <f t="array" ref="R56">THETAGREEK($B56,100,0.01,R$44,0.4)</f>
        <v>-16.009523961549462</v>
      </c>
      <c r="S56" s="2" cm="1">
        <f t="array" ref="S56">THETAGREEK($B56,100,0.01,S$44,0.4)</f>
        <v>-15.536125866613002</v>
      </c>
      <c r="T56" s="2" cm="1">
        <f t="array" ref="T56">THETAGREEK($B56,100,0.01,T$44,0.4)</f>
        <v>-15.098803306256048</v>
      </c>
      <c r="U56" s="2" cm="1">
        <f t="array" ref="U56">THETAGREEK($B56,100,0.01,U$44,0.4)</f>
        <v>-14.693123438880427</v>
      </c>
      <c r="V56" s="2" cm="1">
        <f t="array" ref="V56">THETAGREEK($B56,100,0.01,V$44,0.4)</f>
        <v>-14.315380581948105</v>
      </c>
      <c r="W56" s="2" cm="1">
        <f t="array" ref="W56">THETAGREEK($B56,100,0.01,W$44,0.4)</f>
        <v>-13.96245008889832</v>
      </c>
      <c r="X56" s="2" cm="1">
        <f t="array" ref="X56">THETAGREEK($B56,100,0.01,X$44,0.4)</f>
        <v>-13.631676464221403</v>
      </c>
      <c r="Y56" s="2" cm="1">
        <f t="array" ref="Y56">THETAGREEK($B56,100,0.01,Y$44,0.4)</f>
        <v>-13.320786657810714</v>
      </c>
      <c r="Z56" s="2" cm="1">
        <f t="array" ref="Z56">THETAGREEK($B56,100,0.01,Z$44,0.4)</f>
        <v>-13.02782212613654</v>
      </c>
      <c r="AA56" s="2" cm="1">
        <f t="array" ref="AA56">THETAGREEK($B56,100,0.01,AA$44,0.4)</f>
        <v>-12.751085054606481</v>
      </c>
      <c r="AB56" s="2" cm="1">
        <f t="array" ref="AB56">THETAGREEK($B56,100,0.01,AB$44,0.4)</f>
        <v>-12.48909538832423</v>
      </c>
      <c r="AC56" s="2" cm="1">
        <f t="array" ref="AC56">THETAGREEK($B56,100,0.01,AC$44,0.4)</f>
        <v>-12.240556199809197</v>
      </c>
      <c r="AD56" s="2" cm="1">
        <f t="array" ref="AD56">THETAGREEK($B56,100,0.01,AD$44,0.4)</f>
        <v>-12.004325550641733</v>
      </c>
      <c r="AE56" s="2" cm="1">
        <f t="array" ref="AE56">THETAGREEK($B56,100,0.01,AE$44,0.4)</f>
        <v>-11.779393457699104</v>
      </c>
      <c r="AF56" s="2" cm="1">
        <f t="array" ref="AF56">THETAGREEK($B56,100,0.01,AF$44,0.4)</f>
        <v>-11.564862906067749</v>
      </c>
      <c r="AG56" s="2" cm="1">
        <f t="array" ref="AG56">THETAGREEK($B56,100,0.01,AG$44,0.4)</f>
        <v>-11.35993409547417</v>
      </c>
      <c r="AH56" s="2" cm="1">
        <f t="array" ref="AH56">THETAGREEK($B56,100,0.01,AH$44,0.4)</f>
        <v>-11.163891289689605</v>
      </c>
      <c r="AI56" s="2" cm="1">
        <f t="array" ref="AI56">THETAGREEK($B56,100,0.01,AI$44,0.4)</f>
        <v>-10.976091775922889</v>
      </c>
      <c r="AJ56" s="2" cm="1">
        <f t="array" ref="AJ56">THETAGREEK($B56,100,0.01,AJ$44,0.4)</f>
        <v>-10.795956545773718</v>
      </c>
      <c r="AK56" s="2" cm="1">
        <f t="array" ref="AK56">THETAGREEK($B56,100,0.01,AK$44,0.4)</f>
        <v>-10.622962389467148</v>
      </c>
      <c r="AL56" s="2" cm="1">
        <f t="array" ref="AL56">THETAGREEK($B56,100,0.01,AL$44,0.4)</f>
        <v>-10.456635157019448</v>
      </c>
      <c r="AM56" s="2" cm="1">
        <f t="array" ref="AM56">THETAGREEK($B56,100,0.01,AM$44,0.4)</f>
        <v>-10.29654398819792</v>
      </c>
      <c r="AN56" s="2" cm="1">
        <f t="array" ref="AN56">THETAGREEK($B56,100,0.01,AN$44,0.4)</f>
        <v>-10.142296350938341</v>
      </c>
      <c r="AO56" s="2" cm="1">
        <f t="array" ref="AO56">THETAGREEK($B56,100,0.01,AO$44,0.4)</f>
        <v>-9.9935337577213215</v>
      </c>
      <c r="AP56" s="2" cm="1">
        <f t="array" ref="AP56">THETAGREEK($B56,100,0.01,AP$44,0.4)</f>
        <v>-9.8499280531109576</v>
      </c>
      <c r="AQ56" s="2" cm="1">
        <f t="array" ref="AQ56">THETAGREEK($B56,100,0.01,AQ$44,0.4)</f>
        <v>-9.7111781846012253</v>
      </c>
      <c r="AR56" s="2" cm="1">
        <f t="array" ref="AR56">THETAGREEK($B56,100,0.01,AR$44,0.4)</f>
        <v>-9.5770073841403622</v>
      </c>
      <c r="AS56" s="2" cm="1">
        <f t="array" ref="AS56">THETAGREEK($B56,100,0.01,AS$44,0.4)</f>
        <v>-9.4471607000076538</v>
      </c>
      <c r="AT56" s="2" cm="1">
        <f t="array" ref="AT56">THETAGREEK($B56,100,0.01,AT$44,0.4)</f>
        <v>-9.3214028287120225</v>
      </c>
      <c r="AU56" s="2" cm="1">
        <f t="array" ref="AU56">THETAGREEK($B56,100,0.01,AU$44,0.4)</f>
        <v>-9.1995162047418244</v>
      </c>
      <c r="AV56" s="2" cm="1">
        <f t="array" ref="AV56">THETAGREEK($B56,100,0.01,AV$44,0.4)</f>
        <v>-9.0812993126879107</v>
      </c>
      <c r="AW56" s="2" cm="1">
        <f t="array" ref="AW56">THETAGREEK($B56,100,0.01,AW$44,0.4)</f>
        <v>-8.9665651917767413</v>
      </c>
      <c r="AX56" s="2" cm="1">
        <f t="array" ref="AX56">THETAGREEK($B56,100,0.01,AX$44,0.4)</f>
        <v>-8.8551401074132041</v>
      </c>
      <c r="AY56" s="2" cm="1">
        <f t="array" ref="AY56">THETAGREEK($B56,100,0.01,AY$44,0.4)</f>
        <v>-8.7468623681244839</v>
      </c>
      <c r="AZ56" s="2" cm="1">
        <f t="array" ref="AZ56">THETAGREEK($B56,100,0.01,AZ$44,0.4)</f>
        <v>-8.6415812694589675</v>
      </c>
    </row>
    <row r="57" spans="1:52" x14ac:dyDescent="0.3">
      <c r="A57" s="2"/>
      <c r="B57" s="2">
        <v>120</v>
      </c>
      <c r="C57" s="2" cm="1">
        <f t="array" ref="C57">THETAGREEK($B57,100,0.01,C$44,0.4)</f>
        <v>-25.031009743961881</v>
      </c>
      <c r="D57" s="2" cm="1">
        <f t="array" ref="D57">THETAGREEK($B57,100,0.01,D$44,0.4)</f>
        <v>-29.416601338679808</v>
      </c>
      <c r="E57" s="2" cm="1">
        <f t="array" ref="E57">THETAGREEK($B57,100,0.01,E$44,0.4)</f>
        <v>-28.454424288344111</v>
      </c>
      <c r="F57" s="2" cm="1">
        <f t="array" ref="F57">THETAGREEK($B57,100,0.01,F$44,0.4)</f>
        <v>-26.806299936344924</v>
      </c>
      <c r="G57" s="2" cm="1">
        <f t="array" ref="G57">THETAGREEK($B57,100,0.01,G$44,0.4)</f>
        <v>-25.203545355676024</v>
      </c>
      <c r="H57" s="2" cm="1">
        <f t="array" ref="H57">THETAGREEK($B57,100,0.01,H$44,0.4)</f>
        <v>-23.773232610165483</v>
      </c>
      <c r="I57" s="2" cm="1">
        <f t="array" ref="I57">THETAGREEK($B57,100,0.01,I$44,0.4)</f>
        <v>-22.519272061863322</v>
      </c>
      <c r="J57" s="2" cm="1">
        <f t="array" ref="J57">THETAGREEK($B57,100,0.01,J$44,0.4)</f>
        <v>-21.419816724109509</v>
      </c>
      <c r="K57" s="2" cm="1">
        <f t="array" ref="K57">THETAGREEK($B57,100,0.01,K$44,0.4)</f>
        <v>-20.450449852132799</v>
      </c>
      <c r="L57" s="2" cm="1">
        <f t="array" ref="L57">THETAGREEK($B57,100,0.01,L$44,0.4)</f>
        <v>-19.589681622437613</v>
      </c>
      <c r="M57" s="2" cm="1">
        <f t="array" ref="M57">THETAGREEK($B57,100,0.01,M$44,0.4)</f>
        <v>-18.819780985547371</v>
      </c>
      <c r="N57" s="2" cm="1">
        <f t="array" ref="N57">THETAGREEK($B57,100,0.01,N$44,0.4)</f>
        <v>-18.126395793008371</v>
      </c>
      <c r="O57" s="2" cm="1">
        <f t="array" ref="O57">THETAGREEK($B57,100,0.01,O$44,0.4)</f>
        <v>-17.497941157818328</v>
      </c>
      <c r="P57" s="2" cm="1">
        <f t="array" ref="P57">THETAGREEK($B57,100,0.01,P$44,0.4)</f>
        <v>-16.925029129455559</v>
      </c>
      <c r="Q57" s="2" cm="1">
        <f t="array" ref="Q57">THETAGREEK($B57,100,0.01,Q$44,0.4)</f>
        <v>-16.400000599086255</v>
      </c>
      <c r="R57" s="2" cm="1">
        <f t="array" ref="R57">THETAGREEK($B57,100,0.01,R$44,0.4)</f>
        <v>-15.916557824985999</v>
      </c>
      <c r="S57" s="2" cm="1">
        <f t="array" ref="S57">THETAGREEK($B57,100,0.01,S$44,0.4)</f>
        <v>-15.469480401357789</v>
      </c>
      <c r="T57" s="2" cm="1">
        <f t="array" ref="T57">THETAGREEK($B57,100,0.01,T$44,0.4)</f>
        <v>-15.054406413619335</v>
      </c>
      <c r="U57" s="2" cm="1">
        <f t="array" ref="U57">THETAGREEK($B57,100,0.01,U$44,0.4)</f>
        <v>-14.667663361239585</v>
      </c>
      <c r="V57" s="2" cm="1">
        <f t="array" ref="V57">THETAGREEK($B57,100,0.01,V$44,0.4)</f>
        <v>-14.306136797937674</v>
      </c>
      <c r="W57" s="2" cm="1">
        <f t="array" ref="W57">THETAGREEK($B57,100,0.01,W$44,0.4)</f>
        <v>-13.967167560980085</v>
      </c>
      <c r="X57" s="2" cm="1">
        <f t="array" ref="X57">THETAGREEK($B57,100,0.01,X$44,0.4)</f>
        <v>-13.648470756736174</v>
      </c>
      <c r="Y57" s="2" cm="1">
        <f t="array" ref="Y57">THETAGREEK($B57,100,0.01,Y$44,0.4)</f>
        <v>-13.34807140148485</v>
      </c>
      <c r="Z57" s="2" cm="1">
        <f t="array" ref="Z57">THETAGREEK($B57,100,0.01,Z$44,0.4)</f>
        <v>-13.064252901169976</v>
      </c>
      <c r="AA57" s="2" cm="1">
        <f t="array" ref="AA57">THETAGREEK($B57,100,0.01,AA$44,0.4)</f>
        <v>-12.795515501395581</v>
      </c>
      <c r="AB57" s="2" cm="1">
        <f t="array" ref="AB57">THETAGREEK($B57,100,0.01,AB$44,0.4)</f>
        <v>-12.540542538004702</v>
      </c>
      <c r="AC57" s="2" cm="1">
        <f t="array" ref="AC57">THETAGREEK($B57,100,0.01,AC$44,0.4)</f>
        <v>-12.298172836035805</v>
      </c>
      <c r="AD57" s="2" cm="1">
        <f t="array" ref="AD57">THETAGREEK($B57,100,0.01,AD$44,0.4)</f>
        <v>-12.067377989870016</v>
      </c>
      <c r="AE57" s="2" cm="1">
        <f t="array" ref="AE57">THETAGREEK($B57,100,0.01,AE$44,0.4)</f>
        <v>-11.847243545642444</v>
      </c>
      <c r="AF57" s="2" cm="1">
        <f t="array" ref="AF57">THETAGREEK($B57,100,0.01,AF$44,0.4)</f>
        <v>-11.636953324259768</v>
      </c>
      <c r="AG57" s="2" cm="1">
        <f t="array" ref="AG57">THETAGREEK($B57,100,0.01,AG$44,0.4)</f>
        <v>-11.435776288265139</v>
      </c>
      <c r="AH57" s="2" cm="1">
        <f t="array" ref="AH57">THETAGREEK($B57,100,0.01,AH$44,0.4)</f>
        <v>-11.243055481817516</v>
      </c>
      <c r="AI57" s="2" cm="1">
        <f t="array" ref="AI57">THETAGREEK($B57,100,0.01,AI$44,0.4)</f>
        <v>-11.058198670034947</v>
      </c>
      <c r="AJ57" s="2" cm="1">
        <f t="array" ref="AJ57">THETAGREEK($B57,100,0.01,AJ$44,0.4)</f>
        <v>-10.880670379087807</v>
      </c>
      <c r="AK57" s="2" cm="1">
        <f t="array" ref="AK57">THETAGREEK($B57,100,0.01,AK$44,0.4)</f>
        <v>-10.709985097021901</v>
      </c>
      <c r="AL57" s="2" cm="1">
        <f t="array" ref="AL57">THETAGREEK($B57,100,0.01,AL$44,0.4)</f>
        <v>-10.545701441275074</v>
      </c>
      <c r="AM57" s="2" cm="1">
        <f t="array" ref="AM57">THETAGREEK($B57,100,0.01,AM$44,0.4)</f>
        <v>-10.387417135159254</v>
      </c>
      <c r="AN57" s="2" cm="1">
        <f t="array" ref="AN57">THETAGREEK($B57,100,0.01,AN$44,0.4)</f>
        <v>-10.234764664417828</v>
      </c>
      <c r="AO57" s="2" cm="1">
        <f t="array" ref="AO57">THETAGREEK($B57,100,0.01,AO$44,0.4)</f>
        <v>-10.087407508002123</v>
      </c>
      <c r="AP57" s="2" cm="1">
        <f t="array" ref="AP57">THETAGREEK($B57,100,0.01,AP$44,0.4)</f>
        <v>-9.9450368557090769</v>
      </c>
      <c r="AQ57" s="2" cm="1">
        <f t="array" ref="AQ57">THETAGREEK($B57,100,0.01,AQ$44,0.4)</f>
        <v>-9.8073687402551872</v>
      </c>
      <c r="AR57" s="2" cm="1">
        <f t="array" ref="AR57">THETAGREEK($B57,100,0.01,AR$44,0.4)</f>
        <v>-9.6741415234772887</v>
      </c>
      <c r="AS57" s="2" cm="1">
        <f t="array" ref="AS57">THETAGREEK($B57,100,0.01,AS$44,0.4)</f>
        <v>-9.5451136862271149</v>
      </c>
      <c r="AT57" s="2" cm="1">
        <f t="array" ref="AT57">THETAGREEK($B57,100,0.01,AT$44,0.4)</f>
        <v>-9.4200618796149946</v>
      </c>
      <c r="AU57" s="2" cm="1">
        <f t="array" ref="AU57">THETAGREEK($B57,100,0.01,AU$44,0.4)</f>
        <v>-9.2987792019114028</v>
      </c>
      <c r="AV57" s="2" cm="1">
        <f t="array" ref="AV57">THETAGREEK($B57,100,0.01,AV$44,0.4)</f>
        <v>-9.1810736709110472</v>
      </c>
      <c r="AW57" s="2" cm="1">
        <f t="array" ref="AW57">THETAGREEK($B57,100,0.01,AW$44,0.4)</f>
        <v>-9.0667668661228102</v>
      </c>
      <c r="AX57" s="2" cm="1">
        <f t="array" ref="AX57">THETAGREEK($B57,100,0.01,AX$44,0.4)</f>
        <v>-8.9556927189446895</v>
      </c>
      <c r="AY57" s="2" cm="1">
        <f t="array" ref="AY57">THETAGREEK($B57,100,0.01,AY$44,0.4)</f>
        <v>-8.8476964321553329</v>
      </c>
      <c r="AZ57" s="2" cm="1">
        <f t="array" ref="AZ57">THETAGREEK($B57,100,0.01,AZ$44,0.4)</f>
        <v>-8.7426335127152388</v>
      </c>
    </row>
    <row r="58" spans="1:52" x14ac:dyDescent="0.3">
      <c r="A58" s="2"/>
      <c r="B58" s="2">
        <v>125</v>
      </c>
      <c r="C58" s="2" cm="1">
        <f t="array" ref="C58">THETAGREEK($B58,100,0.01,C$44,0.4)</f>
        <v>-15.590626428252394</v>
      </c>
      <c r="D58" s="2" cm="1">
        <f t="array" ref="D58">THETAGREEK($B58,100,0.01,D$44,0.4)</f>
        <v>-23.350865930149737</v>
      </c>
      <c r="E58" s="2" cm="1">
        <f t="array" ref="E58">THETAGREEK($B58,100,0.01,E$44,0.4)</f>
        <v>-24.541966166284343</v>
      </c>
      <c r="F58" s="2" cm="1">
        <f t="array" ref="F58">THETAGREEK($B58,100,0.01,F$44,0.4)</f>
        <v>-24.106221782218732</v>
      </c>
      <c r="G58" s="2" cm="1">
        <f t="array" ref="G58">THETAGREEK($B58,100,0.01,G$44,0.4)</f>
        <v>-23.241177866799891</v>
      </c>
      <c r="H58" s="2" cm="1">
        <f t="array" ref="H58">THETAGREEK($B58,100,0.01,H$44,0.4)</f>
        <v>-22.29261162849717</v>
      </c>
      <c r="I58" s="2" cm="1">
        <f t="array" ref="I58">THETAGREEK($B58,100,0.01,I$44,0.4)</f>
        <v>-21.37105221109379</v>
      </c>
      <c r="J58" s="2" cm="1">
        <f t="array" ref="J58">THETAGREEK($B58,100,0.01,J$44,0.4)</f>
        <v>-20.510973091767799</v>
      </c>
      <c r="K58" s="2" cm="1">
        <f t="array" ref="K58">THETAGREEK($B58,100,0.01,K$44,0.4)</f>
        <v>-19.719919071065551</v>
      </c>
      <c r="L58" s="2" cm="1">
        <f t="array" ref="L58">THETAGREEK($B58,100,0.01,L$44,0.4)</f>
        <v>-18.995646941140482</v>
      </c>
      <c r="M58" s="2" cm="1">
        <f t="array" ref="M58">THETAGREEK($B58,100,0.01,M$44,0.4)</f>
        <v>-18.332595374331166</v>
      </c>
      <c r="N58" s="2" cm="1">
        <f t="array" ref="N58">THETAGREEK($B58,100,0.01,N$44,0.4)</f>
        <v>-17.724425364021762</v>
      </c>
      <c r="O58" s="2" cm="1">
        <f t="array" ref="O58">THETAGREEK($B58,100,0.01,O$44,0.4)</f>
        <v>-17.165010906361335</v>
      </c>
      <c r="P58" s="2" cm="1">
        <f t="array" ref="P58">THETAGREEK($B58,100,0.01,P$44,0.4)</f>
        <v>-16.648791994805467</v>
      </c>
      <c r="Q58" s="2" cm="1">
        <f t="array" ref="Q58">THETAGREEK($B58,100,0.01,Q$44,0.4)</f>
        <v>-16.170861346350339</v>
      </c>
      <c r="R58" s="2" cm="1">
        <f t="array" ref="R58">THETAGREEK($B58,100,0.01,R$44,0.4)</f>
        <v>-15.726942579192396</v>
      </c>
      <c r="S58" s="2" cm="1">
        <f t="array" ref="S58">THETAGREEK($B58,100,0.01,S$44,0.4)</f>
        <v>-15.313328389546093</v>
      </c>
      <c r="T58" s="2" cm="1">
        <f t="array" ref="T58">THETAGREEK($B58,100,0.01,T$44,0.4)</f>
        <v>-14.92680854099507</v>
      </c>
      <c r="U58" s="2" cm="1">
        <f t="array" ref="U58">THETAGREEK($B58,100,0.01,U$44,0.4)</f>
        <v>-14.564600199920898</v>
      </c>
      <c r="V58" s="2" cm="1">
        <f t="array" ref="V58">THETAGREEK($B58,100,0.01,V$44,0.4)</f>
        <v>-14.224285350952288</v>
      </c>
      <c r="W58" s="2" cm="1">
        <f t="array" ref="W58">THETAGREEK($B58,100,0.01,W$44,0.4)</f>
        <v>-13.903756533912599</v>
      </c>
      <c r="X58" s="2" cm="1">
        <f t="array" ref="X58">THETAGREEK($B58,100,0.01,X$44,0.4)</f>
        <v>-13.60117064175374</v>
      </c>
      <c r="Y58" s="2" cm="1">
        <f t="array" ref="Y58">THETAGREEK($B58,100,0.01,Y$44,0.4)</f>
        <v>-13.314909940703757</v>
      </c>
      <c r="Z58" s="2" cm="1">
        <f t="array" ref="Z58">THETAGREEK($B58,100,0.01,Z$44,0.4)</f>
        <v>-13.043549318377602</v>
      </c>
      <c r="AA58" s="2" cm="1">
        <f t="array" ref="AA58">THETAGREEK($B58,100,0.01,AA$44,0.4)</f>
        <v>-12.785828795177865</v>
      </c>
      <c r="AB58" s="2" cm="1">
        <f t="array" ref="AB58">THETAGREEK($B58,100,0.01,AB$44,0.4)</f>
        <v>-12.540630436247614</v>
      </c>
      <c r="AC58" s="2" cm="1">
        <f t="array" ref="AC58">THETAGREEK($B58,100,0.01,AC$44,0.4)</f>
        <v>-12.306958923058673</v>
      </c>
      <c r="AD58" s="2" cm="1">
        <f t="array" ref="AD58">THETAGREEK($B58,100,0.01,AD$44,0.4)</f>
        <v>-12.083925162130527</v>
      </c>
      <c r="AE58" s="2" cm="1">
        <f t="array" ref="AE58">THETAGREEK($B58,100,0.01,AE$44,0.4)</f>
        <v>-11.870732414150437</v>
      </c>
      <c r="AF58" s="2" cm="1">
        <f t="array" ref="AF58">THETAGREEK($B58,100,0.01,AF$44,0.4)</f>
        <v>-11.666664517318097</v>
      </c>
      <c r="AG58" s="2" cm="1">
        <f t="array" ref="AG58">THETAGREEK($B58,100,0.01,AG$44,0.4)</f>
        <v>-11.471075854464759</v>
      </c>
      <c r="AH58" s="2" cm="1">
        <f t="array" ref="AH58">THETAGREEK($B58,100,0.01,AH$44,0.4)</f>
        <v>-11.283382775989121</v>
      </c>
      <c r="AI58" s="2" cm="1">
        <f t="array" ref="AI58">THETAGREEK($B58,100,0.01,AI$44,0.4)</f>
        <v>-11.103056241842586</v>
      </c>
      <c r="AJ58" s="2" cm="1">
        <f t="array" ref="AJ58">THETAGREEK($B58,100,0.01,AJ$44,0.4)</f>
        <v>-10.92961548757123</v>
      </c>
      <c r="AK58" s="2" cm="1">
        <f t="array" ref="AK58">THETAGREEK($B58,100,0.01,AK$44,0.4)</f>
        <v>-10.762622553463615</v>
      </c>
      <c r="AL58" s="2" cm="1">
        <f t="array" ref="AL58">THETAGREEK($B58,100,0.01,AL$44,0.4)</f>
        <v>-10.601677543597267</v>
      </c>
      <c r="AM58" s="2" cm="1">
        <f t="array" ref="AM58">THETAGREEK($B58,100,0.01,AM$44,0.4)</f>
        <v>-10.446414504213447</v>
      </c>
      <c r="AN58" s="2" cm="1">
        <f t="array" ref="AN58">THETAGREEK($B58,100,0.01,AN$44,0.4)</f>
        <v>-10.296497829354273</v>
      </c>
      <c r="AO58" s="2" cm="1">
        <f t="array" ref="AO58">THETAGREEK($B58,100,0.01,AO$44,0.4)</f>
        <v>-10.151619116858223</v>
      </c>
      <c r="AP58" s="2" cm="1">
        <f t="array" ref="AP58">THETAGREEK($B58,100,0.01,AP$44,0.4)</f>
        <v>-10.01149441026657</v>
      </c>
      <c r="AQ58" s="2" cm="1">
        <f t="array" ref="AQ58">THETAGREEK($B58,100,0.01,AQ$44,0.4)</f>
        <v>-9.8758617724565596</v>
      </c>
      <c r="AR58" s="2" cm="1">
        <f t="array" ref="AR58">THETAGREEK($B58,100,0.01,AR$44,0.4)</f>
        <v>-9.7444791452990476</v>
      </c>
      <c r="AS58" s="2" cm="1">
        <f t="array" ref="AS58">THETAGREEK($B58,100,0.01,AS$44,0.4)</f>
        <v>-9.6171224566696338</v>
      </c>
      <c r="AT58" s="2" cm="1">
        <f t="array" ref="AT58">THETAGREEK($B58,100,0.01,AT$44,0.4)</f>
        <v>-9.4935839419893515</v>
      </c>
      <c r="AU58" s="2" cm="1">
        <f t="array" ref="AU58">THETAGREEK($B58,100,0.01,AU$44,0.4)</f>
        <v>-9.3736706523487037</v>
      </c>
      <c r="AV58" s="2" cm="1">
        <f t="array" ref="AV58">THETAGREEK($B58,100,0.01,AV$44,0.4)</f>
        <v>-9.2572031253501876</v>
      </c>
      <c r="AW58" s="2" cm="1">
        <f t="array" ref="AW58">THETAGREEK($B58,100,0.01,AW$44,0.4)</f>
        <v>-9.1440141982305043</v>
      </c>
      <c r="AX58" s="2" cm="1">
        <f t="array" ref="AX58">THETAGREEK($B58,100,0.01,AX$44,0.4)</f>
        <v>-9.0339479457077498</v>
      </c>
      <c r="AY58" s="2" cm="1">
        <f t="array" ref="AY58">THETAGREEK($B58,100,0.01,AY$44,0.4)</f>
        <v>-8.9268587274346203</v>
      </c>
      <c r="AZ58" s="2" cm="1">
        <f t="array" ref="AZ58">THETAGREEK($B58,100,0.01,AZ$44,0.4)</f>
        <v>-8.8226103320011529</v>
      </c>
    </row>
    <row r="59" spans="1:52" x14ac:dyDescent="0.3">
      <c r="A59" s="2"/>
      <c r="B59" s="2">
        <v>130</v>
      </c>
      <c r="C59" s="2" cm="1">
        <f t="array" ref="C59">THETAGREEK($B59,100,0.01,C$44,0.4)</f>
        <v>-9.1887743747451296</v>
      </c>
      <c r="D59" s="2" cm="1">
        <f t="array" ref="D59">THETAGREEK($B59,100,0.01,D$44,0.4)</f>
        <v>-17.894676280314222</v>
      </c>
      <c r="E59" s="2" cm="1">
        <f t="array" ref="E59">THETAGREEK($B59,100,0.01,E$44,0.4)</f>
        <v>-20.653164577005441</v>
      </c>
      <c r="F59" s="2" cm="1">
        <f t="array" ref="F59">THETAGREEK($B59,100,0.01,F$44,0.4)</f>
        <v>-21.272314050199732</v>
      </c>
      <c r="G59" s="2" cm="1">
        <f t="array" ref="G59">THETAGREEK($B59,100,0.01,G$44,0.4)</f>
        <v>-21.104545901392527</v>
      </c>
      <c r="H59" s="2" cm="1">
        <f t="array" ref="H59">THETAGREEK($B59,100,0.01,H$44,0.4)</f>
        <v>-20.634273550891546</v>
      </c>
      <c r="I59" s="2" cm="1">
        <f t="array" ref="I59">THETAGREEK($B59,100,0.01,I$44,0.4)</f>
        <v>-20.053886639686645</v>
      </c>
      <c r="J59" s="2" cm="1">
        <f t="array" ref="J59">THETAGREEK($B59,100,0.01,J$44,0.4)</f>
        <v>-19.445565881742905</v>
      </c>
      <c r="K59" s="2" cm="1">
        <f t="array" ref="K59">THETAGREEK($B59,100,0.01,K$44,0.4)</f>
        <v>-18.845638847862453</v>
      </c>
      <c r="L59" s="2" cm="1">
        <f t="array" ref="L59">THETAGREEK($B59,100,0.01,L$44,0.4)</f>
        <v>-18.269944293028711</v>
      </c>
      <c r="M59" s="2" cm="1">
        <f t="array" ref="M59">THETAGREEK($B59,100,0.01,M$44,0.4)</f>
        <v>-17.724717561123061</v>
      </c>
      <c r="N59" s="2" cm="1">
        <f t="array" ref="N59">THETAGREEK($B59,100,0.01,N$44,0.4)</f>
        <v>-17.211577575410026</v>
      </c>
      <c r="O59" s="2" cm="1">
        <f t="array" ref="O59">THETAGREEK($B59,100,0.01,O$44,0.4)</f>
        <v>-16.729925850254141</v>
      </c>
      <c r="P59" s="2" cm="1">
        <f t="array" ref="P59">THETAGREEK($B59,100,0.01,P$44,0.4)</f>
        <v>-16.278140883355501</v>
      </c>
      <c r="Q59" s="2" cm="1">
        <f t="array" ref="Q59">THETAGREEK($B59,100,0.01,Q$44,0.4)</f>
        <v>-15.854185016188429</v>
      </c>
      <c r="R59" s="2" cm="1">
        <f t="array" ref="R59">THETAGREEK($B59,100,0.01,R$44,0.4)</f>
        <v>-15.455914169926055</v>
      </c>
      <c r="S59" s="2" cm="1">
        <f t="array" ref="S59">THETAGREEK($B59,100,0.01,S$44,0.4)</f>
        <v>-15.0812332556314</v>
      </c>
      <c r="T59" s="2" cm="1">
        <f t="array" ref="T59">THETAGREEK($B59,100,0.01,T$44,0.4)</f>
        <v>-14.728170029668988</v>
      </c>
      <c r="U59" s="2" cm="1">
        <f t="array" ref="U59">THETAGREEK($B59,100,0.01,U$44,0.4)</f>
        <v>-14.394905552958663</v>
      </c>
      <c r="V59" s="2" cm="1">
        <f t="array" ref="V59">THETAGREEK($B59,100,0.01,V$44,0.4)</f>
        <v>-14.079781705868829</v>
      </c>
      <c r="W59" s="2" cm="1">
        <f t="array" ref="W59">THETAGREEK($B59,100,0.01,W$44,0.4)</f>
        <v>-13.781296888421087</v>
      </c>
      <c r="X59" s="2" cm="1">
        <f t="array" ref="X59">THETAGREEK($B59,100,0.01,X$44,0.4)</f>
        <v>-13.498096010827467</v>
      </c>
      <c r="Y59" s="2" cm="1">
        <f t="array" ref="Y59">THETAGREEK($B59,100,0.01,Y$44,0.4)</f>
        <v>-13.228958120178136</v>
      </c>
      <c r="Z59" s="2" cm="1">
        <f t="array" ref="Z59">THETAGREEK($B59,100,0.01,Z$44,0.4)</f>
        <v>-12.972783473034063</v>
      </c>
      <c r="AA59" s="2" cm="1">
        <f t="array" ref="AA59">THETAGREEK($B59,100,0.01,AA$44,0.4)</f>
        <v>-12.728581001348065</v>
      </c>
      <c r="AB59" s="2" cm="1">
        <f t="array" ref="AB59">THETAGREEK($B59,100,0.01,AB$44,0.4)</f>
        <v>-12.495456634000112</v>
      </c>
      <c r="AC59" s="2" cm="1">
        <f t="array" ref="AC59">THETAGREEK($B59,100,0.01,AC$44,0.4)</f>
        <v>-12.272602664925712</v>
      </c>
      <c r="AD59" s="2" cm="1">
        <f t="array" ref="AD59">THETAGREEK($B59,100,0.01,AD$44,0.4)</f>
        <v>-12.059288209760899</v>
      </c>
      <c r="AE59" s="2" cm="1">
        <f t="array" ref="AE59">THETAGREEK($B59,100,0.01,AE$44,0.4)</f>
        <v>-11.854850714037429</v>
      </c>
      <c r="AF59" s="2" cm="1">
        <f t="array" ref="AF59">THETAGREEK($B59,100,0.01,AF$44,0.4)</f>
        <v>-11.658688437268248</v>
      </c>
      <c r="AG59" s="2" cm="1">
        <f t="array" ref="AG59">THETAGREEK($B59,100,0.01,AG$44,0.4)</f>
        <v>-11.470253821378344</v>
      </c>
      <c r="AH59" s="2" cm="1">
        <f t="array" ref="AH59">THETAGREEK($B59,100,0.01,AH$44,0.4)</f>
        <v>-11.289047648721221</v>
      </c>
      <c r="AI59" s="2" cm="1">
        <f t="array" ref="AI59">THETAGREEK($B59,100,0.01,AI$44,0.4)</f>
        <v>-11.114613898461862</v>
      </c>
      <c r="AJ59" s="2" cm="1">
        <f t="array" ref="AJ59">THETAGREEK($B59,100,0.01,AJ$44,0.4)</f>
        <v>-10.946535216967959</v>
      </c>
      <c r="AK59" s="2" cm="1">
        <f t="array" ref="AK59">THETAGREEK($B59,100,0.01,AK$44,0.4)</f>
        <v>-10.784428926062706</v>
      </c>
      <c r="AL59" s="2" cm="1">
        <f t="array" ref="AL59">THETAGREEK($B59,100,0.01,AL$44,0.4)</f>
        <v>-10.627943501451165</v>
      </c>
      <c r="AM59" s="2" cm="1">
        <f t="array" ref="AM59">THETAGREEK($B59,100,0.01,AM$44,0.4)</f>
        <v>-10.476755461747068</v>
      </c>
      <c r="AN59" s="2" cm="1">
        <f t="array" ref="AN59">THETAGREEK($B59,100,0.01,AN$44,0.4)</f>
        <v>-10.330566616007383</v>
      </c>
      <c r="AO59" s="2" cm="1">
        <f t="array" ref="AO59">THETAGREEK($B59,100,0.01,AO$44,0.4)</f>
        <v>-10.189101624411457</v>
      </c>
      <c r="AP59" s="2" cm="1">
        <f t="array" ref="AP59">THETAGREEK($B59,100,0.01,AP$44,0.4)</f>
        <v>-10.052105832680864</v>
      </c>
      <c r="AQ59" s="2" cm="1">
        <f t="array" ref="AQ59">THETAGREEK($B59,100,0.01,AQ$44,0.4)</f>
        <v>-9.9193433460593479</v>
      </c>
      <c r="AR59" s="2" cm="1">
        <f t="array" ref="AR59">THETAGREEK($B59,100,0.01,AR$44,0.4)</f>
        <v>-9.7905953132186987</v>
      </c>
      <c r="AS59" s="2" cm="1">
        <f t="array" ref="AS59">THETAGREEK($B59,100,0.01,AS$44,0.4)</f>
        <v>-9.665658394396079</v>
      </c>
      <c r="AT59" s="2" cm="1">
        <f t="array" ref="AT59">THETAGREEK($B59,100,0.01,AT$44,0.4)</f>
        <v>-9.5443433914722018</v>
      </c>
      <c r="AU59" s="2" cm="1">
        <f t="array" ref="AU59">THETAGREEK($B59,100,0.01,AU$44,0.4)</f>
        <v>-9.4264740206359434</v>
      </c>
      <c r="AV59" s="2" cm="1">
        <f t="array" ref="AV59">THETAGREEK($B59,100,0.01,AV$44,0.4)</f>
        <v>-9.3118858108113471</v>
      </c>
      <c r="AW59" s="2" cm="1">
        <f t="array" ref="AW59">THETAGREEK($B59,100,0.01,AW$44,0.4)</f>
        <v>-9.200425113203563</v>
      </c>
      <c r="AX59" s="2" cm="1">
        <f t="array" ref="AX59">THETAGREEK($B59,100,0.01,AX$44,0.4)</f>
        <v>-9.0919482091995807</v>
      </c>
      <c r="AY59" s="2" cm="1">
        <f t="array" ref="AY59">THETAGREEK($B59,100,0.01,AY$44,0.4)</f>
        <v>-8.9863205054806716</v>
      </c>
      <c r="AZ59" s="2" cm="1">
        <f t="array" ref="AZ59">THETAGREEK($B59,100,0.01,AZ$44,0.4)</f>
        <v>-8.8834158066028728</v>
      </c>
    </row>
    <row r="60" spans="1:52" x14ac:dyDescent="0.3">
      <c r="A60" s="2"/>
      <c r="B60" s="2">
        <v>135</v>
      </c>
      <c r="C60" s="2" cm="1">
        <f t="array" ref="C60">THETAGREEK($B60,100,0.01,C$44,0.4)</f>
        <v>-5.2890439377254577</v>
      </c>
      <c r="D60" s="2" cm="1">
        <f t="array" ref="D60">THETAGREEK($B60,100,0.01,D$44,0.4)</f>
        <v>-13.332205374942728</v>
      </c>
      <c r="E60" s="2" cm="1">
        <f t="array" ref="E60">THETAGREEK($B60,100,0.01,E$44,0.4)</f>
        <v>-17.024967162006188</v>
      </c>
      <c r="F60" s="2" cm="1">
        <f t="array" ref="F60">THETAGREEK($B60,100,0.01,F$44,0.4)</f>
        <v>-18.471121643499174</v>
      </c>
      <c r="G60" s="2" cm="1">
        <f t="array" ref="G60">THETAGREEK($B60,100,0.01,G$44,0.4)</f>
        <v>-18.912408009557282</v>
      </c>
      <c r="H60" s="2" cm="1">
        <f t="array" ref="H60">THETAGREEK($B60,100,0.01,H$44,0.4)</f>
        <v>-18.885878161990789</v>
      </c>
      <c r="I60" s="2" cm="1">
        <f t="array" ref="I60">THETAGREEK($B60,100,0.01,I$44,0.4)</f>
        <v>-18.634672880701537</v>
      </c>
      <c r="J60" s="2" cm="1">
        <f t="array" ref="J60">THETAGREEK($B60,100,0.01,J$44,0.4)</f>
        <v>-18.276137797145815</v>
      </c>
      <c r="K60" s="2" cm="1">
        <f t="array" ref="K60">THETAGREEK($B60,100,0.01,K$44,0.4)</f>
        <v>-17.869890472751703</v>
      </c>
      <c r="L60" s="2" cm="1">
        <f t="array" ref="L60">THETAGREEK($B60,100,0.01,L$44,0.4)</f>
        <v>-17.447299887840931</v>
      </c>
      <c r="M60" s="2" cm="1">
        <f t="array" ref="M60">THETAGREEK($B60,100,0.01,M$44,0.4)</f>
        <v>-17.025166827316227</v>
      </c>
      <c r="N60" s="2" cm="1">
        <f t="array" ref="N60">THETAGREEK($B60,100,0.01,N$44,0.4)</f>
        <v>-16.612464114094333</v>
      </c>
      <c r="O60" s="2" cm="1">
        <f t="array" ref="O60">THETAGREEK($B60,100,0.01,O$44,0.4)</f>
        <v>-16.21382736124907</v>
      </c>
      <c r="P60" s="2" cm="1">
        <f t="array" ref="P60">THETAGREEK($B60,100,0.01,P$44,0.4)</f>
        <v>-15.831438459246291</v>
      </c>
      <c r="Q60" s="2" cm="1">
        <f t="array" ref="Q60">THETAGREEK($B60,100,0.01,Q$44,0.4)</f>
        <v>-15.466076210869891</v>
      </c>
      <c r="R60" s="2" cm="1">
        <f t="array" ref="R60">THETAGREEK($B60,100,0.01,R$44,0.4)</f>
        <v>-15.117718098288195</v>
      </c>
      <c r="S60" s="2" cm="1">
        <f t="array" ref="S60">THETAGREEK($B60,100,0.01,S$44,0.4)</f>
        <v>-14.785891984201413</v>
      </c>
      <c r="T60" s="2" cm="1">
        <f t="array" ref="T60">THETAGREEK($B60,100,0.01,T$44,0.4)</f>
        <v>-14.469884575995174</v>
      </c>
      <c r="U60" s="2" cm="1">
        <f t="array" ref="U60">THETAGREEK($B60,100,0.01,U$44,0.4)</f>
        <v>-14.168865930641164</v>
      </c>
      <c r="V60" s="2" cm="1">
        <f t="array" ref="V60">THETAGREEK($B60,100,0.01,V$44,0.4)</f>
        <v>-13.881963815425213</v>
      </c>
      <c r="W60" s="2" cm="1">
        <f t="array" ref="W60">THETAGREEK($B60,100,0.01,W$44,0.4)</f>
        <v>-13.608307679095178</v>
      </c>
      <c r="X60" s="2" cm="1">
        <f t="array" ref="X60">THETAGREEK($B60,100,0.01,X$44,0.4)</f>
        <v>-13.347054011372595</v>
      </c>
      <c r="Y60" s="2" cm="1">
        <f t="array" ref="Y60">THETAGREEK($B60,100,0.01,Y$44,0.4)</f>
        <v>-13.097400234942182</v>
      </c>
      <c r="Z60" s="2" cm="1">
        <f t="array" ref="Z60">THETAGREEK($B60,100,0.01,Z$44,0.4)</f>
        <v>-12.858591525510109</v>
      </c>
      <c r="AA60" s="2" cm="1">
        <f t="array" ref="AA60">THETAGREEK($B60,100,0.01,AA$44,0.4)</f>
        <v>-12.629923295302648</v>
      </c>
      <c r="AB60" s="2" cm="1">
        <f t="array" ref="AB60">THETAGREEK($B60,100,0.01,AB$44,0.4)</f>
        <v>-12.410741056550959</v>
      </c>
      <c r="AC60" s="2" cm="1">
        <f t="array" ref="AC60">THETAGREEK($B60,100,0.01,AC$44,0.4)</f>
        <v>-12.20043874774229</v>
      </c>
      <c r="AD60" s="2" cm="1">
        <f t="array" ref="AD60">THETAGREEK($B60,100,0.01,AD$44,0.4)</f>
        <v>-11.998456206655939</v>
      </c>
      <c r="AE60" s="2" cm="1">
        <f t="array" ref="AE60">THETAGREEK($B60,100,0.01,AE$44,0.4)</f>
        <v>-11.804276220970079</v>
      </c>
      <c r="AF60" s="2" cm="1">
        <f t="array" ref="AF60">THETAGREEK($B60,100,0.01,AF$44,0.4)</f>
        <v>-11.617421425276268</v>
      </c>
      <c r="AG60" s="2" cm="1">
        <f t="array" ref="AG60">THETAGREEK($B60,100,0.01,AG$44,0.4)</f>
        <v>-11.437451209287607</v>
      </c>
      <c r="AH60" s="2" cm="1">
        <f t="array" ref="AH60">THETAGREEK($B60,100,0.01,AH$44,0.4)</f>
        <v>-11.263958735049146</v>
      </c>
      <c r="AI60" s="2" cm="1">
        <f t="array" ref="AI60">THETAGREEK($B60,100,0.01,AI$44,0.4)</f>
        <v>-11.096568117907164</v>
      </c>
      <c r="AJ60" s="2" cm="1">
        <f t="array" ref="AJ60">THETAGREEK($B60,100,0.01,AJ$44,0.4)</f>
        <v>-10.934931798477079</v>
      </c>
      <c r="AK60" s="2" cm="1">
        <f t="array" ref="AK60">THETAGREEK($B60,100,0.01,AK$44,0.4)</f>
        <v>-10.778728115462652</v>
      </c>
      <c r="AL60" s="2" cm="1">
        <f t="array" ref="AL60">THETAGREEK($B60,100,0.01,AL$44,0.4)</f>
        <v>-10.62765907841157</v>
      </c>
      <c r="AM60" s="2" cm="1">
        <f t="array" ref="AM60">THETAGREEK($B60,100,0.01,AM$44,0.4)</f>
        <v>-10.481448333049137</v>
      </c>
      <c r="AN60" s="2" cm="1">
        <f t="array" ref="AN60">THETAGREEK($B60,100,0.01,AN$44,0.4)</f>
        <v>-10.339839308203356</v>
      </c>
      <c r="AO60" s="2" cm="1">
        <f t="array" ref="AO60">THETAGREEK($B60,100,0.01,AO$44,0.4)</f>
        <v>-10.202593531525398</v>
      </c>
      <c r="AP60" s="2" cm="1">
        <f t="array" ref="AP60">THETAGREEK($B60,100,0.01,AP$44,0.4)</f>
        <v>-10.069489100560011</v>
      </c>
      <c r="AQ60" s="2" cm="1">
        <f t="array" ref="AQ60">THETAGREEK($B60,100,0.01,AQ$44,0.4)</f>
        <v>-9.9403192957948416</v>
      </c>
      <c r="AR60" s="2" cm="1">
        <f t="array" ref="AR60">THETAGREEK($B60,100,0.01,AR$44,0.4)</f>
        <v>-9.8148913228279362</v>
      </c>
      <c r="AS60" s="2" cm="1">
        <f t="array" ref="AS60">THETAGREEK($B60,100,0.01,AS$44,0.4)</f>
        <v>-9.693025171549067</v>
      </c>
      <c r="AT60" s="2" cm="1">
        <f t="array" ref="AT60">THETAGREEK($B60,100,0.01,AT$44,0.4)</f>
        <v>-9.5745525811100674</v>
      </c>
      <c r="AU60" s="2" cm="1">
        <f t="array" ref="AU60">THETAGREEK($B60,100,0.01,AU$44,0.4)</f>
        <v>-9.4593161003826225</v>
      </c>
      <c r="AV60" s="2" cm="1">
        <f t="array" ref="AV60">THETAGREEK($B60,100,0.01,AV$44,0.4)</f>
        <v>-9.3471682345189411</v>
      </c>
      <c r="AW60" s="2" cm="1">
        <f t="array" ref="AW60">THETAGREEK($B60,100,0.01,AW$44,0.4)</f>
        <v>-9.2379706691118653</v>
      </c>
      <c r="AX60" s="2" cm="1">
        <f t="array" ref="AX60">THETAGREEK($B60,100,0.01,AX$44,0.4)</f>
        <v>-9.1315935642788695</v>
      </c>
      <c r="AY60" s="2" cm="1">
        <f t="array" ref="AY60">THETAGREEK($B60,100,0.01,AY$44,0.4)</f>
        <v>-9.0279149117605026</v>
      </c>
      <c r="AZ60" s="2" cm="1">
        <f t="array" ref="AZ60">THETAGREEK($B60,100,0.01,AZ$44,0.4)</f>
        <v>-8.9268199488255018</v>
      </c>
    </row>
    <row r="61" spans="1:52" x14ac:dyDescent="0.3">
      <c r="A61" s="2"/>
      <c r="B61" s="2">
        <v>140</v>
      </c>
      <c r="C61" s="2" cm="1">
        <f t="array" ref="C61">THETAGREEK($B61,100,0.01,C$44,0.4)</f>
        <v>-3.1137977089811937</v>
      </c>
      <c r="D61" s="2" cm="1">
        <f t="array" ref="D61">THETAGREEK($B61,100,0.01,D$44,0.4)</f>
        <v>-9.7292738362349063</v>
      </c>
      <c r="E61" s="2" cm="1">
        <f t="array" ref="E61">THETAGREEK($B61,100,0.01,E$44,0.4)</f>
        <v>-13.798421926487569</v>
      </c>
      <c r="F61" s="2" cm="1">
        <f t="array" ref="F61">THETAGREEK($B61,100,0.01,F$44,0.4)</f>
        <v>-15.821932820036531</v>
      </c>
      <c r="G61" s="2" cm="1">
        <f t="array" ref="G61">THETAGREEK($B61,100,0.01,G$44,0.4)</f>
        <v>-16.75732723017083</v>
      </c>
      <c r="H61" s="2" cm="1">
        <f t="array" ref="H61">THETAGREEK($B61,100,0.01,H$44,0.4)</f>
        <v>-17.119153950835486</v>
      </c>
      <c r="I61" s="2" cm="1">
        <f t="array" ref="I61">THETAGREEK($B61,100,0.01,I$44,0.4)</f>
        <v>-17.169894868486839</v>
      </c>
      <c r="J61" s="2" cm="1">
        <f t="array" ref="J61">THETAGREEK($B61,100,0.01,J$44,0.4)</f>
        <v>-17.04802510814012</v>
      </c>
      <c r="K61" s="2" cm="1">
        <f t="array" ref="K61">THETAGREEK($B61,100,0.01,K$44,0.4)</f>
        <v>-16.829733710768746</v>
      </c>
      <c r="L61" s="2" cm="1">
        <f t="array" ref="L61">THETAGREEK($B61,100,0.01,L$44,0.4)</f>
        <v>-16.558511439780549</v>
      </c>
      <c r="M61" s="2" cm="1">
        <f t="array" ref="M61">THETAGREEK($B61,100,0.01,M$44,0.4)</f>
        <v>-16.259912854994347</v>
      </c>
      <c r="N61" s="2" cm="1">
        <f t="array" ref="N61">THETAGREEK($B61,100,0.01,N$44,0.4)</f>
        <v>-15.949266238010781</v>
      </c>
      <c r="O61" s="2" cm="1">
        <f t="array" ref="O61">THETAGREEK($B61,100,0.01,O$44,0.4)</f>
        <v>-15.635876096492584</v>
      </c>
      <c r="P61" s="2" cm="1">
        <f t="array" ref="P61">THETAGREEK($B61,100,0.01,P$44,0.4)</f>
        <v>-15.325402014990074</v>
      </c>
      <c r="Q61" s="2" cm="1">
        <f t="array" ref="Q61">THETAGREEK($B61,100,0.01,Q$44,0.4)</f>
        <v>-15.021250010114995</v>
      </c>
      <c r="R61" s="2" cm="1">
        <f t="array" ref="R61">THETAGREEK($B61,100,0.01,R$44,0.4)</f>
        <v>-14.725409501687867</v>
      </c>
      <c r="S61" s="2" cm="1">
        <f t="array" ref="S61">THETAGREEK($B61,100,0.01,S$44,0.4)</f>
        <v>-14.438969000463024</v>
      </c>
      <c r="T61" s="2" cm="1">
        <f t="array" ref="T61">THETAGREEK($B61,100,0.01,T$44,0.4)</f>
        <v>-14.162440340450717</v>
      </c>
      <c r="U61" s="2" cm="1">
        <f t="array" ref="U61">THETAGREEK($B61,100,0.01,U$44,0.4)</f>
        <v>-13.895966004276337</v>
      </c>
      <c r="V61" s="2" cm="1">
        <f t="array" ref="V61">THETAGREEK($B61,100,0.01,V$44,0.4)</f>
        <v>-13.639453524384995</v>
      </c>
      <c r="W61" s="2" cm="1">
        <f t="array" ref="W61">THETAGREEK($B61,100,0.01,W$44,0.4)</f>
        <v>-13.392663542696521</v>
      </c>
      <c r="X61" s="2" cm="1">
        <f t="array" ref="X61">THETAGREEK($B61,100,0.01,X$44,0.4)</f>
        <v>-13.15526794325468</v>
      </c>
      <c r="Y61" s="2" cm="1">
        <f t="array" ref="Y61">THETAGREEK($B61,100,0.01,Y$44,0.4)</f>
        <v>-12.92688838911973</v>
      </c>
      <c r="Z61" s="2" cm="1">
        <f t="array" ref="Z61">THETAGREEK($B61,100,0.01,Z$44,0.4)</f>
        <v>-12.707121877350209</v>
      </c>
      <c r="AA61" s="2" cm="1">
        <f t="array" ref="AA61">THETAGREEK($B61,100,0.01,AA$44,0.4)</f>
        <v>-12.495557610462907</v>
      </c>
      <c r="AB61" s="2" cm="1">
        <f t="array" ref="AB61">THETAGREEK($B61,100,0.01,AB$44,0.4)</f>
        <v>-12.291788015448429</v>
      </c>
      <c r="AC61" s="2" cm="1">
        <f t="array" ref="AC61">THETAGREEK($B61,100,0.01,AC$44,0.4)</f>
        <v>-12.095415796988318</v>
      </c>
      <c r="AD61" s="2" cm="1">
        <f t="array" ref="AD61">THETAGREEK($B61,100,0.01,AD$44,0.4)</f>
        <v>-11.906058295033837</v>
      </c>
      <c r="AE61" s="2" cm="1">
        <f t="array" ref="AE61">THETAGREEK($B61,100,0.01,AE$44,0.4)</f>
        <v>-11.723350009359041</v>
      </c>
      <c r="AF61" s="2" cm="1">
        <f t="array" ref="AF61">THETAGREEK($B61,100,0.01,AF$44,0.4)</f>
        <v>-11.546943881192634</v>
      </c>
      <c r="AG61" s="2" cm="1">
        <f t="array" ref="AG61">THETAGREEK($B61,100,0.01,AG$44,0.4)</f>
        <v>-11.376511737953306</v>
      </c>
      <c r="AH61" s="2" cm="1">
        <f t="array" ref="AH61">THETAGREEK($B61,100,0.01,AH$44,0.4)</f>
        <v>-11.211744181636522</v>
      </c>
      <c r="AI61" s="2" cm="1">
        <f t="array" ref="AI61">THETAGREEK($B61,100,0.01,AI$44,0.4)</f>
        <v>-11.052350115187325</v>
      </c>
      <c r="AJ61" s="2" cm="1">
        <f t="array" ref="AJ61">THETAGREEK($B61,100,0.01,AJ$44,0.4)</f>
        <v>-10.898056041549461</v>
      </c>
      <c r="AK61" s="2" cm="1">
        <f t="array" ref="AK61">THETAGREEK($B61,100,0.01,AK$44,0.4)</f>
        <v>-10.74860522857837</v>
      </c>
      <c r="AL61" s="2" cm="1">
        <f t="array" ref="AL61">THETAGREEK($B61,100,0.01,AL$44,0.4)</f>
        <v>-10.603756803991503</v>
      </c>
      <c r="AM61" s="2" cm="1">
        <f t="array" ref="AM61">THETAGREEK($B61,100,0.01,AM$44,0.4)</f>
        <v>-10.463284824175362</v>
      </c>
      <c r="AN61" s="2" cm="1">
        <f t="array" ref="AN61">THETAGREEK($B61,100,0.01,AN$44,0.4)</f>
        <v>-10.326977346358611</v>
      </c>
      <c r="AO61" s="2" cm="1">
        <f t="array" ref="AO61">THETAGREEK($B61,100,0.01,AO$44,0.4)</f>
        <v>-10.194635523592744</v>
      </c>
      <c r="AP61" s="2" cm="1">
        <f t="array" ref="AP61">THETAGREEK($B61,100,0.01,AP$44,0.4)</f>
        <v>-10.066072734905676</v>
      </c>
      <c r="AQ61" s="2" cm="1">
        <f t="array" ref="AQ61">THETAGREEK($B61,100,0.01,AQ$44,0.4)</f>
        <v>-9.9411137580356552</v>
      </c>
      <c r="AR61" s="2" cm="1">
        <f t="array" ref="AR61">THETAGREEK($B61,100,0.01,AR$44,0.4)</f>
        <v>-9.8195939886990562</v>
      </c>
      <c r="AS61" s="2" cm="1">
        <f t="array" ref="AS61">THETAGREEK($B61,100,0.01,AS$44,0.4)</f>
        <v>-9.7013587079622958</v>
      </c>
      <c r="AT61" s="2" cm="1">
        <f t="array" ref="AT61">THETAGREEK($B61,100,0.01,AT$44,0.4)</f>
        <v>-9.5862623976665287</v>
      </c>
      <c r="AU61" s="2" cm="1">
        <f t="array" ref="AU61">THETAGREEK($B61,100,0.01,AU$44,0.4)</f>
        <v>-9.4741681027752289</v>
      </c>
      <c r="AV61" s="2" cm="1">
        <f t="array" ref="AV61">THETAGREEK($B61,100,0.01,AV$44,0.4)</f>
        <v>-9.3649468388211261</v>
      </c>
      <c r="AW61" s="2" cm="1">
        <f t="array" ref="AW61">THETAGREEK($B61,100,0.01,AW$44,0.4)</f>
        <v>-9.2584770422082361</v>
      </c>
      <c r="AX61" s="2" cm="1">
        <f t="array" ref="AX61">THETAGREEK($B61,100,0.01,AX$44,0.4)</f>
        <v>-9.1546440608955262</v>
      </c>
      <c r="AY61" s="2" cm="1">
        <f t="array" ref="AY61">THETAGREEK($B61,100,0.01,AY$44,0.4)</f>
        <v>-9.0533396828929291</v>
      </c>
      <c r="AZ61" s="2" cm="1">
        <f t="array" ref="AZ61">THETAGREEK($B61,100,0.01,AZ$44,0.4)</f>
        <v>-8.954461699996104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E8C2E-D0E1-44AB-BE41-6EBB8D33BCC9}">
  <sheetPr codeName="Sheet6"/>
  <dimension ref="A1:AZ61"/>
  <sheetViews>
    <sheetView workbookViewId="0">
      <selection activeCell="AY63" sqref="AY63"/>
    </sheetView>
  </sheetViews>
  <sheetFormatPr defaultRowHeight="14.4" x14ac:dyDescent="0.3"/>
  <cols>
    <col min="3" max="3" width="12" bestFit="1" customWidth="1"/>
  </cols>
  <sheetData>
    <row r="1" spans="1:52" x14ac:dyDescent="0.3">
      <c r="A1" s="2" t="s">
        <v>13</v>
      </c>
      <c r="B1" s="2"/>
      <c r="C1" s="2" t="s">
        <v>12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</row>
    <row r="2" spans="1:52" x14ac:dyDescent="0.3">
      <c r="A2" s="2"/>
      <c r="B2" s="2"/>
      <c r="C2" s="2">
        <v>0.1</v>
      </c>
      <c r="D2" s="2">
        <v>0.2</v>
      </c>
      <c r="E2" s="2">
        <v>0.3</v>
      </c>
      <c r="F2" s="2">
        <v>0.4</v>
      </c>
      <c r="G2" s="2">
        <v>0.5</v>
      </c>
      <c r="H2" s="2">
        <v>0.6</v>
      </c>
      <c r="I2" s="2">
        <v>0.7</v>
      </c>
      <c r="J2" s="2">
        <v>0.8</v>
      </c>
      <c r="K2" s="2">
        <v>0.9</v>
      </c>
      <c r="L2" s="2">
        <v>1</v>
      </c>
      <c r="M2" s="2">
        <v>1.1000000000000001</v>
      </c>
      <c r="N2" s="2">
        <v>1.2</v>
      </c>
      <c r="O2" s="2">
        <v>1.3</v>
      </c>
      <c r="P2" s="2">
        <v>1.4</v>
      </c>
      <c r="Q2" s="2">
        <v>1.5</v>
      </c>
      <c r="R2" s="2">
        <v>1.6</v>
      </c>
      <c r="S2" s="2">
        <v>1.7</v>
      </c>
      <c r="T2" s="2">
        <v>1.8</v>
      </c>
      <c r="U2" s="2">
        <v>1.9</v>
      </c>
      <c r="V2" s="2">
        <v>2</v>
      </c>
      <c r="W2" s="2">
        <v>2.1</v>
      </c>
      <c r="X2" s="2">
        <v>2.2000000000000002</v>
      </c>
      <c r="Y2" s="2">
        <v>2.2999999999999998</v>
      </c>
      <c r="Z2" s="2">
        <v>2.4</v>
      </c>
      <c r="AA2" s="2">
        <v>2.5</v>
      </c>
      <c r="AB2" s="2">
        <v>2.6</v>
      </c>
      <c r="AC2" s="2">
        <v>2.7</v>
      </c>
      <c r="AD2" s="2">
        <v>2.8</v>
      </c>
      <c r="AE2" s="2">
        <v>2.9</v>
      </c>
      <c r="AF2" s="2">
        <v>3</v>
      </c>
      <c r="AG2" s="2">
        <v>3.1</v>
      </c>
      <c r="AH2" s="2">
        <v>3.2</v>
      </c>
      <c r="AI2" s="2">
        <v>3.3</v>
      </c>
      <c r="AJ2" s="2">
        <v>3.4</v>
      </c>
      <c r="AK2" s="2">
        <v>3.5</v>
      </c>
      <c r="AL2" s="2">
        <v>3.6</v>
      </c>
      <c r="AM2" s="2">
        <v>3.7</v>
      </c>
      <c r="AN2" s="2">
        <v>3.8</v>
      </c>
      <c r="AO2" s="2">
        <v>3.9</v>
      </c>
      <c r="AP2" s="2">
        <v>4</v>
      </c>
      <c r="AQ2" s="2">
        <v>4.0999999999999996</v>
      </c>
      <c r="AR2" s="2">
        <v>4.2</v>
      </c>
      <c r="AS2" s="2">
        <v>4.3</v>
      </c>
      <c r="AT2" s="2">
        <v>4.4000000000000004</v>
      </c>
      <c r="AU2" s="2">
        <v>4.5</v>
      </c>
      <c r="AV2" s="2">
        <v>4.5999999999999996</v>
      </c>
      <c r="AW2" s="2">
        <v>4.7</v>
      </c>
      <c r="AX2" s="2">
        <v>4.8</v>
      </c>
      <c r="AY2" s="2">
        <v>4.9000000000000004</v>
      </c>
      <c r="AZ2" s="2">
        <v>5</v>
      </c>
    </row>
    <row r="3" spans="1:52" x14ac:dyDescent="0.3">
      <c r="A3" s="2" t="s">
        <v>11</v>
      </c>
      <c r="B3" s="2">
        <v>60</v>
      </c>
      <c r="C3" s="2" cm="1">
        <f t="array" ref="C3">VEGAGREEK($B3,100,0.01,C$2,0.1)</f>
        <v>3.5345400505313543E-56</v>
      </c>
      <c r="D3" s="2" cm="1">
        <f t="array" ref="D3">VEGAGREEK($B3,100,0.01,D$2,0.1)</f>
        <v>1.0711882489098271E-27</v>
      </c>
      <c r="E3" s="2" cm="1">
        <f t="array" ref="E3">VEGAGREEK($B3,100,0.01,E$2,0.1)</f>
        <v>3.6413157535063631E-18</v>
      </c>
      <c r="F3" s="2" cm="1">
        <f t="array" ref="F3">VEGAGREEK($B3,100,0.01,F$2,0.1)</f>
        <v>2.2138942538625636E-13</v>
      </c>
      <c r="G3" s="2" cm="1">
        <f t="array" ref="G3">VEGAGREEK($B3,100,0.01,G$2,0.1)</f>
        <v>1.6837357993007972E-10</v>
      </c>
      <c r="H3" s="2" cm="1">
        <f t="array" ref="H3">VEGAGREEK($B3,100,0.01,H$2,0.1)</f>
        <v>1.4260773627185529E-8</v>
      </c>
      <c r="I3" s="2" cm="1">
        <f t="array" ref="I3">VEGAGREEK($B3,100,0.01,I$2,0.1)</f>
        <v>3.4375360039163328E-7</v>
      </c>
      <c r="J3" s="2" cm="1">
        <f t="array" ref="J3">VEGAGREEK($B3,100,0.01,J$2,0.1)</f>
        <v>3.7721952577593393E-6</v>
      </c>
      <c r="K3" s="2" cm="1">
        <f t="array" ref="K3">VEGAGREEK($B3,100,0.01,K$2,0.1)</f>
        <v>2.4471925152833624E-5</v>
      </c>
      <c r="L3" s="2" cm="1">
        <f t="array" ref="L3">VEGAGREEK($B3,100,0.01,L$2,0.1)</f>
        <v>1.0981137573304781E-4</v>
      </c>
      <c r="M3" s="2" cm="1">
        <f t="array" ref="M3">VEGAGREEK($B3,100,0.01,M$2,0.1)</f>
        <v>3.7668072126906602E-4</v>
      </c>
      <c r="N3" s="2" cm="1">
        <f t="array" ref="N3">VEGAGREEK($B3,100,0.01,N$2,0.1)</f>
        <v>1.0559524012726841E-3</v>
      </c>
      <c r="O3" s="2" cm="1">
        <f t="array" ref="O3">VEGAGREEK($B3,100,0.01,O$2,0.1)</f>
        <v>2.533735381146692E-3</v>
      </c>
      <c r="P3" s="2" cm="1">
        <f t="array" ref="P3">VEGAGREEK($B3,100,0.01,P$2,0.1)</f>
        <v>5.3789839988035914E-3</v>
      </c>
      <c r="Q3" s="2" cm="1">
        <f t="array" ref="Q3">VEGAGREEK($B3,100,0.01,Q$2,0.1)</f>
        <v>1.0351830539978344E-2</v>
      </c>
      <c r="R3" s="2" cm="1">
        <f t="array" ref="R3">VEGAGREEK($B3,100,0.01,R$2,0.1)</f>
        <v>1.8392417715814631E-2</v>
      </c>
      <c r="S3" s="2" cm="1">
        <f t="array" ref="S3">VEGAGREEK($B3,100,0.01,S$2,0.1)</f>
        <v>3.0593883627805806E-2</v>
      </c>
      <c r="T3" s="2" cm="1">
        <f t="array" ref="T3">VEGAGREEK($B3,100,0.01,T$2,0.1)</f>
        <v>4.8164944690727185E-2</v>
      </c>
      <c r="U3" s="2" cm="1">
        <f t="array" ref="U3">VEGAGREEK($B3,100,0.01,U$2,0.1)</f>
        <v>7.2387629846212637E-2</v>
      </c>
      <c r="V3" s="2" cm="1">
        <f t="array" ref="V3">VEGAGREEK($B3,100,0.01,V$2,0.1)</f>
        <v>0.10457482945948265</v>
      </c>
      <c r="W3" s="2" cm="1">
        <f t="array" ref="W3">VEGAGREEK($B3,100,0.01,W$2,0.1)</f>
        <v>0.1460310368668967</v>
      </c>
      <c r="X3" s="2" cm="1">
        <f t="array" ref="X3">VEGAGREEK($B3,100,0.01,X$2,0.1)</f>
        <v>0.19801837616203033</v>
      </c>
      <c r="Y3" s="2" cm="1">
        <f t="array" ref="Y3">VEGAGREEK($B3,100,0.01,Y$2,0.1)</f>
        <v>0.26172893026267446</v>
      </c>
      <c r="Z3" s="2" cm="1">
        <f t="array" ref="Z3">VEGAGREEK($B3,100,0.01,Z$2,0.1)</f>
        <v>0.3382635773263587</v>
      </c>
      <c r="AA3" s="2" cm="1">
        <f t="array" ref="AA3">VEGAGREEK($B3,100,0.01,AA$2,0.1)</f>
        <v>0.42861700231113781</v>
      </c>
      <c r="AB3" s="2" cm="1">
        <f t="array" ref="AB3">VEGAGREEK($B3,100,0.01,AB$2,0.1)</f>
        <v>0.53366822948548565</v>
      </c>
      <c r="AC3" s="2" cm="1">
        <f t="array" ref="AC3">VEGAGREEK($B3,100,0.01,AC$2,0.1)</f>
        <v>0.65417586672553374</v>
      </c>
      <c r="AD3" s="2" cm="1">
        <f t="array" ref="AD3">VEGAGREEK($B3,100,0.01,AD$2,0.1)</f>
        <v>0.7907772128173437</v>
      </c>
      <c r="AE3" s="2" cm="1">
        <f t="array" ref="AE3">VEGAGREEK($B3,100,0.01,AE$2,0.1)</f>
        <v>0.94399041311091147</v>
      </c>
      <c r="AF3" s="2" cm="1">
        <f t="array" ref="AF3">VEGAGREEK($B3,100,0.01,AF$2,0.1)</f>
        <v>1.1142189253647152</v>
      </c>
      <c r="AG3" s="2" cm="1">
        <f t="array" ref="AG3">VEGAGREEK($B3,100,0.01,AG$2,0.1)</f>
        <v>1.3017576543094442</v>
      </c>
      <c r="AH3" s="2" cm="1">
        <f t="array" ref="AH3">VEGAGREEK($B3,100,0.01,AH$2,0.1)</f>
        <v>1.5068002156379492</v>
      </c>
      <c r="AI3" s="2" cm="1">
        <f t="array" ref="AI3">VEGAGREEK($B3,100,0.01,AI$2,0.1)</f>
        <v>1.729446888698172</v>
      </c>
      <c r="AJ3" s="2" cm="1">
        <f t="array" ref="AJ3">VEGAGREEK($B3,100,0.01,AJ$2,0.1)</f>
        <v>1.9697129070248935</v>
      </c>
      <c r="AK3" s="2" cm="1">
        <f t="array" ref="AK3">VEGAGREEK($B3,100,0.01,AK$2,0.1)</f>
        <v>2.2275368146000707</v>
      </c>
      <c r="AL3" s="2" cm="1">
        <f t="array" ref="AL3">VEGAGREEK($B3,100,0.01,AL$2,0.1)</f>
        <v>2.5027886827280579</v>
      </c>
      <c r="AM3" s="2" cm="1">
        <f t="array" ref="AM3">VEGAGREEK($B3,100,0.01,AM$2,0.1)</f>
        <v>2.7952780380507138</v>
      </c>
      <c r="AN3" s="2" cm="1">
        <f t="array" ref="AN3">VEGAGREEK($B3,100,0.01,AN$2,0.1)</f>
        <v>3.1047613974873522</v>
      </c>
      <c r="AO3" s="2" cm="1">
        <f t="array" ref="AO3">VEGAGREEK($B3,100,0.01,AO$2,0.1)</f>
        <v>3.4309493420110035</v>
      </c>
      <c r="AP3" s="2" cm="1">
        <f t="array" ref="AP3">VEGAGREEK($B3,100,0.01,AP$2,0.1)</f>
        <v>3.7735130894815958</v>
      </c>
      <c r="AQ3" s="2" cm="1">
        <f t="array" ref="AQ3">VEGAGREEK($B3,100,0.01,AQ$2,0.1)</f>
        <v>4.1320905485187893</v>
      </c>
      <c r="AR3" s="2" cm="1">
        <f t="array" ref="AR3">VEGAGREEK($B3,100,0.01,AR$2,0.1)</f>
        <v>4.5062918517724926</v>
      </c>
      <c r="AS3" s="2" cm="1">
        <f t="array" ref="AS3">VEGAGREEK($B3,100,0.01,AS$2,0.1)</f>
        <v>4.8957043789614625</v>
      </c>
      <c r="AT3" s="2" cm="1">
        <f t="array" ref="AT3">VEGAGREEK($B3,100,0.01,AT$2,0.1)</f>
        <v>5.2998972885783813</v>
      </c>
      <c r="AU3" s="2" cm="1">
        <f t="array" ref="AU3">VEGAGREEK($B3,100,0.01,AU$2,0.1)</f>
        <v>5.7184255829416593</v>
      </c>
      <c r="AV3" s="2" cm="1">
        <f t="array" ref="AV3">VEGAGREEK($B3,100,0.01,AV$2,0.1)</f>
        <v>6.1508337349242321</v>
      </c>
      <c r="AW3" s="2" cm="1">
        <f t="array" ref="AW3">VEGAGREEK($B3,100,0.01,AW$2,0.1)</f>
        <v>6.5966589067051205</v>
      </c>
      <c r="AX3" s="2" cm="1">
        <f t="array" ref="AX3">VEGAGREEK($B3,100,0.01,AX$2,0.1)</f>
        <v>7.0554337916766299</v>
      </c>
      <c r="AY3" s="2" cm="1">
        <f t="array" ref="AY3">VEGAGREEK($B3,100,0.01,AY$2,0.1)</f>
        <v>7.5266891105192117</v>
      </c>
      <c r="AZ3" s="2" cm="1">
        <f t="array" ref="AZ3">VEGAGREEK($B3,100,0.01,AZ$2,0.1)</f>
        <v>8.009955791682934</v>
      </c>
    </row>
    <row r="4" spans="1:52" x14ac:dyDescent="0.3">
      <c r="A4" s="2"/>
      <c r="B4" s="2">
        <v>65</v>
      </c>
      <c r="C4" s="2" cm="1">
        <f t="array" ref="C4">VEGAGREEK($B4,100,0.01,C$2,0.1)</f>
        <v>7.890416213822757E-40</v>
      </c>
      <c r="D4" s="2" cm="1">
        <f t="array" ref="D4">VEGAGREEK($B4,100,0.01,D$2,0.1)</f>
        <v>1.5687681949729988E-19</v>
      </c>
      <c r="E4" s="2" cm="1">
        <f t="array" ref="E4">VEGAGREEK($B4,100,0.01,E$2,0.1)</f>
        <v>9.9829747601651496E-13</v>
      </c>
      <c r="F4" s="2" cm="1">
        <f t="array" ref="F4">VEGAGREEK($B4,100,0.01,F$2,0.1)</f>
        <v>2.6261095230764527E-9</v>
      </c>
      <c r="G4" s="2" cm="1">
        <f t="array" ref="G4">VEGAGREEK($B4,100,0.01,G$2,0.1)</f>
        <v>3.0347470957467801E-7</v>
      </c>
      <c r="H4" s="2" cm="1">
        <f t="array" ref="H4">VEGAGREEK($B4,100,0.01,H$2,0.1)</f>
        <v>7.3190274501949438E-6</v>
      </c>
      <c r="I4" s="2" cm="1">
        <f t="array" ref="I4">VEGAGREEK($B4,100,0.01,I$2,0.1)</f>
        <v>7.1926239310786793E-5</v>
      </c>
      <c r="J4" s="2" cm="1">
        <f t="array" ref="J4">VEGAGREEK($B4,100,0.01,J$2,0.1)</f>
        <v>4.0269999011754239E-4</v>
      </c>
      <c r="K4" s="2" cm="1">
        <f t="array" ref="K4">VEGAGREEK($B4,100,0.01,K$2,0.1)</f>
        <v>1.547918097964676E-3</v>
      </c>
      <c r="L4" s="2" cm="1">
        <f t="array" ref="L4">VEGAGREEK($B4,100,0.01,L$2,0.1)</f>
        <v>4.5696305078151925E-3</v>
      </c>
      <c r="M4" s="2" cm="1">
        <f t="array" ref="M4">VEGAGREEK($B4,100,0.01,M$2,0.1)</f>
        <v>1.1128175902153254E-2</v>
      </c>
      <c r="N4" s="2" cm="1">
        <f t="array" ref="N4">VEGAGREEK($B4,100,0.01,N$2,0.1)</f>
        <v>2.344817034846838E-2</v>
      </c>
      <c r="O4" s="2" cm="1">
        <f t="array" ref="O4">VEGAGREEK($B4,100,0.01,O$2,0.1)</f>
        <v>4.4189050398302128E-2</v>
      </c>
      <c r="P4" s="2" cm="1">
        <f t="array" ref="P4">VEGAGREEK($B4,100,0.01,P$2,0.1)</f>
        <v>7.6265790277428275E-2</v>
      </c>
      <c r="Q4" s="2" cm="1">
        <f t="array" ref="Q4">VEGAGREEK($B4,100,0.01,Q$2,0.1)</f>
        <v>0.12266273335695645</v>
      </c>
      <c r="R4" s="2" cm="1">
        <f t="array" ref="R4">VEGAGREEK($B4,100,0.01,R$2,0.1)</f>
        <v>0.18626961730491334</v>
      </c>
      <c r="S4" s="2" cm="1">
        <f t="array" ref="S4">VEGAGREEK($B4,100,0.01,S$2,0.1)</f>
        <v>0.26975415881413228</v>
      </c>
      <c r="T4" s="2" cm="1">
        <f t="array" ref="T4">VEGAGREEK($B4,100,0.01,T$2,0.1)</f>
        <v>0.37547451110104479</v>
      </c>
      <c r="U4" s="2" cm="1">
        <f t="array" ref="U4">VEGAGREEK($B4,100,0.01,U$2,0.1)</f>
        <v>0.50542825590500062</v>
      </c>
      <c r="V4" s="2" cm="1">
        <f t="array" ref="V4">VEGAGREEK($B4,100,0.01,V$2,0.1)</f>
        <v>0.66123147004512139</v>
      </c>
      <c r="W4" s="2" cm="1">
        <f t="array" ref="W4">VEGAGREEK($B4,100,0.01,W$2,0.1)</f>
        <v>0.84412060096864827</v>
      </c>
      <c r="X4" s="2" cm="1">
        <f t="array" ref="X4">VEGAGREEK($B4,100,0.01,X$2,0.1)</f>
        <v>1.054970370802609</v>
      </c>
      <c r="Y4" s="2" cm="1">
        <f t="array" ref="Y4">VEGAGREEK($B4,100,0.01,Y$2,0.1)</f>
        <v>1.294321995946109</v>
      </c>
      <c r="Z4" s="2" cm="1">
        <f t="array" ref="Z4">VEGAGREEK($B4,100,0.01,Z$2,0.1)</f>
        <v>1.562417231783213</v>
      </c>
      <c r="AA4" s="2" cm="1">
        <f t="array" ref="AA4">VEGAGREEK($B4,100,0.01,AA$2,0.1)</f>
        <v>1.8592349033660567</v>
      </c>
      <c r="AB4" s="2" cm="1">
        <f t="array" ref="AB4">VEGAGREEK($B4,100,0.01,AB$2,0.1)</f>
        <v>2.1845275638357218</v>
      </c>
      <c r="AC4" s="2" cm="1">
        <f t="array" ref="AC4">VEGAGREEK($B4,100,0.01,AC$2,0.1)</f>
        <v>2.5378567065527999</v>
      </c>
      <c r="AD4" s="2" cm="1">
        <f t="array" ref="AD4">VEGAGREEK($B4,100,0.01,AD$2,0.1)</f>
        <v>2.9186255551821909</v>
      </c>
      <c r="AE4" s="2" cm="1">
        <f t="array" ref="AE4">VEGAGREEK($B4,100,0.01,AE$2,0.1)</f>
        <v>3.3261088949697699</v>
      </c>
      <c r="AF4" s="2" cm="1">
        <f t="array" ref="AF4">VEGAGREEK($B4,100,0.01,AF$2,0.1)</f>
        <v>3.7594797189649576</v>
      </c>
      <c r="AG4" s="2" cm="1">
        <f t="array" ref="AG4">VEGAGREEK($B4,100,0.01,AG$2,0.1)</f>
        <v>4.2178326741048249</v>
      </c>
      <c r="AH4" s="2" cm="1">
        <f t="array" ref="AH4">VEGAGREEK($B4,100,0.01,AH$2,0.1)</f>
        <v>4.7002044288847795</v>
      </c>
      <c r="AI4" s="2" cm="1">
        <f t="array" ref="AI4">VEGAGREEK($B4,100,0.01,AI$2,0.1)</f>
        <v>5.2055911670601072</v>
      </c>
      <c r="AJ4" s="2" cm="1">
        <f t="array" ref="AJ4">VEGAGREEK($B4,100,0.01,AJ$2,0.1)</f>
        <v>5.7329634562431675</v>
      </c>
      <c r="AK4" s="2" cm="1">
        <f t="array" ref="AK4">VEGAGREEK($B4,100,0.01,AK$2,0.1)</f>
        <v>6.2812787583328804</v>
      </c>
      <c r="AL4" s="2" cm="1">
        <f t="array" ref="AL4">VEGAGREEK($B4,100,0.01,AL$2,0.1)</f>
        <v>6.8494918492692074</v>
      </c>
      <c r="AM4" s="2" cm="1">
        <f t="array" ref="AM4">VEGAGREEK($B4,100,0.01,AM$2,0.1)</f>
        <v>7.4365634050344038</v>
      </c>
      <c r="AN4" s="2" cm="1">
        <f t="array" ref="AN4">VEGAGREEK($B4,100,0.01,AN$2,0.1)</f>
        <v>8.0414669936561367</v>
      </c>
      <c r="AO4" s="2" cm="1">
        <f t="array" ref="AO4">VEGAGREEK($B4,100,0.01,AO$2,0.1)</f>
        <v>8.6631946923459608</v>
      </c>
      <c r="AP4" s="2" cm="1">
        <f t="array" ref="AP4">VEGAGREEK($B4,100,0.01,AP$2,0.1)</f>
        <v>9.3007615269544939</v>
      </c>
      <c r="AQ4" s="2" cm="1">
        <f t="array" ref="AQ4">VEGAGREEK($B4,100,0.01,AQ$2,0.1)</f>
        <v>9.9532089090341174</v>
      </c>
      <c r="AR4" s="2" cm="1">
        <f t="array" ref="AR4">VEGAGREEK($B4,100,0.01,AR$2,0.1)</f>
        <v>10.619607224839591</v>
      </c>
      <c r="AS4" s="2" cm="1">
        <f t="array" ref="AS4">VEGAGREEK($B4,100,0.01,AS$2,0.1)</f>
        <v>11.299057711074672</v>
      </c>
      <c r="AT4" s="2" cm="1">
        <f t="array" ref="AT4">VEGAGREEK($B4,100,0.01,AT$2,0.1)</f>
        <v>11.99069373436682</v>
      </c>
      <c r="AU4" s="2" cm="1">
        <f t="array" ref="AU4">VEGAGREEK($B4,100,0.01,AU$2,0.1)</f>
        <v>12.693681575412446</v>
      </c>
      <c r="AV4" s="2" cm="1">
        <f t="array" ref="AV4">VEGAGREEK($B4,100,0.01,AV$2,0.1)</f>
        <v>13.407220804469231</v>
      </c>
      <c r="AW4" s="2" cm="1">
        <f t="array" ref="AW4">VEGAGREEK($B4,100,0.01,AW$2,0.1)</f>
        <v>14.130544322293829</v>
      </c>
      <c r="AX4" s="2" cm="1">
        <f t="array" ref="AX4">VEGAGREEK($B4,100,0.01,AX$2,0.1)</f>
        <v>14.862918129616855</v>
      </c>
      <c r="AY4" s="2" cm="1">
        <f t="array" ref="AY4">VEGAGREEK($B4,100,0.01,AY$2,0.1)</f>
        <v>15.60364087866923</v>
      </c>
      <c r="AZ4" s="2" cm="1">
        <f t="array" ref="AZ4">VEGAGREEK($B4,100,0.01,AZ$2,0.1)</f>
        <v>16.352043251983773</v>
      </c>
    </row>
    <row r="5" spans="1:52" x14ac:dyDescent="0.3">
      <c r="A5" s="2"/>
      <c r="B5" s="2">
        <v>70</v>
      </c>
      <c r="C5" s="2" cm="1">
        <f t="array" ref="C5">VEGAGREEK($B5,100,0.01,C$2,0.1)</f>
        <v>3.5731275340966639E-27</v>
      </c>
      <c r="D5" s="2" cm="1">
        <f t="array" ref="D5">VEGAGREEK($B5,100,0.01,D$2,0.1)</f>
        <v>3.2770789744139771E-13</v>
      </c>
      <c r="E5" s="2" cm="1">
        <f t="array" ref="E5">VEGAGREEK($B5,100,0.01,E$2,0.1)</f>
        <v>1.611318080490904E-8</v>
      </c>
      <c r="F5" s="2" cm="1">
        <f t="array" ref="F5">VEGAGREEK($B5,100,0.01,F$2,0.1)</f>
        <v>3.7258960102381347E-6</v>
      </c>
      <c r="G5" s="2" cm="1">
        <f t="array" ref="G5">VEGAGREEK($B5,100,0.01,G$2,0.1)</f>
        <v>1.001009852637357E-4</v>
      </c>
      <c r="H5" s="2" cm="1">
        <f t="array" ref="H5">VEGAGREEK($B5,100,0.01,H$2,0.1)</f>
        <v>9.1278366359240934E-4</v>
      </c>
      <c r="I5" s="2" cm="1">
        <f t="array" ref="I5">VEGAGREEK($B5,100,0.01,I$2,0.1)</f>
        <v>4.4780256387178217E-3</v>
      </c>
      <c r="J5" s="2" cm="1">
        <f t="array" ref="J5">VEGAGREEK($B5,100,0.01,J$2,0.1)</f>
        <v>1.4889989640669957E-2</v>
      </c>
      <c r="K5" s="2" cm="1">
        <f t="array" ref="K5">VEGAGREEK($B5,100,0.01,K$2,0.1)</f>
        <v>3.8164553510493908E-2</v>
      </c>
      <c r="L5" s="2" cm="1">
        <f t="array" ref="L5">VEGAGREEK($B5,100,0.01,L$2,0.1)</f>
        <v>8.1469084911896736E-2</v>
      </c>
      <c r="M5" s="2" cm="1">
        <f t="array" ref="M5">VEGAGREEK($B5,100,0.01,M$2,0.1)</f>
        <v>0.15217221515352261</v>
      </c>
      <c r="N5" s="2" cm="1">
        <f t="array" ref="N5">VEGAGREEK($B5,100,0.01,N$2,0.1)</f>
        <v>0.25705143405843867</v>
      </c>
      <c r="O5" s="2" cm="1">
        <f t="array" ref="O5">VEGAGREEK($B5,100,0.01,O$2,0.1)</f>
        <v>0.40178591467787333</v>
      </c>
      <c r="P5" s="2" cm="1">
        <f t="array" ref="P5">VEGAGREEK($B5,100,0.01,P$2,0.1)</f>
        <v>0.59072209476208237</v>
      </c>
      <c r="Q5" s="2" cm="1">
        <f t="array" ref="Q5">VEGAGREEK($B5,100,0.01,Q$2,0.1)</f>
        <v>0.82684294691926774</v>
      </c>
      <c r="R5" s="2" cm="1">
        <f t="array" ref="R5">VEGAGREEK($B5,100,0.01,R$2,0.1)</f>
        <v>1.1118654616929486</v>
      </c>
      <c r="S5" s="2" cm="1">
        <f t="array" ref="S5">VEGAGREEK($B5,100,0.01,S$2,0.1)</f>
        <v>1.4464052203927722</v>
      </c>
      <c r="T5" s="2" cm="1">
        <f t="array" ref="T5">VEGAGREEK($B5,100,0.01,T$2,0.1)</f>
        <v>1.8301656234561896</v>
      </c>
      <c r="U5" s="2" cm="1">
        <f t="array" ref="U5">VEGAGREEK($B5,100,0.01,U$2,0.1)</f>
        <v>2.2621255201846759</v>
      </c>
      <c r="V5" s="2" cm="1">
        <f t="array" ref="V5">VEGAGREEK($B5,100,0.01,V$2,0.1)</f>
        <v>2.7407108585812248</v>
      </c>
      <c r="W5" s="2" cm="1">
        <f t="array" ref="W5">VEGAGREEK($B5,100,0.01,W$2,0.1)</f>
        <v>3.2639438508979706</v>
      </c>
      <c r="X5" s="2" cm="1">
        <f t="array" ref="X5">VEGAGREEK($B5,100,0.01,X$2,0.1)</f>
        <v>3.8295679692905704</v>
      </c>
      <c r="Y5" s="2" cm="1">
        <f t="array" ref="Y5">VEGAGREEK($B5,100,0.01,Y$2,0.1)</f>
        <v>4.4351497905479444</v>
      </c>
      <c r="Z5" s="2" cm="1">
        <f t="array" ref="Z5">VEGAGREEK($B5,100,0.01,Z$2,0.1)</f>
        <v>5.0781600498016317</v>
      </c>
      <c r="AA5" s="2" cm="1">
        <f t="array" ref="AA5">VEGAGREEK($B5,100,0.01,AA$2,0.1)</f>
        <v>5.7560367751484227</v>
      </c>
      <c r="AB5" s="2" cm="1">
        <f t="array" ref="AB5">VEGAGREEK($B5,100,0.01,AB$2,0.1)</f>
        <v>6.4662334144269735</v>
      </c>
      <c r="AC5" s="2" cm="1">
        <f t="array" ref="AC5">VEGAGREEK($B5,100,0.01,AC$2,0.1)</f>
        <v>7.2062546576848074</v>
      </c>
      <c r="AD5" s="2" cm="1">
        <f t="array" ref="AD5">VEGAGREEK($B5,100,0.01,AD$2,0.1)</f>
        <v>7.9736823409372839</v>
      </c>
      <c r="AE5" s="2" cm="1">
        <f t="array" ref="AE5">VEGAGREEK($B5,100,0.01,AE$2,0.1)</f>
        <v>8.7661934675947304</v>
      </c>
      <c r="AF5" s="2" cm="1">
        <f t="array" ref="AF5">VEGAGREEK($B5,100,0.01,AF$2,0.1)</f>
        <v>9.5815720461128837</v>
      </c>
      <c r="AG5" s="2" cm="1">
        <f t="array" ref="AG5">VEGAGREEK($B5,100,0.01,AG$2,0.1)</f>
        <v>10.417716136752871</v>
      </c>
      <c r="AH5" s="2" cm="1">
        <f t="array" ref="AH5">VEGAGREEK($B5,100,0.01,AH$2,0.1)</f>
        <v>11.272641234781178</v>
      </c>
      <c r="AI5" s="2" cm="1">
        <f t="array" ref="AI5">VEGAGREEK($B5,100,0.01,AI$2,0.1)</f>
        <v>12.144480892869904</v>
      </c>
      <c r="AJ5" s="2" cm="1">
        <f t="array" ref="AJ5">VEGAGREEK($B5,100,0.01,AJ$2,0.1)</f>
        <v>13.031485299108935</v>
      </c>
      <c r="AK5" s="2" cm="1">
        <f t="array" ref="AK5">VEGAGREEK($B5,100,0.01,AK$2,0.1)</f>
        <v>13.932018374543206</v>
      </c>
      <c r="AL5" s="2" cm="1">
        <f t="array" ref="AL5">VEGAGREEK($B5,100,0.01,AL$2,0.1)</f>
        <v>14.844553830664207</v>
      </c>
      <c r="AM5" s="2" cm="1">
        <f t="array" ref="AM5">VEGAGREEK($B5,100,0.01,AM$2,0.1)</f>
        <v>15.767670528127569</v>
      </c>
      <c r="AN5" s="2" cm="1">
        <f t="array" ref="AN5">VEGAGREEK($B5,100,0.01,AN$2,0.1)</f>
        <v>16.700047398889886</v>
      </c>
      <c r="AO5" s="2" cm="1">
        <f t="array" ref="AO5">VEGAGREEK($B5,100,0.01,AO$2,0.1)</f>
        <v>17.640458131262058</v>
      </c>
      <c r="AP5" s="2" cm="1">
        <f t="array" ref="AP5">VEGAGREEK($B5,100,0.01,AP$2,0.1)</f>
        <v>18.587765767931</v>
      </c>
      <c r="AQ5" s="2" cm="1">
        <f t="array" ref="AQ5">VEGAGREEK($B5,100,0.01,AQ$2,0.1)</f>
        <v>19.540917328202259</v>
      </c>
      <c r="AR5" s="2" cm="1">
        <f t="array" ref="AR5">VEGAGREEK($B5,100,0.01,AR$2,0.1)</f>
        <v>20.498938535422127</v>
      </c>
      <c r="AS5" s="2" cm="1">
        <f t="array" ref="AS5">VEGAGREEK($B5,100,0.01,AS$2,0.1)</f>
        <v>21.460928707010098</v>
      </c>
      <c r="AT5" s="2" cm="1">
        <f t="array" ref="AT5">VEGAGREEK($B5,100,0.01,AT$2,0.1)</f>
        <v>22.426055846367113</v>
      </c>
      <c r="AU5" s="2" cm="1">
        <f t="array" ref="AU5">VEGAGREEK($B5,100,0.01,AU$2,0.1)</f>
        <v>23.393551961991388</v>
      </c>
      <c r="AV5" s="2" cm="1">
        <f t="array" ref="AV5">VEGAGREEK($B5,100,0.01,AV$2,0.1)</f>
        <v>24.362708628535</v>
      </c>
      <c r="AW5" s="2" cm="1">
        <f t="array" ref="AW5">VEGAGREEK($B5,100,0.01,AW$2,0.1)</f>
        <v>25.332872796547392</v>
      </c>
      <c r="AX5" s="2" cm="1">
        <f t="array" ref="AX5">VEGAGREEK($B5,100,0.01,AX$2,0.1)</f>
        <v>26.303442851711882</v>
      </c>
      <c r="AY5" s="2" cm="1">
        <f t="array" ref="AY5">VEGAGREEK($B5,100,0.01,AY$2,0.1)</f>
        <v>27.273864920031389</v>
      </c>
      <c r="AZ5" s="2" cm="1">
        <f t="array" ref="AZ5">VEGAGREEK($B5,100,0.01,AZ$2,0.1)</f>
        <v>28.243629412307225</v>
      </c>
    </row>
    <row r="6" spans="1:52" x14ac:dyDescent="0.3">
      <c r="A6" s="2"/>
      <c r="B6" s="2">
        <v>75</v>
      </c>
      <c r="C6" s="2" cm="1">
        <f t="array" ref="C6">VEGAGREEK($B6,100,0.01,C$2,0.1)</f>
        <v>1.5544383929947457E-17</v>
      </c>
      <c r="D6" s="2" cm="1">
        <f t="array" ref="D6">VEGAGREEK($B6,100,0.01,D$2,0.1)</f>
        <v>2.1245091218449448E-8</v>
      </c>
      <c r="E6" s="2" cm="1">
        <f t="array" ref="E6">VEGAGREEK($B6,100,0.01,E$2,0.1)</f>
        <v>2.5706041526295668E-5</v>
      </c>
      <c r="F6" s="2" cm="1">
        <f t="array" ref="F6">VEGAGREEK($B6,100,0.01,F$2,0.1)</f>
        <v>9.3245046528342434E-4</v>
      </c>
      <c r="G6" s="2" cm="1">
        <f t="array" ref="G6">VEGAGREEK($B6,100,0.01,G$2,0.1)</f>
        <v>8.2443811591708625E-3</v>
      </c>
      <c r="H6" s="2" cm="1">
        <f t="array" ref="H6">VEGAGREEK($B6,100,0.01,H$2,0.1)</f>
        <v>3.5834719979831717E-2</v>
      </c>
      <c r="I6" s="2" cm="1">
        <f t="array" ref="I6">VEGAGREEK($B6,100,0.01,I$2,0.1)</f>
        <v>0.10355649356059825</v>
      </c>
      <c r="J6" s="2" cm="1">
        <f t="array" ref="J6">VEGAGREEK($B6,100,0.01,J$2,0.1)</f>
        <v>0.23152671506101979</v>
      </c>
      <c r="K6" s="2" cm="1">
        <f t="array" ref="K6">VEGAGREEK($B6,100,0.01,K$2,0.1)</f>
        <v>0.43580320477807988</v>
      </c>
      <c r="L6" s="2" cm="1">
        <f t="array" ref="L6">VEGAGREEK($B6,100,0.01,L$2,0.1)</f>
        <v>0.7267112565693663</v>
      </c>
      <c r="M6" s="2" cm="1">
        <f t="array" ref="M6">VEGAGREEK($B6,100,0.01,M$2,0.1)</f>
        <v>1.1090350218555134</v>
      </c>
      <c r="N6" s="2" cm="1">
        <f t="array" ref="N6">VEGAGREEK($B6,100,0.01,N$2,0.1)</f>
        <v>1.5830597373487616</v>
      </c>
      <c r="O6" s="2" cm="1">
        <f t="array" ref="O6">VEGAGREEK($B6,100,0.01,O$2,0.1)</f>
        <v>2.1458063564000582</v>
      </c>
      <c r="P6" s="2" cm="1">
        <f t="array" ref="P6">VEGAGREEK($B6,100,0.01,P$2,0.1)</f>
        <v>2.7921438532895584</v>
      </c>
      <c r="Q6" s="2" cm="1">
        <f t="array" ref="Q6">VEGAGREEK($B6,100,0.01,Q$2,0.1)</f>
        <v>3.5156733889745202</v>
      </c>
      <c r="R6" s="2" cm="1">
        <f t="array" ref="R6">VEGAGREEK($B6,100,0.01,R$2,0.1)</f>
        <v>4.3093799937730362</v>
      </c>
      <c r="S6" s="2" cm="1">
        <f t="array" ref="S6">VEGAGREEK($B6,100,0.01,S$2,0.1)</f>
        <v>5.1660867994536339</v>
      </c>
      <c r="T6" s="2" cm="1">
        <f t="array" ref="T6">VEGAGREEK($B6,100,0.01,T$2,0.1)</f>
        <v>6.0787559071853297</v>
      </c>
      <c r="U6" s="2" cm="1">
        <f t="array" ref="U6">VEGAGREEK($B6,100,0.01,U$2,0.1)</f>
        <v>7.0406763806705985</v>
      </c>
      <c r="V6" s="2" cm="1">
        <f t="array" ref="V6">VEGAGREEK($B6,100,0.01,V$2,0.1)</f>
        <v>8.0455722498671669</v>
      </c>
      <c r="W6" s="2" cm="1">
        <f t="array" ref="W6">VEGAGREEK($B6,100,0.01,W$2,0.1)</f>
        <v>9.08765556363422</v>
      </c>
      <c r="X6" s="2" cm="1">
        <f t="array" ref="X6">VEGAGREEK($B6,100,0.01,X$2,0.1)</f>
        <v>10.161642815378089</v>
      </c>
      <c r="Y6" s="2" cm="1">
        <f t="array" ref="Y6">VEGAGREEK($B6,100,0.01,Y$2,0.1)</f>
        <v>11.262747791632322</v>
      </c>
      <c r="Z6" s="2" cm="1">
        <f t="array" ref="Z6">VEGAGREEK($B6,100,0.01,Z$2,0.1)</f>
        <v>12.386659943151603</v>
      </c>
      <c r="AA6" s="2" cm="1">
        <f t="array" ref="AA6">VEGAGREEK($B6,100,0.01,AA$2,0.1)</f>
        <v>13.529514505776332</v>
      </c>
      <c r="AB6" s="2" cm="1">
        <f t="array" ref="AB6">VEGAGREEK($B6,100,0.01,AB$2,0.1)</f>
        <v>14.687858551677197</v>
      </c>
      <c r="AC6" s="2" cm="1">
        <f t="array" ref="AC6">VEGAGREEK($B6,100,0.01,AC$2,0.1)</f>
        <v>15.858615715165172</v>
      </c>
      <c r="AD6" s="2" cm="1">
        <f t="array" ref="AD6">VEGAGREEK($B6,100,0.01,AD$2,0.1)</f>
        <v>17.039051341745182</v>
      </c>
      <c r="AE6" s="2" cm="1">
        <f t="array" ref="AE6">VEGAGREEK($B6,100,0.01,AE$2,0.1)</f>
        <v>18.226739127328027</v>
      </c>
      <c r="AF6" s="2" cm="1">
        <f t="array" ref="AF6">VEGAGREEK($B6,100,0.01,AF$2,0.1)</f>
        <v>19.419529853530495</v>
      </c>
      <c r="AG6" s="2" cm="1">
        <f t="array" ref="AG6">VEGAGREEK($B6,100,0.01,AG$2,0.1)</f>
        <v>20.615522518002901</v>
      </c>
      <c r="AH6" s="2" cm="1">
        <f t="array" ref="AH6">VEGAGREEK($B6,100,0.01,AH$2,0.1)</f>
        <v>21.813037958306698</v>
      </c>
      <c r="AI6" s="2" cm="1">
        <f t="array" ref="AI6">VEGAGREEK($B6,100,0.01,AI$2,0.1)</f>
        <v>23.010594940630973</v>
      </c>
      <c r="AJ6" s="2" cm="1">
        <f t="array" ref="AJ6">VEGAGREEK($B6,100,0.01,AJ$2,0.1)</f>
        <v>24.206888607220748</v>
      </c>
      <c r="AK6" s="2" cm="1">
        <f t="array" ref="AK6">VEGAGREEK($B6,100,0.01,AK$2,0.1)</f>
        <v>25.400771132527318</v>
      </c>
      <c r="AL6" s="2" cm="1">
        <f t="array" ref="AL6">VEGAGREEK($B6,100,0.01,AL$2,0.1)</f>
        <v>26.591234416517153</v>
      </c>
      <c r="AM6" s="2" cm="1">
        <f t="array" ref="AM6">VEGAGREEK($B6,100,0.01,AM$2,0.1)</f>
        <v>27.777394636526687</v>
      </c>
      <c r="AN6" s="2" cm="1">
        <f t="array" ref="AN6">VEGAGREEK($B6,100,0.01,AN$2,0.1)</f>
        <v>28.958478481210001</v>
      </c>
      <c r="AO6" s="2" cm="1">
        <f t="array" ref="AO6">VEGAGREEK($B6,100,0.01,AO$2,0.1)</f>
        <v>30.133810897880316</v>
      </c>
      <c r="AP6" s="2" cm="1">
        <f t="array" ref="AP6">VEGAGREEK($B6,100,0.01,AP$2,0.1)</f>
        <v>31.302804195460357</v>
      </c>
      <c r="AQ6" s="2" cm="1">
        <f t="array" ref="AQ6">VEGAGREEK($B6,100,0.01,AQ$2,0.1)</f>
        <v>32.464948357718306</v>
      </c>
      <c r="AR6" s="2" cm="1">
        <f t="array" ref="AR6">VEGAGREEK($B6,100,0.01,AR$2,0.1)</f>
        <v>33.619802434420507</v>
      </c>
      <c r="AS6" s="2" cm="1">
        <f t="array" ref="AS6">VEGAGREEK($B6,100,0.01,AS$2,0.1)</f>
        <v>34.766986890812753</v>
      </c>
      <c r="AT6" s="2" cm="1">
        <f t="array" ref="AT6">VEGAGREEK($B6,100,0.01,AT$2,0.1)</f>
        <v>35.906176808047675</v>
      </c>
      <c r="AU6" s="2" cm="1">
        <f t="array" ref="AU6">VEGAGREEK($B6,100,0.01,AU$2,0.1)</f>
        <v>37.037095838571666</v>
      </c>
      <c r="AV6" s="2" cm="1">
        <f t="array" ref="AV6">VEGAGREEK($B6,100,0.01,AV$2,0.1)</f>
        <v>38.159510830970149</v>
      </c>
      <c r="AW6" s="2" cm="1">
        <f t="array" ref="AW6">VEGAGREEK($B6,100,0.01,AW$2,0.1)</f>
        <v>39.273227048299738</v>
      </c>
      <c r="AX6" s="2" cm="1">
        <f t="array" ref="AX6">VEGAGREEK($B6,100,0.01,AX$2,0.1)</f>
        <v>40.378083912534478</v>
      </c>
      <c r="AY6" s="2" cm="1">
        <f t="array" ref="AY6">VEGAGREEK($B6,100,0.01,AY$2,0.1)</f>
        <v>41.473951215457284</v>
      </c>
      <c r="AZ6" s="2" cm="1">
        <f t="array" ref="AZ6">VEGAGREEK($B6,100,0.01,AZ$2,0.1)</f>
        <v>42.56072574319996</v>
      </c>
    </row>
    <row r="7" spans="1:52" x14ac:dyDescent="0.3">
      <c r="A7" s="2"/>
      <c r="B7" s="2">
        <v>80</v>
      </c>
      <c r="C7" s="2" cm="1">
        <f t="array" ref="C7">VEGAGREEK($B7,100,0.01,C$2,0.1)</f>
        <v>2.1699726533395633E-10</v>
      </c>
      <c r="D7" s="2" cm="1">
        <f t="array" ref="D7">VEGAGREEK($B7,100,0.01,D$2,0.1)</f>
        <v>7.8107330033859321E-5</v>
      </c>
      <c r="E7" s="2" cm="1">
        <f t="array" ref="E7">VEGAGREEK($B7,100,0.01,E$2,0.1)</f>
        <v>6.0578597213752057E-3</v>
      </c>
      <c r="F7" s="2" cm="1">
        <f t="array" ref="F7">VEGAGREEK($B7,100,0.01,F$2,0.1)</f>
        <v>5.5633346565513928E-2</v>
      </c>
      <c r="G7" s="2" cm="1">
        <f t="array" ref="G7">VEGAGREEK($B7,100,0.01,G$2,0.1)</f>
        <v>0.21573604959593176</v>
      </c>
      <c r="H7" s="2" cm="1">
        <f t="array" ref="H7">VEGAGREEK($B7,100,0.01,H$2,0.1)</f>
        <v>0.54130101077600301</v>
      </c>
      <c r="I7" s="2" cm="1">
        <f t="array" ref="I7">VEGAGREEK($B7,100,0.01,I$2,0.1)</f>
        <v>1.0564824233400865</v>
      </c>
      <c r="J7" s="2" cm="1">
        <f t="array" ref="J7">VEGAGREEK($B7,100,0.01,J$2,0.1)</f>
        <v>1.7597405298560349</v>
      </c>
      <c r="K7" s="2" cm="1">
        <f t="array" ref="K7">VEGAGREEK($B7,100,0.01,K$2,0.1)</f>
        <v>2.6345645732472471</v>
      </c>
      <c r="L7" s="2" cm="1">
        <f t="array" ref="L7">VEGAGREEK($B7,100,0.01,L$2,0.1)</f>
        <v>3.6579438640896007</v>
      </c>
      <c r="M7" s="2" cm="1">
        <f t="array" ref="M7">VEGAGREEK($B7,100,0.01,M$2,0.1)</f>
        <v>4.8055106625940036</v>
      </c>
      <c r="N7" s="2" cm="1">
        <f t="array" ref="N7">VEGAGREEK($B7,100,0.01,N$2,0.1)</f>
        <v>6.0542107375036078</v>
      </c>
      <c r="O7" s="2" cm="1">
        <f t="array" ref="O7">VEGAGREEK($B7,100,0.01,O$2,0.1)</f>
        <v>7.3834681318007167</v>
      </c>
      <c r="P7" s="2" cm="1">
        <f t="array" ref="P7">VEGAGREEK($B7,100,0.01,P$2,0.1)</f>
        <v>8.7755244078076231</v>
      </c>
      <c r="Q7" s="2" cm="1">
        <f t="array" ref="Q7">VEGAGREEK($B7,100,0.01,Q$2,0.1)</f>
        <v>10.215363705976863</v>
      </c>
      <c r="R7" s="2" cm="1">
        <f t="array" ref="R7">VEGAGREEK($B7,100,0.01,R$2,0.1)</f>
        <v>11.690453898423167</v>
      </c>
      <c r="S7" s="2" cm="1">
        <f t="array" ref="S7">VEGAGREEK($B7,100,0.01,S$2,0.1)</f>
        <v>13.190425761886248</v>
      </c>
      <c r="T7" s="2" cm="1">
        <f t="array" ref="T7">VEGAGREEK($B7,100,0.01,T$2,0.1)</f>
        <v>14.706750941484534</v>
      </c>
      <c r="U7" s="2" cm="1">
        <f t="array" ref="U7">VEGAGREEK($B7,100,0.01,U$2,0.1)</f>
        <v>16.232446270376744</v>
      </c>
      <c r="V7" s="2" cm="1">
        <f t="array" ref="V7">VEGAGREEK($B7,100,0.01,V$2,0.1)</f>
        <v>17.761814611091616</v>
      </c>
      <c r="W7" s="2" cm="1">
        <f t="array" ref="W7">VEGAGREEK($B7,100,0.01,W$2,0.1)</f>
        <v>19.290223678106393</v>
      </c>
      <c r="X7" s="2" cm="1">
        <f t="array" ref="X7">VEGAGREEK($B7,100,0.01,X$2,0.1)</f>
        <v>20.813920267769092</v>
      </c>
      <c r="Y7" s="2" cm="1">
        <f t="array" ref="Y7">VEGAGREEK($B7,100,0.01,Y$2,0.1)</f>
        <v>22.329875735574909</v>
      </c>
      <c r="Z7" s="2" cm="1">
        <f t="array" ref="Z7">VEGAGREEK($B7,100,0.01,Z$2,0.1)</f>
        <v>23.835658209134973</v>
      </c>
      <c r="AA7" s="2" cm="1">
        <f t="array" ref="AA7">VEGAGREEK($B7,100,0.01,AA$2,0.1)</f>
        <v>25.329327256841214</v>
      </c>
      <c r="AB7" s="2" cm="1">
        <f t="array" ref="AB7">VEGAGREEK($B7,100,0.01,AB$2,0.1)</f>
        <v>26.809347204871688</v>
      </c>
      <c r="AC7" s="2" cm="1">
        <f t="array" ref="AC7">VEGAGREEK($B7,100,0.01,AC$2,0.1)</f>
        <v>28.274515834476112</v>
      </c>
      <c r="AD7" s="2" cm="1">
        <f t="array" ref="AD7">VEGAGREEK($B7,100,0.01,AD$2,0.1)</f>
        <v>29.723905713547193</v>
      </c>
      <c r="AE7" s="2" cm="1">
        <f t="array" ref="AE7">VEGAGREEK($B7,100,0.01,AE$2,0.1)</f>
        <v>31.156815885262642</v>
      </c>
      <c r="AF7" s="2" cm="1">
        <f t="array" ref="AF7">VEGAGREEK($B7,100,0.01,AF$2,0.1)</f>
        <v>32.572732040617637</v>
      </c>
      <c r="AG7" s="2" cm="1">
        <f t="array" ref="AG7">VEGAGREEK($B7,100,0.01,AG$2,0.1)</f>
        <v>33.971293641529726</v>
      </c>
      <c r="AH7" s="2" cm="1">
        <f t="array" ref="AH7">VEGAGREEK($B7,100,0.01,AH$2,0.1)</f>
        <v>35.352266742804268</v>
      </c>
      <c r="AI7" s="2" cm="1">
        <f t="array" ref="AI7">VEGAGREEK($B7,100,0.01,AI$2,0.1)</f>
        <v>36.71552149238866</v>
      </c>
      <c r="AJ7" s="2" cm="1">
        <f t="array" ref="AJ7">VEGAGREEK($B7,100,0.01,AJ$2,0.1)</f>
        <v>38.061013477952898</v>
      </c>
      <c r="AK7" s="2" cm="1">
        <f t="array" ref="AK7">VEGAGREEK($B7,100,0.01,AK$2,0.1)</f>
        <v>39.388768241210734</v>
      </c>
      <c r="AL7" s="2" cm="1">
        <f t="array" ref="AL7">VEGAGREEK($B7,100,0.01,AL$2,0.1)</f>
        <v>40.698868405898288</v>
      </c>
      <c r="AM7" s="2" cm="1">
        <f t="array" ref="AM7">VEGAGREEK($B7,100,0.01,AM$2,0.1)</f>
        <v>41.991442966330723</v>
      </c>
      <c r="AN7" s="2" cm="1">
        <f t="array" ref="AN7">VEGAGREEK($B7,100,0.01,AN$2,0.1)</f>
        <v>43.266658365415772</v>
      </c>
      <c r="AO7" s="2" cm="1">
        <f t="array" ref="AO7">VEGAGREEK($B7,100,0.01,AO$2,0.1)</f>
        <v>44.52471105756284</v>
      </c>
      <c r="AP7" s="2" cm="1">
        <f t="array" ref="AP7">VEGAGREEK($B7,100,0.01,AP$2,0.1)</f>
        <v>45.765821306048551</v>
      </c>
      <c r="AQ7" s="2" cm="1">
        <f t="array" ref="AQ7">VEGAGREEK($B7,100,0.01,AQ$2,0.1)</f>
        <v>46.990228008479185</v>
      </c>
      <c r="AR7" s="2" cm="1">
        <f t="array" ref="AR7">VEGAGREEK($B7,100,0.01,AR$2,0.1)</f>
        <v>48.198184379954562</v>
      </c>
      <c r="AS7" s="2" cm="1">
        <f t="array" ref="AS7">VEGAGREEK($B7,100,0.01,AS$2,0.1)</f>
        <v>49.389954352938304</v>
      </c>
      <c r="AT7" s="2" cm="1">
        <f t="array" ref="AT7">VEGAGREEK($B7,100,0.01,AT$2,0.1)</f>
        <v>50.565809576925197</v>
      </c>
      <c r="AU7" s="2" cm="1">
        <f t="array" ref="AU7">VEGAGREEK($B7,100,0.01,AU$2,0.1)</f>
        <v>51.726026920767062</v>
      </c>
      <c r="AV7" s="2" cm="1">
        <f t="array" ref="AV7">VEGAGREEK($B7,100,0.01,AV$2,0.1)</f>
        <v>52.870886396786894</v>
      </c>
      <c r="AW7" s="2" cm="1">
        <f t="array" ref="AW7">VEGAGREEK($B7,100,0.01,AW$2,0.1)</f>
        <v>54.000669439221248</v>
      </c>
      <c r="AX7" s="2" cm="1">
        <f t="array" ref="AX7">VEGAGREEK($B7,100,0.01,AX$2,0.1)</f>
        <v>55.115657480614558</v>
      </c>
      <c r="AY7" s="2" cm="1">
        <f t="array" ref="AY7">VEGAGREEK($B7,100,0.01,AY$2,0.1)</f>
        <v>56.216130778964526</v>
      </c>
      <c r="AZ7" s="2" cm="1">
        <f t="array" ref="AZ7">VEGAGREEK($B7,100,0.01,AZ$2,0.1)</f>
        <v>57.302367456033565</v>
      </c>
    </row>
    <row r="8" spans="1:52" x14ac:dyDescent="0.3">
      <c r="A8" s="2"/>
      <c r="B8" s="2">
        <v>85</v>
      </c>
      <c r="C8" s="2" cm="1">
        <f t="array" ref="C8">VEGAGREEK($B8,100,0.01,C$2,0.1)</f>
        <v>2.5138056835713343E-5</v>
      </c>
      <c r="D8" s="2" cm="1">
        <f t="array" ref="D8">VEGAGREEK($B8,100,0.01,D$2,0.1)</f>
        <v>2.6184740803568227E-2</v>
      </c>
      <c r="E8" s="2" cm="1">
        <f t="array" ref="E8">VEGAGREEK($B8,100,0.01,E$2,0.1)</f>
        <v>0.28940234587731306</v>
      </c>
      <c r="F8" s="2" cm="1">
        <f t="array" ref="F8">VEGAGREEK($B8,100,0.01,F$2,0.1)</f>
        <v>1.0033008819090707</v>
      </c>
      <c r="G8" s="2" cm="1">
        <f t="array" ref="G8">VEGAGREEK($B8,100,0.01,G$2,0.1)</f>
        <v>2.1685359940348929</v>
      </c>
      <c r="H8" s="2" cm="1">
        <f t="array" ref="H8">VEGAGREEK($B8,100,0.01,H$2,0.1)</f>
        <v>3.6850893362287698</v>
      </c>
      <c r="I8" s="2" cm="1">
        <f t="array" ref="I8">VEGAGREEK($B8,100,0.01,I$2,0.1)</f>
        <v>5.4448949916165557</v>
      </c>
      <c r="J8" s="2" cm="1">
        <f t="array" ref="J8">VEGAGREEK($B8,100,0.01,J$2,0.1)</f>
        <v>7.3606201526075647</v>
      </c>
      <c r="K8" s="2" cm="1">
        <f t="array" ref="K8">VEGAGREEK($B8,100,0.01,K$2,0.1)</f>
        <v>9.3682861219506925</v>
      </c>
      <c r="L8" s="2" cm="1">
        <f t="array" ref="L8">VEGAGREEK($B8,100,0.01,L$2,0.1)</f>
        <v>11.422910084499065</v>
      </c>
      <c r="M8" s="2" cm="1">
        <f t="array" ref="M8">VEGAGREEK($B8,100,0.01,M$2,0.1)</f>
        <v>13.493491524955594</v>
      </c>
      <c r="N8" s="2" cm="1">
        <f t="array" ref="N8">VEGAGREEK($B8,100,0.01,N$2,0.1)</f>
        <v>15.558935866720065</v>
      </c>
      <c r="O8" s="2" cm="1">
        <f t="array" ref="O8">VEGAGREEK($B8,100,0.01,O$2,0.1)</f>
        <v>17.605064516370977</v>
      </c>
      <c r="P8" s="2" cm="1">
        <f t="array" ref="P8">VEGAGREEK($B8,100,0.01,P$2,0.1)</f>
        <v>19.622505523714572</v>
      </c>
      <c r="Q8" s="2" cm="1">
        <f t="array" ref="Q8">VEGAGREEK($B8,100,0.01,Q$2,0.1)</f>
        <v>21.605226580724796</v>
      </c>
      <c r="R8" s="2" cm="1">
        <f t="array" ref="R8">VEGAGREEK($B8,100,0.01,R$2,0.1)</f>
        <v>23.549518060852794</v>
      </c>
      <c r="S8" s="2" cm="1">
        <f t="array" ref="S8">VEGAGREEK($B8,100,0.01,S$2,0.1)</f>
        <v>25.453286673382276</v>
      </c>
      <c r="T8" s="2" cm="1">
        <f t="array" ref="T8">VEGAGREEK($B8,100,0.01,T$2,0.1)</f>
        <v>27.315562761401633</v>
      </c>
      <c r="U8" s="2" cm="1">
        <f t="array" ref="U8">VEGAGREEK($B8,100,0.01,U$2,0.1)</f>
        <v>29.136154869722606</v>
      </c>
      <c r="V8" s="2" cm="1">
        <f t="array" ref="V8">VEGAGREEK($B8,100,0.01,V$2,0.1)</f>
        <v>30.91540633935762</v>
      </c>
      <c r="W8" s="2" cm="1">
        <f t="array" ref="W8">VEGAGREEK($B8,100,0.01,W$2,0.1)</f>
        <v>32.654023031188579</v>
      </c>
      <c r="X8" s="2" cm="1">
        <f t="array" ref="X8">VEGAGREEK($B8,100,0.01,X$2,0.1)</f>
        <v>34.352950973590559</v>
      </c>
      <c r="Y8" s="2" cm="1">
        <f t="array" ref="Y8">VEGAGREEK($B8,100,0.01,Y$2,0.1)</f>
        <v>36.013289285217944</v>
      </c>
      <c r="Z8" s="2" cm="1">
        <f t="array" ref="Z8">VEGAGREEK($B8,100,0.01,Z$2,0.1)</f>
        <v>37.636228179922504</v>
      </c>
      <c r="AA8" s="2" cm="1">
        <f t="array" ref="AA8">VEGAGREEK($B8,100,0.01,AA$2,0.1)</f>
        <v>39.223004908309086</v>
      </c>
      <c r="AB8" s="2" cm="1">
        <f t="array" ref="AB8">VEGAGREEK($B8,100,0.01,AB$2,0.1)</f>
        <v>40.774872590025311</v>
      </c>
      <c r="AC8" s="2" cm="1">
        <f t="array" ref="AC8">VEGAGREEK($B8,100,0.01,AC$2,0.1)</f>
        <v>42.293078348475902</v>
      </c>
      <c r="AD8" s="2" cm="1">
        <f t="array" ref="AD8">VEGAGREEK($B8,100,0.01,AD$2,0.1)</f>
        <v>43.778848179358882</v>
      </c>
      <c r="AE8" s="2" cm="1">
        <f t="array" ref="AE8">VEGAGREEK($B8,100,0.01,AE$2,0.1)</f>
        <v>45.233376703178656</v>
      </c>
      <c r="AF8" s="2" cm="1">
        <f t="array" ref="AF8">VEGAGREEK($B8,100,0.01,AF$2,0.1)</f>
        <v>46.657820462206047</v>
      </c>
      <c r="AG8" s="2" cm="1">
        <f t="array" ref="AG8">VEGAGREEK($B8,100,0.01,AG$2,0.1)</f>
        <v>48.053293787181111</v>
      </c>
      <c r="AH8" s="2" cm="1">
        <f t="array" ref="AH8">VEGAGREEK($B8,100,0.01,AH$2,0.1)</f>
        <v>49.420866521565671</v>
      </c>
      <c r="AI8" s="2" cm="1">
        <f t="array" ref="AI8">VEGAGREEK($B8,100,0.01,AI$2,0.1)</f>
        <v>50.761563081184711</v>
      </c>
      <c r="AJ8" s="2" cm="1">
        <f t="array" ref="AJ8">VEGAGREEK($B8,100,0.01,AJ$2,0.1)</f>
        <v>52.076362465427458</v>
      </c>
      <c r="AK8" s="2" cm="1">
        <f t="array" ref="AK8">VEGAGREEK($B8,100,0.01,AK$2,0.1)</f>
        <v>53.366198937387779</v>
      </c>
      <c r="AL8" s="2" cm="1">
        <f t="array" ref="AL8">VEGAGREEK($B8,100,0.01,AL$2,0.1)</f>
        <v>54.631963164708807</v>
      </c>
      <c r="AM8" s="2" cm="1">
        <f t="array" ref="AM8">VEGAGREEK($B8,100,0.01,AM$2,0.1)</f>
        <v>55.874503667787209</v>
      </c>
      <c r="AN8" s="2" cm="1">
        <f t="array" ref="AN8">VEGAGREEK($B8,100,0.01,AN$2,0.1)</f>
        <v>57.094628462638489</v>
      </c>
      <c r="AO8" s="2" cm="1">
        <f t="array" ref="AO8">VEGAGREEK($B8,100,0.01,AO$2,0.1)</f>
        <v>58.293106815906789</v>
      </c>
      <c r="AP8" s="2" cm="1">
        <f t="array" ref="AP8">VEGAGREEK($B8,100,0.01,AP$2,0.1)</f>
        <v>59.470671051964622</v>
      </c>
      <c r="AQ8" s="2" cm="1">
        <f t="array" ref="AQ8">VEGAGREEK($B8,100,0.01,AQ$2,0.1)</f>
        <v>60.628018368789895</v>
      </c>
      <c r="AR8" s="2" cm="1">
        <f t="array" ref="AR8">VEGAGREEK($B8,100,0.01,AR$2,0.1)</f>
        <v>61.765812631792826</v>
      </c>
      <c r="AS8" s="2" cm="1">
        <f t="array" ref="AS8">VEGAGREEK($B8,100,0.01,AS$2,0.1)</f>
        <v>62.884686124075138</v>
      </c>
      <c r="AT8" s="2" cm="1">
        <f t="array" ref="AT8">VEGAGREEK($B8,100,0.01,AT$2,0.1)</f>
        <v>63.98524123853732</v>
      </c>
      <c r="AU8" s="2" cm="1">
        <f t="array" ref="AU8">VEGAGREEK($B8,100,0.01,AU$2,0.1)</f>
        <v>65.068052102396592</v>
      </c>
      <c r="AV8" s="2" cm="1">
        <f t="array" ref="AV8">VEGAGREEK($B8,100,0.01,AV$2,0.1)</f>
        <v>66.133666128488088</v>
      </c>
      <c r="AW8" s="2" cm="1">
        <f t="array" ref="AW8">VEGAGREEK($B8,100,0.01,AW$2,0.1)</f>
        <v>67.18260549051783</v>
      </c>
      <c r="AX8" s="2" cm="1">
        <f t="array" ref="AX8">VEGAGREEK($B8,100,0.01,AX$2,0.1)</f>
        <v>68.215368521475582</v>
      </c>
      <c r="AY8" s="2" cm="1">
        <f t="array" ref="AY8">VEGAGREEK($B8,100,0.01,AY$2,0.1)</f>
        <v>69.232431035879785</v>
      </c>
      <c r="AZ8" s="2" cm="1">
        <f t="array" ref="AZ8">VEGAGREEK($B8,100,0.01,AZ$2,0.1)</f>
        <v>70.234247577560907</v>
      </c>
    </row>
    <row r="9" spans="1:52" x14ac:dyDescent="0.3">
      <c r="A9" s="2"/>
      <c r="B9" s="2">
        <v>90</v>
      </c>
      <c r="C9" s="2" cm="1">
        <f t="array" ref="C9">VEGAGREEK($B9,100,0.01,C$2,0.1)</f>
        <v>5.161593864477447E-2</v>
      </c>
      <c r="D9" s="2" cm="1">
        <f t="array" ref="D9">VEGAGREEK($B9,100,0.01,D$2,0.1)</f>
        <v>1.1696837223341141</v>
      </c>
      <c r="E9" s="2" cm="1">
        <f t="array" ref="E9">VEGAGREEK($B9,100,0.01,E$2,0.1)</f>
        <v>3.6089280836016511</v>
      </c>
      <c r="F9" s="2" cm="1">
        <f t="array" ref="F9">VEGAGREEK($B9,100,0.01,F$2,0.1)</f>
        <v>6.6105163163659935</v>
      </c>
      <c r="G9" s="2" cm="1">
        <f t="array" ref="G9">VEGAGREEK($B9,100,0.01,G$2,0.1)</f>
        <v>9.7437835238203103</v>
      </c>
      <c r="H9" s="2" cm="1">
        <f t="array" ref="H9">VEGAGREEK($B9,100,0.01,H$2,0.1)</f>
        <v>12.828628098948192</v>
      </c>
      <c r="I9" s="2" cm="1">
        <f t="array" ref="I9">VEGAGREEK($B9,100,0.01,I$2,0.1)</f>
        <v>15.796405593882863</v>
      </c>
      <c r="J9" s="2" cm="1">
        <f t="array" ref="J9">VEGAGREEK($B9,100,0.01,J$2,0.1)</f>
        <v>18.625614252560368</v>
      </c>
      <c r="K9" s="2" cm="1">
        <f t="array" ref="K9">VEGAGREEK($B9,100,0.01,K$2,0.1)</f>
        <v>21.314624132838873</v>
      </c>
      <c r="L9" s="2" cm="1">
        <f t="array" ref="L9">VEGAGREEK($B9,100,0.01,L$2,0.1)</f>
        <v>23.869941692283714</v>
      </c>
      <c r="M9" s="2" cm="1">
        <f t="array" ref="M9">VEGAGREEK($B9,100,0.01,M$2,0.1)</f>
        <v>26.30103897762735</v>
      </c>
      <c r="N9" s="2" cm="1">
        <f t="array" ref="N9">VEGAGREEK($B9,100,0.01,N$2,0.1)</f>
        <v>28.618053545414767</v>
      </c>
      <c r="O9" s="2" cm="1">
        <f t="array" ref="O9">VEGAGREEK($B9,100,0.01,O$2,0.1)</f>
        <v>30.830785659159925</v>
      </c>
      <c r="P9" s="2" cm="1">
        <f t="array" ref="P9">VEGAGREEK($B9,100,0.01,P$2,0.1)</f>
        <v>32.948295168271379</v>
      </c>
      <c r="Q9" s="2" cm="1">
        <f t="array" ref="Q9">VEGAGREEK($B9,100,0.01,Q$2,0.1)</f>
        <v>34.978777578326621</v>
      </c>
      <c r="R9" s="2" cm="1">
        <f t="array" ref="R9">VEGAGREEK($B9,100,0.01,R$2,0.1)</f>
        <v>36.929567949432844</v>
      </c>
      <c r="S9" s="2" cm="1">
        <f t="array" ref="S9">VEGAGREEK($B9,100,0.01,S$2,0.1)</f>
        <v>38.807199875330056</v>
      </c>
      <c r="T9" s="2" cm="1">
        <f t="array" ref="T9">VEGAGREEK($B9,100,0.01,T$2,0.1)</f>
        <v>40.61748442388604</v>
      </c>
      <c r="U9" s="2" cm="1">
        <f t="array" ref="U9">VEGAGREEK($B9,100,0.01,U$2,0.1)</f>
        <v>42.365592327205121</v>
      </c>
      <c r="V9" s="2" cm="1">
        <f t="array" ref="V9">VEGAGREEK($B9,100,0.01,V$2,0.1)</f>
        <v>44.056131835136</v>
      </c>
      <c r="W9" s="2" cm="1">
        <f t="array" ref="W9">VEGAGREEK($B9,100,0.01,W$2,0.1)</f>
        <v>45.693219181893703</v>
      </c>
      <c r="X9" s="2" cm="1">
        <f t="array" ref="X9">VEGAGREEK($B9,100,0.01,X$2,0.1)</f>
        <v>47.280540842203052</v>
      </c>
      <c r="Y9" s="2" cm="1">
        <f t="array" ref="Y9">VEGAGREEK($B9,100,0.01,Y$2,0.1)</f>
        <v>48.821407806139739</v>
      </c>
      <c r="Z9" s="2" cm="1">
        <f t="array" ref="Z9">VEGAGREEK($B9,100,0.01,Z$2,0.1)</f>
        <v>50.318802556941918</v>
      </c>
      <c r="AA9" s="2" cm="1">
        <f t="array" ref="AA9">VEGAGREEK($B9,100,0.01,AA$2,0.1)</f>
        <v>51.775419590136742</v>
      </c>
      <c r="AB9" s="2" cm="1">
        <f t="array" ref="AB9">VEGAGREEK($B9,100,0.01,AB$2,0.1)</f>
        <v>53.193700319340437</v>
      </c>
      <c r="AC9" s="2" cm="1">
        <f t="array" ref="AC9">VEGAGREEK($B9,100,0.01,AC$2,0.1)</f>
        <v>54.575863154025932</v>
      </c>
      <c r="AD9" s="2" cm="1">
        <f t="array" ref="AD9">VEGAGREEK($B9,100,0.01,AD$2,0.1)</f>
        <v>55.923929448570632</v>
      </c>
      <c r="AE9" s="2" cm="1">
        <f t="array" ref="AE9">VEGAGREEK($B9,100,0.01,AE$2,0.1)</f>
        <v>57.239745930653008</v>
      </c>
      <c r="AF9" s="2" cm="1">
        <f t="array" ref="AF9">VEGAGREEK($B9,100,0.01,AF$2,0.1)</f>
        <v>58.525004130384147</v>
      </c>
      <c r="AG9" s="2" cm="1">
        <f t="array" ref="AG9">VEGAGREEK($B9,100,0.01,AG$2,0.1)</f>
        <v>59.781257253580584</v>
      </c>
      <c r="AH9" s="2" cm="1">
        <f t="array" ref="AH9">VEGAGREEK($B9,100,0.01,AH$2,0.1)</f>
        <v>61.009934874535865</v>
      </c>
      <c r="AI9" s="2" cm="1">
        <f t="array" ref="AI9">VEGAGREEK($B9,100,0.01,AI$2,0.1)</f>
        <v>62.21235576532419</v>
      </c>
      <c r="AJ9" s="2" cm="1">
        <f t="array" ref="AJ9">VEGAGREEK($B9,100,0.01,AJ$2,0.1)</f>
        <v>63.389739129222136</v>
      </c>
      <c r="AK9" s="2" cm="1">
        <f t="array" ref="AK9">VEGAGREEK($B9,100,0.01,AK$2,0.1)</f>
        <v>64.543214464183336</v>
      </c>
      <c r="AL9" s="2" cm="1">
        <f t="array" ref="AL9">VEGAGREEK($B9,100,0.01,AL$2,0.1)</f>
        <v>65.673830247346118</v>
      </c>
      <c r="AM9" s="2" cm="1">
        <f t="array" ref="AM9">VEGAGREEK($B9,100,0.01,AM$2,0.1)</f>
        <v>66.782561602269311</v>
      </c>
      <c r="AN9" s="2" cm="1">
        <f t="array" ref="AN9">VEGAGREEK($B9,100,0.01,AN$2,0.1)</f>
        <v>67.870317086069704</v>
      </c>
      <c r="AO9" s="2" cm="1">
        <f t="array" ref="AO9">VEGAGREEK($B9,100,0.01,AO$2,0.1)</f>
        <v>68.937944713090332</v>
      </c>
      <c r="AP9" s="2" cm="1">
        <f t="array" ref="AP9">VEGAGREEK($B9,100,0.01,AP$2,0.1)</f>
        <v>69.986237314498325</v>
      </c>
      <c r="AQ9" s="2" cm="1">
        <f t="array" ref="AQ9">VEGAGREEK($B9,100,0.01,AQ$2,0.1)</f>
        <v>71.015937318738565</v>
      </c>
      <c r="AR9" s="2" cm="1">
        <f t="array" ref="AR9">VEGAGREEK($B9,100,0.01,AR$2,0.1)</f>
        <v>72.027741025587659</v>
      </c>
      <c r="AS9" s="2" cm="1">
        <f t="array" ref="AS9">VEGAGREEK($B9,100,0.01,AS$2,0.1)</f>
        <v>73.022302436280611</v>
      </c>
      <c r="AT9" s="2" cm="1">
        <f t="array" ref="AT9">VEGAGREEK($B9,100,0.01,AT$2,0.1)</f>
        <v>74.000236693499573</v>
      </c>
      <c r="AU9" s="2" cm="1">
        <f t="array" ref="AU9">VEGAGREEK($B9,100,0.01,AU$2,0.1)</f>
        <v>74.962123177655172</v>
      </c>
      <c r="AV9" s="2" cm="1">
        <f t="array" ref="AV9">VEGAGREEK($B9,100,0.01,AV$2,0.1)</f>
        <v>75.908508299643842</v>
      </c>
      <c r="AW9" s="2" cm="1">
        <f t="array" ref="AW9">VEGAGREEK($B9,100,0.01,AW$2,0.1)</f>
        <v>76.839908024941792</v>
      </c>
      <c r="AX9" s="2" cm="1">
        <f t="array" ref="AX9">VEGAGREEK($B9,100,0.01,AX$2,0.1)</f>
        <v>77.756810159356135</v>
      </c>
      <c r="AY9" s="2" cm="1">
        <f t="array" ref="AY9">VEGAGREEK($B9,100,0.01,AY$2,0.1)</f>
        <v>78.659676422865985</v>
      </c>
      <c r="AZ9" s="2" cm="1">
        <f t="array" ref="AZ9">VEGAGREEK($B9,100,0.01,AZ$2,0.1)</f>
        <v>79.548944334653157</v>
      </c>
    </row>
    <row r="10" spans="1:52" x14ac:dyDescent="0.3">
      <c r="A10" s="2"/>
      <c r="B10" s="2">
        <v>95</v>
      </c>
      <c r="C10" s="2" cm="1">
        <f t="array" ref="C10">VEGAGREEK($B10,100,0.01,C$2,0.1)</f>
        <v>3.4693238841801244</v>
      </c>
      <c r="D10" s="2" cm="1">
        <f t="array" ref="D10">VEGAGREEK($B10,100,0.01,D$2,0.1)</f>
        <v>9.4608178373498504</v>
      </c>
      <c r="E10" s="2" cm="1">
        <f t="array" ref="E10">VEGAGREEK($B10,100,0.01,E$2,0.1)</f>
        <v>14.411356711779723</v>
      </c>
      <c r="F10" s="2" cm="1">
        <f t="array" ref="F10">VEGAGREEK($B10,100,0.01,F$2,0.1)</f>
        <v>18.547920454659685</v>
      </c>
      <c r="G10" s="2" cm="1">
        <f t="array" ref="G10">VEGAGREEK($B10,100,0.01,G$2,0.1)</f>
        <v>22.122153003014301</v>
      </c>
      <c r="H10" s="2" cm="1">
        <f t="array" ref="H10">VEGAGREEK($B10,100,0.01,H$2,0.1)</f>
        <v>25.291422770740375</v>
      </c>
      <c r="I10" s="2" cm="1">
        <f t="array" ref="I10">VEGAGREEK($B10,100,0.01,I$2,0.1)</f>
        <v>28.155342127741203</v>
      </c>
      <c r="J10" s="2" cm="1">
        <f t="array" ref="J10">VEGAGREEK($B10,100,0.01,J$2,0.1)</f>
        <v>30.780115974298614</v>
      </c>
      <c r="K10" s="2" cm="1">
        <f t="array" ref="K10">VEGAGREEK($B10,100,0.01,K$2,0.1)</f>
        <v>33.21183411449131</v>
      </c>
      <c r="L10" s="2" cm="1">
        <f t="array" ref="L10">VEGAGREEK($B10,100,0.01,L$2,0.1)</f>
        <v>35.483868952949415</v>
      </c>
      <c r="M10" s="2" cm="1">
        <f t="array" ref="M10">VEGAGREEK($B10,100,0.01,M$2,0.1)</f>
        <v>37.621187447894798</v>
      </c>
      <c r="N10" s="2" cm="1">
        <f t="array" ref="N10">VEGAGREEK($B10,100,0.01,N$2,0.1)</f>
        <v>39.642984351545465</v>
      </c>
      <c r="O10" s="2" cm="1">
        <f t="array" ref="O10">VEGAGREEK($B10,100,0.01,O$2,0.1)</f>
        <v>41.564359019562545</v>
      </c>
      <c r="P10" s="2" cm="1">
        <f t="array" ref="P10">VEGAGREEK($B10,100,0.01,P$2,0.1)</f>
        <v>43.397422910043034</v>
      </c>
      <c r="Q10" s="2" cm="1">
        <f t="array" ref="Q10">VEGAGREEK($B10,100,0.01,Q$2,0.1)</f>
        <v>45.152054636509035</v>
      </c>
      <c r="R10" s="2" cm="1">
        <f t="array" ref="R10">VEGAGREEK($B10,100,0.01,R$2,0.1)</f>
        <v>46.83642914048496</v>
      </c>
      <c r="S10" s="2" cm="1">
        <f t="array" ref="S10">VEGAGREEK($B10,100,0.01,S$2,0.1)</f>
        <v>48.457397618149542</v>
      </c>
      <c r="T10" s="2" cm="1">
        <f t="array" ref="T10">VEGAGREEK($B10,100,0.01,T$2,0.1)</f>
        <v>50.020766148463288</v>
      </c>
      <c r="U10" s="2" cm="1">
        <f t="array" ref="U10">VEGAGREEK($B10,100,0.01,U$2,0.1)</f>
        <v>51.531503909205441</v>
      </c>
      <c r="V10" s="2" cm="1">
        <f t="array" ref="V10">VEGAGREEK($B10,100,0.01,V$2,0.1)</f>
        <v>52.993901401176288</v>
      </c>
      <c r="W10" s="2" cm="1">
        <f t="array" ref="W10">VEGAGREEK($B10,100,0.01,W$2,0.1)</f>
        <v>54.411692499018621</v>
      </c>
      <c r="X10" s="2" cm="1">
        <f t="array" ref="X10">VEGAGREEK($B10,100,0.01,X$2,0.1)</f>
        <v>55.788149877248394</v>
      </c>
      <c r="Y10" s="2" cm="1">
        <f t="array" ref="Y10">VEGAGREEK($B10,100,0.01,Y$2,0.1)</f>
        <v>57.126160535308848</v>
      </c>
      <c r="Z10" s="2" cm="1">
        <f t="array" ref="Z10">VEGAGREEK($B10,100,0.01,Z$2,0.1)</f>
        <v>58.428286238036669</v>
      </c>
      <c r="AA10" s="2" cm="1">
        <f t="array" ref="AA10">VEGAGREEK($B10,100,0.01,AA$2,0.1)</f>
        <v>59.696812375732556</v>
      </c>
      <c r="AB10" s="2" cm="1">
        <f t="array" ref="AB10">VEGAGREEK($B10,100,0.01,AB$2,0.1)</f>
        <v>60.933787829846494</v>
      </c>
      <c r="AC10" s="2" cm="1">
        <f t="array" ref="AC10">VEGAGREEK($B10,100,0.01,AC$2,0.1)</f>
        <v>62.141057777732406</v>
      </c>
      <c r="AD10" s="2" cm="1">
        <f t="array" ref="AD10">VEGAGREEK($B10,100,0.01,AD$2,0.1)</f>
        <v>63.320290899475886</v>
      </c>
      <c r="AE10" s="2" cm="1">
        <f t="array" ref="AE10">VEGAGREEK($B10,100,0.01,AE$2,0.1)</f>
        <v>64.473002106134402</v>
      </c>
      <c r="AF10" s="2" cm="1">
        <f t="array" ref="AF10">VEGAGREEK($B10,100,0.01,AF$2,0.1)</f>
        <v>65.600571654605972</v>
      </c>
      <c r="AG10" s="2" cm="1">
        <f t="array" ref="AG10">VEGAGREEK($B10,100,0.01,AG$2,0.1)</f>
        <v>66.704261324296979</v>
      </c>
      <c r="AH10" s="2" cm="1">
        <f t="array" ref="AH10">VEGAGREEK($B10,100,0.01,AH$2,0.1)</f>
        <v>67.785228187134834</v>
      </c>
      <c r="AI10" s="2" cm="1">
        <f t="array" ref="AI10">VEGAGREEK($B10,100,0.01,AI$2,0.1)</f>
        <v>68.84453639286275</v>
      </c>
      <c r="AJ10" s="2" cm="1">
        <f t="array" ref="AJ10">VEGAGREEK($B10,100,0.01,AJ$2,0.1)</f>
        <v>69.883167307136887</v>
      </c>
      <c r="AK10" s="2" cm="1">
        <f t="array" ref="AK10">VEGAGREEK($B10,100,0.01,AK$2,0.1)</f>
        <v>70.90202827437426</v>
      </c>
      <c r="AL10" s="2" cm="1">
        <f t="array" ref="AL10">VEGAGREEK($B10,100,0.01,AL$2,0.1)</f>
        <v>71.901960225955406</v>
      </c>
      <c r="AM10" s="2" cm="1">
        <f t="array" ref="AM10">VEGAGREEK($B10,100,0.01,AM$2,0.1)</f>
        <v>72.883744313878196</v>
      </c>
      <c r="AN10" s="2" cm="1">
        <f t="array" ref="AN10">VEGAGREEK($B10,100,0.01,AN$2,0.1)</f>
        <v>73.848107717774937</v>
      </c>
      <c r="AO10" s="2" cm="1">
        <f t="array" ref="AO10">VEGAGREEK($B10,100,0.01,AO$2,0.1)</f>
        <v>74.795728747460444</v>
      </c>
      <c r="AP10" s="2" cm="1">
        <f t="array" ref="AP10">VEGAGREEK($B10,100,0.01,AP$2,0.1)</f>
        <v>75.727241342456978</v>
      </c>
      <c r="AQ10" s="2" cm="1">
        <f t="array" ref="AQ10">VEGAGREEK($B10,100,0.01,AQ$2,0.1)</f>
        <v>76.643239053162489</v>
      </c>
      <c r="AR10" s="2" cm="1">
        <f t="array" ref="AR10">VEGAGREEK($B10,100,0.01,AR$2,0.1)</f>
        <v>77.544278574663721</v>
      </c>
      <c r="AS10" s="2" cm="1">
        <f t="array" ref="AS10">VEGAGREEK($B10,100,0.01,AS$2,0.1)</f>
        <v>78.430882893008302</v>
      </c>
      <c r="AT10" s="2" cm="1">
        <f t="array" ref="AT10">VEGAGREEK($B10,100,0.01,AT$2,0.1)</f>
        <v>79.303544094544449</v>
      </c>
      <c r="AU10" s="2" cm="1">
        <f t="array" ref="AU10">VEGAGREEK($B10,100,0.01,AU$2,0.1)</f>
        <v>80.162725881323198</v>
      </c>
      <c r="AV10" s="2" cm="1">
        <f t="array" ref="AV10">VEGAGREEK($B10,100,0.01,AV$2,0.1)</f>
        <v>81.00886582923556</v>
      </c>
      <c r="AW10" s="2" cm="1">
        <f t="array" ref="AW10">VEGAGREEK($B10,100,0.01,AW$2,0.1)</f>
        <v>81.842377420278837</v>
      </c>
      <c r="AX10" s="2" cm="1">
        <f t="array" ref="AX10">VEGAGREEK($B10,100,0.01,AX$2,0.1)</f>
        <v>82.663651875926917</v>
      </c>
      <c r="AY10" s="2" cm="1">
        <f t="array" ref="AY10">VEGAGREEK($B10,100,0.01,AY$2,0.1)</f>
        <v>83.473059814858161</v>
      </c>
      <c r="AZ10" s="2" cm="1">
        <f t="array" ref="AZ10">VEGAGREEK($B10,100,0.01,AZ$2,0.1)</f>
        <v>84.27095275515498</v>
      </c>
    </row>
    <row r="11" spans="1:52" x14ac:dyDescent="0.3">
      <c r="A11" s="2"/>
      <c r="B11" s="2">
        <v>100</v>
      </c>
      <c r="C11" s="2" cm="1">
        <f t="array" ref="C11">VEGAGREEK($B11,100,0.01,C$2,0.1)</f>
        <v>12.60147797002052</v>
      </c>
      <c r="D11" s="2" cm="1">
        <f t="array" ref="D11">VEGAGREEK($B11,100,0.01,D$2,0.1)</f>
        <v>17.80114349570453</v>
      </c>
      <c r="E11" s="2" cm="1">
        <f t="array" ref="E11">VEGAGREEK($B11,100,0.01,E$2,0.1)</f>
        <v>21.777345900985232</v>
      </c>
      <c r="F11" s="2" cm="1">
        <f t="array" ref="F11">VEGAGREEK($B11,100,0.01,F$2,0.1)</f>
        <v>25.118039341108513</v>
      </c>
      <c r="G11" s="2" cm="1">
        <f t="array" ref="G11">VEGAGREEK($B11,100,0.01,G$2,0.1)</f>
        <v>28.051246304186257</v>
      </c>
      <c r="H11" s="2" cm="1">
        <f t="array" ref="H11">VEGAGREEK($B11,100,0.01,H$2,0.1)</f>
        <v>30.694050496199523</v>
      </c>
      <c r="I11" s="2" cm="1">
        <f t="array" ref="I11">VEGAGREEK($B11,100,0.01,I$2,0.1)</f>
        <v>33.116087146110289</v>
      </c>
      <c r="J11" s="2" cm="1">
        <f t="array" ref="J11">VEGAGREEK($B11,100,0.01,J$2,0.1)</f>
        <v>35.362780796997576</v>
      </c>
      <c r="K11" s="2" cm="1">
        <f t="array" ref="K11">VEGAGREEK($B11,100,0.01,K$2,0.1)</f>
        <v>37.465720501521851</v>
      </c>
      <c r="L11" s="2" cm="1">
        <f t="array" ref="L11">VEGAGREEK($B11,100,0.01,L$2,0.1)</f>
        <v>39.447933090788894</v>
      </c>
      <c r="M11" s="2" cm="1">
        <f t="array" ref="M11">VEGAGREEK($B11,100,0.01,M$2,0.1)</f>
        <v>41.326822430469605</v>
      </c>
      <c r="N11" s="2" cm="1">
        <f t="array" ref="N11">VEGAGREEK($B11,100,0.01,N$2,0.1)</f>
        <v>43.115925549986159</v>
      </c>
      <c r="O11" s="2" cm="1">
        <f t="array" ref="O11">VEGAGREEK($B11,100,0.01,O$2,0.1)</f>
        <v>44.826020476317296</v>
      </c>
      <c r="P11" s="2" cm="1">
        <f t="array" ref="P11">VEGAGREEK($B11,100,0.01,P$2,0.1)</f>
        <v>46.465856361778023</v>
      </c>
      <c r="Q11" s="2" cm="1">
        <f t="array" ref="Q11">VEGAGREEK($B11,100,0.01,Q$2,0.1)</f>
        <v>48.04265234363627</v>
      </c>
      <c r="R11" s="2" cm="1">
        <f t="array" ref="R11">VEGAGREEK($B11,100,0.01,R$2,0.1)</f>
        <v>49.562448852082476</v>
      </c>
      <c r="S11" s="2" cm="1">
        <f t="array" ref="S11">VEGAGREEK($B11,100,0.01,S$2,0.1)</f>
        <v>51.030361458947127</v>
      </c>
      <c r="T11" s="2" cm="1">
        <f t="array" ref="T11">VEGAGREEK($B11,100,0.01,T$2,0.1)</f>
        <v>52.450768418698225</v>
      </c>
      <c r="U11" s="2" cm="1">
        <f t="array" ref="U11">VEGAGREEK($B11,100,0.01,U$2,0.1)</f>
        <v>53.827451925573257</v>
      </c>
      <c r="V11" s="2" cm="1">
        <f t="array" ref="V11">VEGAGREEK($B11,100,0.01,V$2,0.1)</f>
        <v>55.163706332541203</v>
      </c>
      <c r="W11" s="2" cm="1">
        <f t="array" ref="W11">VEGAGREEK($B11,100,0.01,W$2,0.1)</f>
        <v>56.462422317104412</v>
      </c>
      <c r="X11" s="2" cm="1">
        <f t="array" ref="X11">VEGAGREEK($B11,100,0.01,X$2,0.1)</f>
        <v>57.726153225694702</v>
      </c>
      <c r="Y11" s="2" cm="1">
        <f t="array" ref="Y11">VEGAGREEK($B11,100,0.01,Y$2,0.1)</f>
        <v>58.957168005184727</v>
      </c>
      <c r="Z11" s="2" cm="1">
        <f t="array" ref="Z11">VEGAGREEK($B11,100,0.01,Z$2,0.1)</f>
        <v>60.157493896018295</v>
      </c>
      <c r="AA11" s="2" cm="1">
        <f t="array" ref="AA11">VEGAGREEK($B11,100,0.01,AA$2,0.1)</f>
        <v>61.32895120970376</v>
      </c>
      <c r="AB11" s="2" cm="1">
        <f t="array" ref="AB11">VEGAGREEK($B11,100,0.01,AB$2,0.1)</f>
        <v>62.47318191499771</v>
      </c>
      <c r="AC11" s="2" cm="1">
        <f t="array" ref="AC11">VEGAGREEK($B11,100,0.01,AC$2,0.1)</f>
        <v>63.591673329863738</v>
      </c>
      <c r="AD11" s="2" cm="1">
        <f t="array" ref="AD11">VEGAGREEK($B11,100,0.01,AD$2,0.1)</f>
        <v>64.685777906754865</v>
      </c>
      <c r="AE11" s="2" cm="1">
        <f t="array" ref="AE11">VEGAGREEK($B11,100,0.01,AE$2,0.1)</f>
        <v>65.756729871476693</v>
      </c>
      <c r="AF11" s="2" cm="1">
        <f t="array" ref="AF11">VEGAGREEK($B11,100,0.01,AF$2,0.1)</f>
        <v>66.805659306916709</v>
      </c>
      <c r="AG11" s="2" cm="1">
        <f t="array" ref="AG11">VEGAGREEK($B11,100,0.01,AG$2,0.1)</f>
        <v>67.833604145869359</v>
      </c>
      <c r="AH11" s="2" cm="1">
        <f t="array" ref="AH11">VEGAGREEK($B11,100,0.01,AH$2,0.1)</f>
        <v>68.841520440637069</v>
      </c>
      <c r="AI11" s="2" cm="1">
        <f t="array" ref="AI11">VEGAGREEK($B11,100,0.01,AI$2,0.1)</f>
        <v>69.83029120299814</v>
      </c>
      <c r="AJ11" s="2" cm="1">
        <f t="array" ref="AJ11">VEGAGREEK($B11,100,0.01,AJ$2,0.1)</f>
        <v>70.800734050757285</v>
      </c>
      <c r="AK11" s="2" cm="1">
        <f t="array" ref="AK11">VEGAGREEK($B11,100,0.01,AK$2,0.1)</f>
        <v>71.753607852285924</v>
      </c>
      <c r="AL11" s="2" cm="1">
        <f t="array" ref="AL11">VEGAGREEK($B11,100,0.01,AL$2,0.1)</f>
        <v>72.689618525182638</v>
      </c>
      <c r="AM11" s="2" cm="1">
        <f t="array" ref="AM11">VEGAGREEK($B11,100,0.01,AM$2,0.1)</f>
        <v>73.609424117207041</v>
      </c>
      <c r="AN11" s="2" cm="1">
        <f t="array" ref="AN11">VEGAGREEK($B11,100,0.01,AN$2,0.1)</f>
        <v>74.513639275293571</v>
      </c>
      <c r="AO11" s="2" cm="1">
        <f t="array" ref="AO11">VEGAGREEK($B11,100,0.01,AO$2,0.1)</f>
        <v>75.40283919048666</v>
      </c>
      <c r="AP11" s="2" cm="1">
        <f t="array" ref="AP11">VEGAGREEK($B11,100,0.01,AP$2,0.1)</f>
        <v>76.277563092104828</v>
      </c>
      <c r="AQ11" s="2" cm="1">
        <f t="array" ref="AQ11">VEGAGREEK($B11,100,0.01,AQ$2,0.1)</f>
        <v>77.138317352614195</v>
      </c>
      <c r="AR11" s="2" cm="1">
        <f t="array" ref="AR11">VEGAGREEK($B11,100,0.01,AR$2,0.1)</f>
        <v>77.985578255014715</v>
      </c>
      <c r="AS11" s="2" cm="1">
        <f t="array" ref="AS11">VEGAGREEK($B11,100,0.01,AS$2,0.1)</f>
        <v>78.819794466581271</v>
      </c>
      <c r="AT11" s="2" cm="1">
        <f t="array" ref="AT11">VEGAGREEK($B11,100,0.01,AT$2,0.1)</f>
        <v>79.641389256221743</v>
      </c>
      <c r="AU11" s="2" cm="1">
        <f t="array" ref="AU11">VEGAGREEK($B11,100,0.01,AU$2,0.1)</f>
        <v>80.450762487246323</v>
      </c>
      <c r="AV11" s="2" cm="1">
        <f t="array" ref="AV11">VEGAGREEK($B11,100,0.01,AV$2,0.1)</f>
        <v>81.248292412783059</v>
      </c>
      <c r="AW11" s="2" cm="1">
        <f t="array" ref="AW11">VEGAGREEK($B11,100,0.01,AW$2,0.1)</f>
        <v>82.034337297250886</v>
      </c>
      <c r="AX11" s="2" cm="1">
        <f t="array" ref="AX11">VEGAGREEK($B11,100,0.01,AX$2,0.1)</f>
        <v>82.809236884086985</v>
      </c>
      <c r="AY11" s="2" cm="1">
        <f t="array" ref="AY11">VEGAGREEK($B11,100,0.01,AY$2,0.1)</f>
        <v>83.573313727207818</v>
      </c>
      <c r="AZ11" s="2" cm="1">
        <f t="array" ref="AZ11">VEGAGREEK($B11,100,0.01,AZ$2,0.1)</f>
        <v>84.326874401380636</v>
      </c>
    </row>
    <row r="12" spans="1:52" x14ac:dyDescent="0.3">
      <c r="A12" s="2"/>
      <c r="B12" s="2">
        <v>105</v>
      </c>
      <c r="C12" s="2" cm="1">
        <f t="array" ref="C12">VEGAGREEK($B12,100,0.01,C$2,0.1)</f>
        <v>3.7403491562746805</v>
      </c>
      <c r="D12" s="2" cm="1">
        <f t="array" ref="D12">VEGAGREEK($B12,100,0.01,D$2,0.1)</f>
        <v>9.5806705523719611</v>
      </c>
      <c r="E12" s="2" cm="1">
        <f t="array" ref="E12">VEGAGREEK($B12,100,0.01,E$2,0.1)</f>
        <v>14.29240792467272</v>
      </c>
      <c r="F12" s="2" cm="1">
        <f t="array" ref="F12">VEGAGREEK($B12,100,0.01,F$2,0.1)</f>
        <v>18.203815041877494</v>
      </c>
      <c r="G12" s="2" cm="1">
        <f t="array" ref="G12">VEGAGREEK($B12,100,0.01,G$2,0.1)</f>
        <v>21.576180864022362</v>
      </c>
      <c r="H12" s="2" cm="1">
        <f t="array" ref="H12">VEGAGREEK($B12,100,0.01,H$2,0.1)</f>
        <v>24.564453432089614</v>
      </c>
      <c r="I12" s="2" cm="1">
        <f t="array" ref="I12">VEGAGREEK($B12,100,0.01,I$2,0.1)</f>
        <v>27.264617640732549</v>
      </c>
      <c r="J12" s="2" cm="1">
        <f t="array" ref="J12">VEGAGREEK($B12,100,0.01,J$2,0.1)</f>
        <v>29.739757516778266</v>
      </c>
      <c r="K12" s="2" cm="1">
        <f t="array" ref="K12">VEGAGREEK($B12,100,0.01,K$2,0.1)</f>
        <v>32.033505994229877</v>
      </c>
      <c r="L12" s="2" cm="1">
        <f t="array" ref="L12">VEGAGREEK($B12,100,0.01,L$2,0.1)</f>
        <v>34.177330202865704</v>
      </c>
      <c r="M12" s="2" cm="1">
        <f t="array" ref="M12">VEGAGREEK($B12,100,0.01,M$2,0.1)</f>
        <v>36.194711565080681</v>
      </c>
      <c r="N12" s="2" cm="1">
        <f t="array" ref="N12">VEGAGREEK($B12,100,0.01,N$2,0.1)</f>
        <v>38.103672838318381</v>
      </c>
      <c r="O12" s="2" cm="1">
        <f t="array" ref="O12">VEGAGREEK($B12,100,0.01,O$2,0.1)</f>
        <v>39.918376239486889</v>
      </c>
      <c r="P12" s="2" cm="1">
        <f t="array" ref="P12">VEGAGREEK($B12,100,0.01,P$2,0.1)</f>
        <v>41.650173816850952</v>
      </c>
      <c r="Q12" s="2" cm="1">
        <f t="array" ref="Q12">VEGAGREEK($B12,100,0.01,Q$2,0.1)</f>
        <v>43.30832099928277</v>
      </c>
      <c r="R12" s="2" cm="1">
        <f t="array" ref="R12">VEGAGREEK($B12,100,0.01,R$2,0.1)</f>
        <v>44.900475351333995</v>
      </c>
      <c r="S12" s="2" cm="1">
        <f t="array" ref="S12">VEGAGREEK($B12,100,0.01,S$2,0.1)</f>
        <v>46.433053942256869</v>
      </c>
      <c r="T12" s="2" cm="1">
        <f t="array" ref="T12">VEGAGREEK($B12,100,0.01,T$2,0.1)</f>
        <v>47.911495030242243</v>
      </c>
      <c r="U12" s="2" cm="1">
        <f t="array" ref="U12">VEGAGREEK($B12,100,0.01,U$2,0.1)</f>
        <v>49.340453387732701</v>
      </c>
      <c r="V12" s="2" cm="1">
        <f t="array" ref="V12">VEGAGREEK($B12,100,0.01,V$2,0.1)</f>
        <v>50.723948597035545</v>
      </c>
      <c r="W12" s="2" cm="1">
        <f t="array" ref="W12">VEGAGREEK($B12,100,0.01,W$2,0.1)</f>
        <v>52.065479364344668</v>
      </c>
      <c r="X12" s="2" cm="1">
        <f t="array" ref="X12">VEGAGREEK($B12,100,0.01,X$2,0.1)</f>
        <v>53.368112850587266</v>
      </c>
      <c r="Y12" s="2" cm="1">
        <f t="array" ref="Y12">VEGAGREEK($B12,100,0.01,Y$2,0.1)</f>
        <v>54.634555345268737</v>
      </c>
      <c r="Z12" s="2" cm="1">
        <f t="array" ref="Z12">VEGAGREEK($B12,100,0.01,Z$2,0.1)</f>
        <v>55.867208808878146</v>
      </c>
      <c r="AA12" s="2" cm="1">
        <f t="array" ref="AA12">VEGAGREEK($B12,100,0.01,AA$2,0.1)</f>
        <v>57.068216572877994</v>
      </c>
      <c r="AB12" s="2" cm="1">
        <f t="array" ref="AB12">VEGAGREEK($B12,100,0.01,AB$2,0.1)</f>
        <v>58.239500622328421</v>
      </c>
      <c r="AC12" s="2" cm="1">
        <f t="array" ref="AC12">VEGAGREEK($B12,100,0.01,AC$2,0.1)</f>
        <v>59.382792272920554</v>
      </c>
      <c r="AD12" s="2" cm="1">
        <f t="array" ref="AD12">VEGAGREEK($B12,100,0.01,AD$2,0.1)</f>
        <v>60.499657612518391</v>
      </c>
      <c r="AE12" s="2" cm="1">
        <f t="array" ref="AE12">VEGAGREEK($B12,100,0.01,AE$2,0.1)</f>
        <v>61.591518754945547</v>
      </c>
      <c r="AF12" s="2" cm="1">
        <f t="array" ref="AF12">VEGAGREEK($B12,100,0.01,AF$2,0.1)</f>
        <v>62.659671715556563</v>
      </c>
      <c r="AG12" s="2" cm="1">
        <f t="array" ref="AG12">VEGAGREEK($B12,100,0.01,AG$2,0.1)</f>
        <v>63.705301540107264</v>
      </c>
      <c r="AH12" s="2" cm="1">
        <f t="array" ref="AH12">VEGAGREEK($B12,100,0.01,AH$2,0.1)</f>
        <v>64.729495183969419</v>
      </c>
      <c r="AI12" s="2" cm="1">
        <f t="array" ref="AI12">VEGAGREEK($B12,100,0.01,AI$2,0.1)</f>
        <v>65.733252536157295</v>
      </c>
      <c r="AJ12" s="2" cm="1">
        <f t="array" ref="AJ12">VEGAGREEK($B12,100,0.01,AJ$2,0.1)</f>
        <v>66.717495903661558</v>
      </c>
      <c r="AK12" s="2" cm="1">
        <f t="array" ref="AK12">VEGAGREEK($B12,100,0.01,AK$2,0.1)</f>
        <v>67.683078210262011</v>
      </c>
      <c r="AL12" s="2" cm="1">
        <f t="array" ref="AL12">VEGAGREEK($B12,100,0.01,AL$2,0.1)</f>
        <v>68.630790115984411</v>
      </c>
      <c r="AM12" s="2" cm="1">
        <f t="array" ref="AM12">VEGAGREEK($B12,100,0.01,AM$2,0.1)</f>
        <v>69.561366225500592</v>
      </c>
      <c r="AN12" s="2" cm="1">
        <f t="array" ref="AN12">VEGAGREEK($B12,100,0.01,AN$2,0.1)</f>
        <v>70.475490523690794</v>
      </c>
      <c r="AO12" s="2" cm="1">
        <f t="array" ref="AO12">VEGAGREEK($B12,100,0.01,AO$2,0.1)</f>
        <v>71.373801152528742</v>
      </c>
      <c r="AP12" s="2" cm="1">
        <f t="array" ref="AP12">VEGAGREEK($B12,100,0.01,AP$2,0.1)</f>
        <v>72.256894624086911</v>
      </c>
      <c r="AQ12" s="2" cm="1">
        <f t="array" ref="AQ12">VEGAGREEK($B12,100,0.01,AQ$2,0.1)</f>
        <v>73.125329548782361</v>
      </c>
      <c r="AR12" s="2" cm="1">
        <f t="array" ref="AR12">VEGAGREEK($B12,100,0.01,AR$2,0.1)</f>
        <v>73.979629945215763</v>
      </c>
      <c r="AS12" s="2" cm="1">
        <f t="array" ref="AS12">VEGAGREEK($B12,100,0.01,AS$2,0.1)</f>
        <v>74.820288187504744</v>
      </c>
      <c r="AT12" s="2" cm="1">
        <f t="array" ref="AT12">VEGAGREEK($B12,100,0.01,AT$2,0.1)</f>
        <v>75.647767637412372</v>
      </c>
      <c r="AU12" s="2" cm="1">
        <f t="array" ref="AU12">VEGAGREEK($B12,100,0.01,AU$2,0.1)</f>
        <v>76.462505001458112</v>
      </c>
      <c r="AV12" s="2" cm="1">
        <f t="array" ref="AV12">VEGAGREEK($B12,100,0.01,AV$2,0.1)</f>
        <v>77.264912447292318</v>
      </c>
      <c r="AW12" s="2" cm="1">
        <f t="array" ref="AW12">VEGAGREEK($B12,100,0.01,AW$2,0.1)</f>
        <v>78.055379508683174</v>
      </c>
      <c r="AX12" s="2" cm="1">
        <f t="array" ref="AX12">VEGAGREEK($B12,100,0.01,AX$2,0.1)</f>
        <v>78.834274804336602</v>
      </c>
      <c r="AY12" s="2" cm="1">
        <f t="array" ref="AY12">VEGAGREEK($B12,100,0.01,AY$2,0.1)</f>
        <v>79.601947592292063</v>
      </c>
      <c r="AZ12" s="2" cm="1">
        <f t="array" ref="AZ12">VEGAGREEK($B12,100,0.01,AZ$2,0.1)</f>
        <v>80.358729178703996</v>
      </c>
    </row>
    <row r="13" spans="1:52" x14ac:dyDescent="0.3">
      <c r="A13" s="2"/>
      <c r="B13" s="2">
        <v>110</v>
      </c>
      <c r="C13" s="2" cm="1">
        <f t="array" ref="C13">VEGAGREEK($B13,100,0.01,C$2,0.1)</f>
        <v>0.12798321316875713</v>
      </c>
      <c r="D13" s="2" cm="1">
        <f t="array" ref="D13">VEGAGREEK($B13,100,0.01,D$2,0.1)</f>
        <v>1.7517232418946884</v>
      </c>
      <c r="E13" s="2" cm="1">
        <f t="array" ref="E13">VEGAGREEK($B13,100,0.01,E$2,0.1)</f>
        <v>4.5686150128548206</v>
      </c>
      <c r="F13" s="2" cm="1">
        <f t="array" ref="F13">VEGAGREEK($B13,100,0.01,F$2,0.1)</f>
        <v>7.6938968689493707</v>
      </c>
      <c r="G13" s="2" cm="1">
        <f t="array" ref="G13">VEGAGREEK($B13,100,0.01,G$2,0.1)</f>
        <v>10.783044375026945</v>
      </c>
      <c r="H13" s="2" cm="1">
        <f t="array" ref="H13">VEGAGREEK($B13,100,0.01,H$2,0.1)</f>
        <v>13.727638643411781</v>
      </c>
      <c r="I13" s="2" cm="1">
        <f t="array" ref="I13">VEGAGREEK($B13,100,0.01,I$2,0.1)</f>
        <v>16.502382731650936</v>
      </c>
      <c r="J13" s="2" cm="1">
        <f t="array" ref="J13">VEGAGREEK($B13,100,0.01,J$2,0.1)</f>
        <v>19.11078602147531</v>
      </c>
      <c r="K13" s="2" cm="1">
        <f t="array" ref="K13">VEGAGREEK($B13,100,0.01,K$2,0.1)</f>
        <v>21.56567544412437</v>
      </c>
      <c r="L13" s="2" cm="1">
        <f t="array" ref="L13">VEGAGREEK($B13,100,0.01,L$2,0.1)</f>
        <v>23.882000168449917</v>
      </c>
      <c r="M13" s="2" cm="1">
        <f t="array" ref="M13">VEGAGREEK($B13,100,0.01,M$2,0.1)</f>
        <v>26.07419638964485</v>
      </c>
      <c r="N13" s="2" cm="1">
        <f t="array" ref="N13">VEGAGREEK($B13,100,0.01,N$2,0.1)</f>
        <v>28.155313000155548</v>
      </c>
      <c r="O13" s="2" cm="1">
        <f t="array" ref="O13">VEGAGREEK($B13,100,0.01,O$2,0.1)</f>
        <v>30.136826976248095</v>
      </c>
      <c r="P13" s="2" cm="1">
        <f t="array" ref="P13">VEGAGREEK($B13,100,0.01,P$2,0.1)</f>
        <v>32.028720790413502</v>
      </c>
      <c r="Q13" s="2" cm="1">
        <f t="array" ref="Q13">VEGAGREEK($B13,100,0.01,Q$2,0.1)</f>
        <v>33.839647041150556</v>
      </c>
      <c r="R13" s="2" cm="1">
        <f t="array" ref="R13">VEGAGREEK($B13,100,0.01,R$2,0.1)</f>
        <v>35.577109102568514</v>
      </c>
      <c r="S13" s="2" cm="1">
        <f t="array" ref="S13">VEGAGREEK($B13,100,0.01,S$2,0.1)</f>
        <v>37.247630216817946</v>
      </c>
      <c r="T13" s="2" cm="1">
        <f t="array" ref="T13">VEGAGREEK($B13,100,0.01,T$2,0.1)</f>
        <v>38.856901983503526</v>
      </c>
      <c r="U13" s="2" cm="1">
        <f t="array" ref="U13">VEGAGREEK($B13,100,0.01,U$2,0.1)</f>
        <v>40.409910935390435</v>
      </c>
      <c r="V13" s="2" cm="1">
        <f t="array" ref="V13">VEGAGREEK($B13,100,0.01,V$2,0.1)</f>
        <v>41.911044907526829</v>
      </c>
      <c r="W13" s="2" cm="1">
        <f t="array" ref="W13">VEGAGREEK($B13,100,0.01,W$2,0.1)</f>
        <v>43.36418186738365</v>
      </c>
      <c r="X13" s="2" cm="1">
        <f t="array" ref="X13">VEGAGREEK($B13,100,0.01,X$2,0.1)</f>
        <v>44.772763962619067</v>
      </c>
      <c r="Y13" s="2" cm="1">
        <f t="array" ref="Y13">VEGAGREEK($B13,100,0.01,Y$2,0.1)</f>
        <v>46.139859292688108</v>
      </c>
      <c r="Z13" s="2" cm="1">
        <f t="array" ref="Z13">VEGAGREEK($B13,100,0.01,Z$2,0.1)</f>
        <v>47.468213556957721</v>
      </c>
      <c r="AA13" s="2" cm="1">
        <f t="array" ref="AA13">VEGAGREEK($B13,100,0.01,AA$2,0.1)</f>
        <v>48.760293376081911</v>
      </c>
      <c r="AB13" s="2" cm="1">
        <f t="array" ref="AB13">VEGAGREEK($B13,100,0.01,AB$2,0.1)</f>
        <v>50.018322764053721</v>
      </c>
      <c r="AC13" s="2" cm="1">
        <f t="array" ref="AC13">VEGAGREEK($B13,100,0.01,AC$2,0.1)</f>
        <v>51.244313956671846</v>
      </c>
      <c r="AD13" s="2" cm="1">
        <f t="array" ref="AD13">VEGAGREEK($B13,100,0.01,AD$2,0.1)</f>
        <v>52.440093577336398</v>
      </c>
      <c r="AE13" s="2" cm="1">
        <f t="array" ref="AE13">VEGAGREEK($B13,100,0.01,AE$2,0.1)</f>
        <v>53.607324937792804</v>
      </c>
      <c r="AF13" s="2" cm="1">
        <f t="array" ref="AF13">VEGAGREEK($B13,100,0.01,AF$2,0.1)</f>
        <v>54.747527123167757</v>
      </c>
      <c r="AG13" s="2" cm="1">
        <f t="array" ref="AG13">VEGAGREEK($B13,100,0.01,AG$2,0.1)</f>
        <v>55.86209139112588</v>
      </c>
      <c r="AH13" s="2" cm="1">
        <f t="array" ref="AH13">VEGAGREEK($B13,100,0.01,AH$2,0.1)</f>
        <v>56.952295318731039</v>
      </c>
      <c r="AI13" s="2" cm="1">
        <f t="array" ref="AI13">VEGAGREEK($B13,100,0.01,AI$2,0.1)</f>
        <v>58.019315053034433</v>
      </c>
      <c r="AJ13" s="2" cm="1">
        <f t="array" ref="AJ13">VEGAGREEK($B13,100,0.01,AJ$2,0.1)</f>
        <v>59.064235958786874</v>
      </c>
      <c r="AK13" s="2" cm="1">
        <f t="array" ref="AK13">VEGAGREEK($B13,100,0.01,AK$2,0.1)</f>
        <v>60.088061905980013</v>
      </c>
      <c r="AL13" s="2" cm="1">
        <f t="array" ref="AL13">VEGAGREEK($B13,100,0.01,AL$2,0.1)</f>
        <v>61.091723398757445</v>
      </c>
      <c r="AM13" s="2" cm="1">
        <f t="array" ref="AM13">VEGAGREEK($B13,100,0.01,AM$2,0.1)</f>
        <v>62.076084713700979</v>
      </c>
      <c r="AN13" s="2" cm="1">
        <f t="array" ref="AN13">VEGAGREEK($B13,100,0.01,AN$2,0.1)</f>
        <v>63.041950188075973</v>
      </c>
      <c r="AO13" s="2" cm="1">
        <f t="array" ref="AO13">VEGAGREEK($B13,100,0.01,AO$2,0.1)</f>
        <v>63.990069776117934</v>
      </c>
      <c r="AP13" s="2" cm="1">
        <f t="array" ref="AP13">VEGAGREEK($B13,100,0.01,AP$2,0.1)</f>
        <v>64.921143972907117</v>
      </c>
      <c r="AQ13" s="2" cm="1">
        <f t="array" ref="AQ13">VEGAGREEK($B13,100,0.01,AQ$2,0.1)</f>
        <v>65.835828190055594</v>
      </c>
      <c r="AR13" s="2" cm="1">
        <f t="array" ref="AR13">VEGAGREEK($B13,100,0.01,AR$2,0.1)</f>
        <v>66.734736654716301</v>
      </c>
      <c r="AS13" s="2" cm="1">
        <f t="array" ref="AS13">VEGAGREEK($B13,100,0.01,AS$2,0.1)</f>
        <v>67.618445892834899</v>
      </c>
      <c r="AT13" s="2" cm="1">
        <f t="array" ref="AT13">VEGAGREEK($B13,100,0.01,AT$2,0.1)</f>
        <v>68.487497848717595</v>
      </c>
      <c r="AU13" s="2" cm="1">
        <f t="array" ref="AU13">VEGAGREEK($B13,100,0.01,AU$2,0.1)</f>
        <v>69.342402685565105</v>
      </c>
      <c r="AV13" s="2" cm="1">
        <f t="array" ref="AV13">VEGAGREEK($B13,100,0.01,AV$2,0.1)</f>
        <v>70.183641305380377</v>
      </c>
      <c r="AW13" s="2" cm="1">
        <f t="array" ref="AW13">VEGAGREEK($B13,100,0.01,AW$2,0.1)</f>
        <v>71.011667621383737</v>
      </c>
      <c r="AX13" s="2" cm="1">
        <f t="array" ref="AX13">VEGAGREEK($B13,100,0.01,AX$2,0.1)</f>
        <v>71.826910611605072</v>
      </c>
      <c r="AY13" s="2" cm="1">
        <f t="array" ref="AY13">VEGAGREEK($B13,100,0.01,AY$2,0.1)</f>
        <v>72.629776178527749</v>
      </c>
      <c r="AZ13" s="2" cm="1">
        <f t="array" ref="AZ13">VEGAGREEK($B13,100,0.01,AZ$2,0.1)</f>
        <v>73.420648836426437</v>
      </c>
    </row>
    <row r="14" spans="1:52" x14ac:dyDescent="0.3">
      <c r="A14" s="2"/>
      <c r="B14" s="2">
        <v>115</v>
      </c>
      <c r="C14" s="2" cm="1">
        <f t="array" ref="C14">VEGAGREEK($B14,100,0.01,C$2,0.1)</f>
        <v>6.7367205338682626E-4</v>
      </c>
      <c r="D14" s="2" cm="1">
        <f t="array" ref="D14">VEGAGREEK($B14,100,0.01,D$2,0.1)</f>
        <v>0.12568601723670436</v>
      </c>
      <c r="E14" s="2" cm="1">
        <f t="array" ref="E14">VEGAGREEK($B14,100,0.01,E$2,0.1)</f>
        <v>0.78303531906443402</v>
      </c>
      <c r="F14" s="2" cm="1">
        <f t="array" ref="F14">VEGAGREEK($B14,100,0.01,F$2,0.1)</f>
        <v>2.0381249613524028</v>
      </c>
      <c r="G14" s="2" cm="1">
        <f t="array" ref="G14">VEGAGREEK($B14,100,0.01,G$2,0.1)</f>
        <v>3.7091844871351078</v>
      </c>
      <c r="H14" s="2" cm="1">
        <f t="array" ref="H14">VEGAGREEK($B14,100,0.01,H$2,0.1)</f>
        <v>5.6204093069575212</v>
      </c>
      <c r="I14" s="2" cm="1">
        <f t="array" ref="I14">VEGAGREEK($B14,100,0.01,I$2,0.1)</f>
        <v>7.6514510849957471</v>
      </c>
      <c r="J14" s="2" cm="1">
        <f t="array" ref="J14">VEGAGREEK($B14,100,0.01,J$2,0.1)</f>
        <v>9.7273487048199279</v>
      </c>
      <c r="K14" s="2" cm="1">
        <f t="array" ref="K14">VEGAGREEK($B14,100,0.01,K$2,0.1)</f>
        <v>11.803032678147581</v>
      </c>
      <c r="L14" s="2" cm="1">
        <f t="array" ref="L14">VEGAGREEK($B14,100,0.01,L$2,0.1)</f>
        <v>13.852014243074303</v>
      </c>
      <c r="M14" s="2" cm="1">
        <f t="array" ref="M14">VEGAGREEK($B14,100,0.01,M$2,0.1)</f>
        <v>15.859186604663719</v>
      </c>
      <c r="N14" s="2" cm="1">
        <f t="array" ref="N14">VEGAGREEK($B14,100,0.01,N$2,0.1)</f>
        <v>17.816406940221793</v>
      </c>
      <c r="O14" s="2" cm="1">
        <f t="array" ref="O14">VEGAGREEK($B14,100,0.01,O$2,0.1)</f>
        <v>19.71979942173666</v>
      </c>
      <c r="P14" s="2" cm="1">
        <f t="array" ref="P14">VEGAGREEK($B14,100,0.01,P$2,0.1)</f>
        <v>21.568099589288472</v>
      </c>
      <c r="Q14" s="2" cm="1">
        <f t="array" ref="Q14">VEGAGREEK($B14,100,0.01,Q$2,0.1)</f>
        <v>23.361628867219324</v>
      </c>
      <c r="R14" s="2" cm="1">
        <f t="array" ref="R14">VEGAGREEK($B14,100,0.01,R$2,0.1)</f>
        <v>25.101653725708925</v>
      </c>
      <c r="S14" s="2" cm="1">
        <f t="array" ref="S14">VEGAGREEK($B14,100,0.01,S$2,0.1)</f>
        <v>26.78998240127396</v>
      </c>
      <c r="T14" s="2" cm="1">
        <f t="array" ref="T14">VEGAGREEK($B14,100,0.01,T$2,0.1)</f>
        <v>28.428710132794841</v>
      </c>
      <c r="U14" s="2" cm="1">
        <f t="array" ref="U14">VEGAGREEK($B14,100,0.01,U$2,0.1)</f>
        <v>30.02005830651083</v>
      </c>
      <c r="V14" s="2" cm="1">
        <f t="array" ref="V14">VEGAGREEK($B14,100,0.01,V$2,0.1)</f>
        <v>31.566273567519069</v>
      </c>
      <c r="W14" s="2" cm="1">
        <f t="array" ref="W14">VEGAGREEK($B14,100,0.01,W$2,0.1)</f>
        <v>33.069565522997095</v>
      </c>
      <c r="X14" s="2" cm="1">
        <f t="array" ref="X14">VEGAGREEK($B14,100,0.01,X$2,0.1)</f>
        <v>34.532069413572508</v>
      </c>
      <c r="Y14" s="2" cm="1">
        <f t="array" ref="Y14">VEGAGREEK($B14,100,0.01,Y$2,0.1)</f>
        <v>35.9558249757835</v>
      </c>
      <c r="Z14" s="2" cm="1">
        <f t="array" ref="Z14">VEGAGREEK($B14,100,0.01,Z$2,0.1)</f>
        <v>37.342765788450286</v>
      </c>
      <c r="AA14" s="2" cm="1">
        <f t="array" ref="AA14">VEGAGREEK($B14,100,0.01,AA$2,0.1)</f>
        <v>38.6947153637593</v>
      </c>
      <c r="AB14" s="2" cm="1">
        <f t="array" ref="AB14">VEGAGREEK($B14,100,0.01,AB$2,0.1)</f>
        <v>40.013387519278972</v>
      </c>
      <c r="AC14" s="2" cm="1">
        <f t="array" ref="AC14">VEGAGREEK($B14,100,0.01,AC$2,0.1)</f>
        <v>41.300389401760327</v>
      </c>
      <c r="AD14" s="2" cm="1">
        <f t="array" ref="AD14">VEGAGREEK($B14,100,0.01,AD$2,0.1)</f>
        <v>42.557226084391417</v>
      </c>
      <c r="AE14" s="2" cm="1">
        <f t="array" ref="AE14">VEGAGREEK($B14,100,0.01,AE$2,0.1)</f>
        <v>43.785306025274295</v>
      </c>
      <c r="AF14" s="2" cm="1">
        <f t="array" ref="AF14">VEGAGREEK($B14,100,0.01,AF$2,0.1)</f>
        <v>44.985946919602924</v>
      </c>
      <c r="AG14" s="2" cm="1">
        <f t="array" ref="AG14">VEGAGREEK($B14,100,0.01,AG$2,0.1)</f>
        <v>46.160381642256802</v>
      </c>
      <c r="AH14" s="2" cm="1">
        <f t="array" ref="AH14">VEGAGREEK($B14,100,0.01,AH$2,0.1)</f>
        <v>47.309764088003746</v>
      </c>
      <c r="AI14" s="2" cm="1">
        <f t="array" ref="AI14">VEGAGREEK($B14,100,0.01,AI$2,0.1)</f>
        <v>48.435174790831724</v>
      </c>
      <c r="AJ14" s="2" cm="1">
        <f t="array" ref="AJ14">VEGAGREEK($B14,100,0.01,AJ$2,0.1)</f>
        <v>49.537626253812817</v>
      </c>
      <c r="AK14" s="2" cm="1">
        <f t="array" ref="AK14">VEGAGREEK($B14,100,0.01,AK$2,0.1)</f>
        <v>50.61806795418557</v>
      </c>
      <c r="AL14" s="2" cm="1">
        <f t="array" ref="AL14">VEGAGREEK($B14,100,0.01,AL$2,0.1)</f>
        <v>51.677391010320413</v>
      </c>
      <c r="AM14" s="2" cm="1">
        <f t="array" ref="AM14">VEGAGREEK($B14,100,0.01,AM$2,0.1)</f>
        <v>52.716432511499939</v>
      </c>
      <c r="AN14" s="2" cm="1">
        <f t="array" ref="AN14">VEGAGREEK($B14,100,0.01,AN$2,0.1)</f>
        <v>53.735979520456866</v>
      </c>
      <c r="AO14" s="2" cm="1">
        <f t="array" ref="AO14">VEGAGREEK($B14,100,0.01,AO$2,0.1)</f>
        <v>54.736772764048467</v>
      </c>
      <c r="AP14" s="2" cm="1">
        <f t="array" ref="AP14">VEGAGREEK($B14,100,0.01,AP$2,0.1)</f>
        <v>55.719510030463624</v>
      </c>
      <c r="AQ14" s="2" cm="1">
        <f t="array" ref="AQ14">VEGAGREEK($B14,100,0.01,AQ$2,0.1)</f>
        <v>56.684849292757477</v>
      </c>
      <c r="AR14" s="2" cm="1">
        <f t="array" ref="AR14">VEGAGREEK($B14,100,0.01,AR$2,0.1)</f>
        <v>57.63341157883518</v>
      </c>
      <c r="AS14" s="2" cm="1">
        <f t="array" ref="AS14">VEGAGREEK($B14,100,0.01,AS$2,0.1)</f>
        <v>58.565783607643269</v>
      </c>
      <c r="AT14" s="2" cm="1">
        <f t="array" ref="AT14">VEGAGREEK($B14,100,0.01,AT$2,0.1)</f>
        <v>59.482520210533906</v>
      </c>
      <c r="AU14" s="2" cm="1">
        <f t="array" ref="AU14">VEGAGREEK($B14,100,0.01,AU$2,0.1)</f>
        <v>60.384146555720676</v>
      </c>
      <c r="AV14" s="2" cm="1">
        <f t="array" ref="AV14">VEGAGREEK($B14,100,0.01,AV$2,0.1)</f>
        <v>61.271160192570157</v>
      </c>
      <c r="AW14" s="2" cm="1">
        <f t="array" ref="AW14">VEGAGREEK($B14,100,0.01,AW$2,0.1)</f>
        <v>62.144032931245839</v>
      </c>
      <c r="AX14" s="2" cm="1">
        <f t="array" ref="AX14">VEGAGREEK($B14,100,0.01,AX$2,0.1)</f>
        <v>63.003212572001203</v>
      </c>
      <c r="AY14" s="2" cm="1">
        <f t="array" ref="AY14">VEGAGREEK($B14,100,0.01,AY$2,0.1)</f>
        <v>63.849124497232545</v>
      </c>
      <c r="AZ14" s="2" cm="1">
        <f t="array" ref="AZ14">VEGAGREEK($B14,100,0.01,AZ$2,0.1)</f>
        <v>64.682173138278301</v>
      </c>
    </row>
    <row r="15" spans="1:52" x14ac:dyDescent="0.3">
      <c r="A15" s="2"/>
      <c r="B15" s="2">
        <v>120</v>
      </c>
      <c r="C15" s="2" cm="1">
        <f t="array" ref="C15">VEGAGREEK($B15,100,0.01,C$2,0.1)</f>
        <v>6.9599615016725046E-7</v>
      </c>
      <c r="D15" s="2" cm="1">
        <f t="array" ref="D15">VEGAGREEK($B15,100,0.01,D$2,0.1)</f>
        <v>3.9971023224294197E-3</v>
      </c>
      <c r="E15" s="2" cm="1">
        <f t="array" ref="E15">VEGAGREEK($B15,100,0.01,E$2,0.1)</f>
        <v>7.8044023598122875E-2</v>
      </c>
      <c r="F15" s="2" cm="1">
        <f t="array" ref="F15">VEGAGREEK($B15,100,0.01,F$2,0.1)</f>
        <v>0.3596160837798813</v>
      </c>
      <c r="G15" s="2" cm="1">
        <f t="array" ref="G15">VEGAGREEK($B15,100,0.01,G$2,0.1)</f>
        <v>0.92196988092317333</v>
      </c>
      <c r="H15" s="2" cm="1">
        <f t="array" ref="H15">VEGAGREEK($B15,100,0.01,H$2,0.1)</f>
        <v>1.7556027112756589</v>
      </c>
      <c r="I15" s="2" cm="1">
        <f t="array" ref="I15">VEGAGREEK($B15,100,0.01,I$2,0.1)</f>
        <v>2.8136724172845149</v>
      </c>
      <c r="J15" s="2" cm="1">
        <f t="array" ref="J15">VEGAGREEK($B15,100,0.01,J$2,0.1)</f>
        <v>4.0427583513910763</v>
      </c>
      <c r="K15" s="2" cm="1">
        <f t="array" ref="K15">VEGAGREEK($B15,100,0.01,K$2,0.1)</f>
        <v>5.3953369730765104</v>
      </c>
      <c r="L15" s="2" cm="1">
        <f t="array" ref="L15">VEGAGREEK($B15,100,0.01,L$2,0.1)</f>
        <v>6.8329969593104831</v>
      </c>
      <c r="M15" s="2" cm="1">
        <f t="array" ref="M15">VEGAGREEK($B15,100,0.01,M$2,0.1)</f>
        <v>8.3260536913593359</v>
      </c>
      <c r="N15" s="2" cm="1">
        <f t="array" ref="N15">VEGAGREEK($B15,100,0.01,N$2,0.1)</f>
        <v>9.8520911596772116</v>
      </c>
      <c r="O15" s="2" cm="1">
        <f t="array" ref="O15">VEGAGREEK($B15,100,0.01,O$2,0.1)</f>
        <v>11.394402597818072</v>
      </c>
      <c r="P15" s="2" cm="1">
        <f t="array" ref="P15">VEGAGREEK($B15,100,0.01,P$2,0.1)</f>
        <v>12.940644072043922</v>
      </c>
      <c r="Q15" s="2" cm="1">
        <f t="array" ref="Q15">VEGAGREEK($B15,100,0.01,Q$2,0.1)</f>
        <v>14.481762406610269</v>
      </c>
      <c r="R15" s="2" cm="1">
        <f t="array" ref="R15">VEGAGREEK($B15,100,0.01,R$2,0.1)</f>
        <v>16.011172331267801</v>
      </c>
      <c r="S15" s="2" cm="1">
        <f t="array" ref="S15">VEGAGREEK($B15,100,0.01,S$2,0.1)</f>
        <v>17.52413573270298</v>
      </c>
      <c r="T15" s="2" cm="1">
        <f t="array" ref="T15">VEGAGREEK($B15,100,0.01,T$2,0.1)</f>
        <v>19.017296878528782</v>
      </c>
      <c r="U15" s="2" cm="1">
        <f t="array" ref="U15">VEGAGREEK($B15,100,0.01,U$2,0.1)</f>
        <v>20.488335215587796</v>
      </c>
      <c r="V15" s="2" cm="1">
        <f t="array" ref="V15">VEGAGREEK($B15,100,0.01,V$2,0.1)</f>
        <v>21.935705841356853</v>
      </c>
      <c r="W15" s="2" cm="1">
        <f t="array" ref="W15">VEGAGREEK($B15,100,0.01,W$2,0.1)</f>
        <v>23.358445086374903</v>
      </c>
      <c r="X15" s="2" cm="1">
        <f t="array" ref="X15">VEGAGREEK($B15,100,0.01,X$2,0.1)</f>
        <v>24.756024440177889</v>
      </c>
      <c r="Y15" s="2" cm="1">
        <f t="array" ref="Y15">VEGAGREEK($B15,100,0.01,Y$2,0.1)</f>
        <v>26.128240441765367</v>
      </c>
      <c r="Z15" s="2" cm="1">
        <f t="array" ref="Z15">VEGAGREEK($B15,100,0.01,Z$2,0.1)</f>
        <v>27.475131411731976</v>
      </c>
      <c r="AA15" s="2" cm="1">
        <f t="array" ref="AA15">VEGAGREEK($B15,100,0.01,AA$2,0.1)</f>
        <v>28.79691429560728</v>
      </c>
      <c r="AB15" s="2" cm="1">
        <f t="array" ref="AB15">VEGAGREEK($B15,100,0.01,AB$2,0.1)</f>
        <v>30.09393663919229</v>
      </c>
      <c r="AC15" s="2" cm="1">
        <f t="array" ref="AC15">VEGAGREEK($B15,100,0.01,AC$2,0.1)</f>
        <v>31.366639998343121</v>
      </c>
      <c r="AD15" s="2" cm="1">
        <f t="array" ref="AD15">VEGAGREEK($B15,100,0.01,AD$2,0.1)</f>
        <v>32.615532025490417</v>
      </c>
      <c r="AE15" s="2" cm="1">
        <f t="array" ref="AE15">VEGAGREEK($B15,100,0.01,AE$2,0.1)</f>
        <v>33.84116516662602</v>
      </c>
      <c r="AF15" s="2" cm="1">
        <f t="array" ref="AF15">VEGAGREEK($B15,100,0.01,AF$2,0.1)</f>
        <v>35.044120413266619</v>
      </c>
      <c r="AG15" s="2" cm="1">
        <f t="array" ref="AG15">VEGAGREEK($B15,100,0.01,AG$2,0.1)</f>
        <v>36.224994932937349</v>
      </c>
      <c r="AH15" s="2" cm="1">
        <f t="array" ref="AH15">VEGAGREEK($B15,100,0.01,AH$2,0.1)</f>
        <v>37.384392684336028</v>
      </c>
      <c r="AI15" s="2" cm="1">
        <f t="array" ref="AI15">VEGAGREEK($B15,100,0.01,AI$2,0.1)</f>
        <v>38.522917335092387</v>
      </c>
      <c r="AJ15" s="2" cm="1">
        <f t="array" ref="AJ15">VEGAGREEK($B15,100,0.01,AJ$2,0.1)</f>
        <v>39.641166959466624</v>
      </c>
      <c r="AK15" s="2" cm="1">
        <f t="array" ref="AK15">VEGAGREEK($B15,100,0.01,AK$2,0.1)</f>
        <v>40.73973011393997</v>
      </c>
      <c r="AL15" s="2" cm="1">
        <f t="array" ref="AL15">VEGAGREEK($B15,100,0.01,AL$2,0.1)</f>
        <v>41.819182980312902</v>
      </c>
      <c r="AM15" s="2" cm="1">
        <f t="array" ref="AM15">VEGAGREEK($B15,100,0.01,AM$2,0.1)</f>
        <v>42.880087335902076</v>
      </c>
      <c r="AN15" s="2" cm="1">
        <f t="array" ref="AN15">VEGAGREEK($B15,100,0.01,AN$2,0.1)</f>
        <v>43.922989164075119</v>
      </c>
      <c r="AO15" s="2" cm="1">
        <f t="array" ref="AO15">VEGAGREEK($B15,100,0.01,AO$2,0.1)</f>
        <v>44.948417759659009</v>
      </c>
      <c r="AP15" s="2" cm="1">
        <f t="array" ref="AP15">VEGAGREEK($B15,100,0.01,AP$2,0.1)</f>
        <v>45.956885215668855</v>
      </c>
      <c r="AQ15" s="2" cm="1">
        <f t="array" ref="AQ15">VEGAGREEK($B15,100,0.01,AQ$2,0.1)</f>
        <v>46.948886202551655</v>
      </c>
      <c r="AR15" s="2" cm="1">
        <f t="array" ref="AR15">VEGAGREEK($B15,100,0.01,AR$2,0.1)</f>
        <v>47.924897970395499</v>
      </c>
      <c r="AS15" s="2" cm="1">
        <f t="array" ref="AS15">VEGAGREEK($B15,100,0.01,AS$2,0.1)</f>
        <v>48.88538051958421</v>
      </c>
      <c r="AT15" s="2" cm="1">
        <f t="array" ref="AT15">VEGAGREEK($B15,100,0.01,AT$2,0.1)</f>
        <v>49.830776897143188</v>
      </c>
      <c r="AU15" s="2" cm="1">
        <f t="array" ref="AU15">VEGAGREEK($B15,100,0.01,AU$2,0.1)</f>
        <v>50.761513585252125</v>
      </c>
      <c r="AV15" s="2" cm="1">
        <f t="array" ref="AV15">VEGAGREEK($B15,100,0.01,AV$2,0.1)</f>
        <v>51.678000955664004</v>
      </c>
      <c r="AW15" s="2" cm="1">
        <f t="array" ref="AW15">VEGAGREEK($B15,100,0.01,AW$2,0.1)</f>
        <v>52.580633769490447</v>
      </c>
      <c r="AX15" s="2" cm="1">
        <f t="array" ref="AX15">VEGAGREEK($B15,100,0.01,AX$2,0.1)</f>
        <v>53.469791706333211</v>
      </c>
      <c r="AY15" s="2" cm="1">
        <f t="array" ref="AY15">VEGAGREEK($B15,100,0.01,AY$2,0.1)</f>
        <v>54.345839910310794</v>
      </c>
      <c r="AZ15" s="2" cm="1">
        <f t="array" ref="AZ15">VEGAGREEK($B15,100,0.01,AZ$2,0.1)</f>
        <v>55.209129543356326</v>
      </c>
    </row>
    <row r="16" spans="1:52" x14ac:dyDescent="0.3">
      <c r="A16" s="2"/>
      <c r="B16" s="2">
        <v>125</v>
      </c>
      <c r="C16" s="2" cm="1">
        <f t="array" ref="C16">VEGAGREEK($B16,100,0.01,C$2,0.1)</f>
        <v>1.7359781226716246E-10</v>
      </c>
      <c r="D16" s="2" cm="1">
        <f t="array" ref="D16">VEGAGREEK($B16,100,0.01,D$2,0.1)</f>
        <v>6.2485864027086947E-5</v>
      </c>
      <c r="E16" s="2" cm="1">
        <f t="array" ref="E16">VEGAGREEK($B16,100,0.01,E$2,0.1)</f>
        <v>4.8462877771001354E-3</v>
      </c>
      <c r="F16" s="2" cm="1">
        <f t="array" ref="F16">VEGAGREEK($B16,100,0.01,F$2,0.1)</f>
        <v>4.4506677252410989E-2</v>
      </c>
      <c r="G16" s="2" cm="1">
        <f t="array" ref="G16">VEGAGREEK($B16,100,0.01,G$2,0.1)</f>
        <v>0.17258883967674485</v>
      </c>
      <c r="H16" s="2" cm="1">
        <f t="array" ref="H16">VEGAGREEK($B16,100,0.01,H$2,0.1)</f>
        <v>0.43304080862080169</v>
      </c>
      <c r="I16" s="2" cm="1">
        <f t="array" ref="I16">VEGAGREEK($B16,100,0.01,I$2,0.1)</f>
        <v>0.8451859386720677</v>
      </c>
      <c r="J16" s="2" cm="1">
        <f t="array" ref="J16">VEGAGREEK($B16,100,0.01,J$2,0.1)</f>
        <v>1.4077924238848247</v>
      </c>
      <c r="K16" s="2" cm="1">
        <f t="array" ref="K16">VEGAGREEK($B16,100,0.01,K$2,0.1)</f>
        <v>2.1076516585977934</v>
      </c>
      <c r="L16" s="2" cm="1">
        <f t="array" ref="L16">VEGAGREEK($B16,100,0.01,L$2,0.1)</f>
        <v>2.9263550912716783</v>
      </c>
      <c r="M16" s="2" cm="1">
        <f t="array" ref="M16">VEGAGREEK($B16,100,0.01,M$2,0.1)</f>
        <v>3.8444085300751998</v>
      </c>
      <c r="N16" s="2" cm="1">
        <f t="array" ref="N16">VEGAGREEK($B16,100,0.01,N$2,0.1)</f>
        <v>4.8433685900028802</v>
      </c>
      <c r="O16" s="2" cm="1">
        <f t="array" ref="O16">VEGAGREEK($B16,100,0.01,O$2,0.1)</f>
        <v>5.9067745054405689</v>
      </c>
      <c r="P16" s="2" cm="1">
        <f t="array" ref="P16">VEGAGREEK($B16,100,0.01,P$2,0.1)</f>
        <v>7.0204195262460933</v>
      </c>
      <c r="Q16" s="2" cm="1">
        <f t="array" ref="Q16">VEGAGREEK($B16,100,0.01,Q$2,0.1)</f>
        <v>8.1722909647814852</v>
      </c>
      <c r="R16" s="2" cm="1">
        <f t="array" ref="R16">VEGAGREEK($B16,100,0.01,R$2,0.1)</f>
        <v>9.352363118738527</v>
      </c>
      <c r="S16" s="2" cm="1">
        <f t="array" ref="S16">VEGAGREEK($B16,100,0.01,S$2,0.1)</f>
        <v>10.55234060950899</v>
      </c>
      <c r="T16" s="2" cm="1">
        <f t="array" ref="T16">VEGAGREEK($B16,100,0.01,T$2,0.1)</f>
        <v>11.765400753187622</v>
      </c>
      <c r="U16" s="2" cm="1">
        <f t="array" ref="U16">VEGAGREEK($B16,100,0.01,U$2,0.1)</f>
        <v>12.98595701630139</v>
      </c>
      <c r="V16" s="2" cm="1">
        <f t="array" ref="V16">VEGAGREEK($B16,100,0.01,V$2,0.1)</f>
        <v>14.20945168887329</v>
      </c>
      <c r="W16" s="2" cm="1">
        <f t="array" ref="W16">VEGAGREEK($B16,100,0.01,W$2,0.1)</f>
        <v>15.432178942485105</v>
      </c>
      <c r="X16" s="2" cm="1">
        <f t="array" ref="X16">VEGAGREEK($B16,100,0.01,X$2,0.1)</f>
        <v>16.651136214215271</v>
      </c>
      <c r="Y16" s="2" cm="1">
        <f t="array" ref="Y16">VEGAGREEK($B16,100,0.01,Y$2,0.1)</f>
        <v>17.863900588459924</v>
      </c>
      <c r="Z16" s="2" cm="1">
        <f t="array" ref="Z16">VEGAGREEK($B16,100,0.01,Z$2,0.1)</f>
        <v>19.06852656730797</v>
      </c>
      <c r="AA16" s="2" cm="1">
        <f t="array" ref="AA16">VEGAGREEK($B16,100,0.01,AA$2,0.1)</f>
        <v>20.263461805472964</v>
      </c>
      <c r="AB16" s="2" cm="1">
        <f t="array" ref="AB16">VEGAGREEK($B16,100,0.01,AB$2,0.1)</f>
        <v>21.447477763897343</v>
      </c>
      <c r="AC16" s="2" cm="1">
        <f t="array" ref="AC16">VEGAGREEK($B16,100,0.01,AC$2,0.1)</f>
        <v>22.619612667580878</v>
      </c>
      <c r="AD16" s="2" cm="1">
        <f t="array" ref="AD16">VEGAGREEK($B16,100,0.01,AD$2,0.1)</f>
        <v>23.779124570837745</v>
      </c>
      <c r="AE16" s="2" cm="1">
        <f t="array" ref="AE16">VEGAGREEK($B16,100,0.01,AE$2,0.1)</f>
        <v>24.925452708210102</v>
      </c>
      <c r="AF16" s="2" cm="1">
        <f t="array" ref="AF16">VEGAGREEK($B16,100,0.01,AF$2,0.1)</f>
        <v>26.058185632494091</v>
      </c>
      <c r="AG16" s="2" cm="1">
        <f t="array" ref="AG16">VEGAGREEK($B16,100,0.01,AG$2,0.1)</f>
        <v>27.177034913223771</v>
      </c>
      <c r="AH16" s="2" cm="1">
        <f t="array" ref="AH16">VEGAGREEK($B16,100,0.01,AH$2,0.1)</f>
        <v>28.281813394243404</v>
      </c>
      <c r="AI16" s="2" cm="1">
        <f t="array" ref="AI16">VEGAGREEK($B16,100,0.01,AI$2,0.1)</f>
        <v>29.372417193910913</v>
      </c>
      <c r="AJ16" s="2" cm="1">
        <f t="array" ref="AJ16">VEGAGREEK($B16,100,0.01,AJ$2,0.1)</f>
        <v>30.448810782362322</v>
      </c>
      <c r="AK16" s="2" cm="1">
        <f t="array" ref="AK16">VEGAGREEK($B16,100,0.01,AK$2,0.1)</f>
        <v>31.511014592968571</v>
      </c>
      <c r="AL16" s="2" cm="1">
        <f t="array" ref="AL16">VEGAGREEK($B16,100,0.01,AL$2,0.1)</f>
        <v>32.559094724718612</v>
      </c>
      <c r="AM16" s="2" cm="1">
        <f t="array" ref="AM16">VEGAGREEK($B16,100,0.01,AM$2,0.1)</f>
        <v>33.593154373064571</v>
      </c>
      <c r="AN16" s="2" cm="1">
        <f t="array" ref="AN16">VEGAGREEK($B16,100,0.01,AN$2,0.1)</f>
        <v>34.613326692332606</v>
      </c>
      <c r="AO16" s="2" cm="1">
        <f t="array" ref="AO16">VEGAGREEK($B16,100,0.01,AO$2,0.1)</f>
        <v>35.619768846050256</v>
      </c>
      <c r="AP16" s="2" cm="1">
        <f t="array" ref="AP16">VEGAGREEK($B16,100,0.01,AP$2,0.1)</f>
        <v>36.612657044838834</v>
      </c>
      <c r="AQ16" s="2" cm="1">
        <f t="array" ref="AQ16">VEGAGREEK($B16,100,0.01,AQ$2,0.1)</f>
        <v>37.59218240678333</v>
      </c>
      <c r="AR16" s="2" cm="1">
        <f t="array" ref="AR16">VEGAGREEK($B16,100,0.01,AR$2,0.1)</f>
        <v>38.558547503963645</v>
      </c>
      <c r="AS16" s="2" cm="1">
        <f t="array" ref="AS16">VEGAGREEK($B16,100,0.01,AS$2,0.1)</f>
        <v>39.51196348235063</v>
      </c>
      <c r="AT16" s="2" cm="1">
        <f t="array" ref="AT16">VEGAGREEK($B16,100,0.01,AT$2,0.1)</f>
        <v>40.452647661540155</v>
      </c>
      <c r="AU16" s="2" cm="1">
        <f t="array" ref="AU16">VEGAGREEK($B16,100,0.01,AU$2,0.1)</f>
        <v>41.380821536613631</v>
      </c>
      <c r="AV16" s="2" cm="1">
        <f t="array" ref="AV16">VEGAGREEK($B16,100,0.01,AV$2,0.1)</f>
        <v>42.296709117429508</v>
      </c>
      <c r="AW16" s="2" cm="1">
        <f t="array" ref="AW16">VEGAGREEK($B16,100,0.01,AW$2,0.1)</f>
        <v>43.200535551376994</v>
      </c>
      <c r="AX16" s="2" cm="1">
        <f t="array" ref="AX16">VEGAGREEK($B16,100,0.01,AX$2,0.1)</f>
        <v>44.09252598449163</v>
      </c>
      <c r="AY16" s="2" cm="1">
        <f t="array" ref="AY16">VEGAGREEK($B16,100,0.01,AY$2,0.1)</f>
        <v>44.972904623171615</v>
      </c>
      <c r="AZ16" s="2" cm="1">
        <f t="array" ref="AZ16">VEGAGREEK($B16,100,0.01,AZ$2,0.1)</f>
        <v>45.841893964826845</v>
      </c>
    </row>
    <row r="17" spans="1:52" x14ac:dyDescent="0.3">
      <c r="A17" s="2"/>
      <c r="B17" s="2">
        <v>130</v>
      </c>
      <c r="C17" s="2" cm="1">
        <f t="array" ref="C17">VEGAGREEK($B17,100,0.01,C$2,0.1)</f>
        <v>1.2477221902307152E-14</v>
      </c>
      <c r="D17" s="2" cm="1">
        <f t="array" ref="D17">VEGAGREEK($B17,100,0.01,D$2,0.1)</f>
        <v>5.2457823818334003E-7</v>
      </c>
      <c r="E17" s="2" cm="1">
        <f t="array" ref="E17">VEGAGREEK($B17,100,0.01,E$2,0.1)</f>
        <v>1.9887917206308568E-4</v>
      </c>
      <c r="F17" s="2" cm="1">
        <f t="array" ref="F17">VEGAGREEK($B17,100,0.01,F$2,0.1)</f>
        <v>4.0381373145575378E-3</v>
      </c>
      <c r="G17" s="2" cm="1">
        <f t="array" ref="G17">VEGAGREEK($B17,100,0.01,G$2,0.1)</f>
        <v>2.5206590353608994E-2</v>
      </c>
      <c r="H17" s="2" cm="1">
        <f t="array" ref="H17">VEGAGREEK($B17,100,0.01,H$2,0.1)</f>
        <v>8.6868143918896412E-2</v>
      </c>
      <c r="I17" s="2" cm="1">
        <f t="array" ref="I17">VEGAGREEK($B17,100,0.01,I$2,0.1)</f>
        <v>0.21268370180965993</v>
      </c>
      <c r="J17" s="2" cm="1">
        <f t="array" ref="J17">VEGAGREEK($B17,100,0.01,J$2,0.1)</f>
        <v>0.41991195969349748</v>
      </c>
      <c r="K17" s="2" cm="1">
        <f t="array" ref="K17">VEGAGREEK($B17,100,0.01,K$2,0.1)</f>
        <v>0.71754270940931397</v>
      </c>
      <c r="L17" s="2" cm="1">
        <f t="array" ref="L17">VEGAGREEK($B17,100,0.01,L$2,0.1)</f>
        <v>1.1074379087941753</v>
      </c>
      <c r="M17" s="2" cm="1">
        <f t="array" ref="M17">VEGAGREEK($B17,100,0.01,M$2,0.1)</f>
        <v>1.5863973751921021</v>
      </c>
      <c r="N17" s="2" cm="1">
        <f t="array" ref="N17">VEGAGREEK($B17,100,0.01,N$2,0.1)</f>
        <v>2.1481027185301191</v>
      </c>
      <c r="O17" s="2" cm="1">
        <f t="array" ref="O17">VEGAGREEK($B17,100,0.01,O$2,0.1)</f>
        <v>2.7846059498378364</v>
      </c>
      <c r="P17" s="2" cm="1">
        <f t="array" ref="P17">VEGAGREEK($B17,100,0.01,P$2,0.1)</f>
        <v>3.4873513482802201</v>
      </c>
      <c r="Q17" s="2" cm="1">
        <f t="array" ref="Q17">VEGAGREEK($B17,100,0.01,Q$2,0.1)</f>
        <v>4.2478239170198897</v>
      </c>
      <c r="R17" s="2" cm="1">
        <f t="array" ref="R17">VEGAGREEK($B17,100,0.01,R$2,0.1)</f>
        <v>5.0579302494003882</v>
      </c>
      <c r="S17" s="2" cm="1">
        <f t="array" ref="S17">VEGAGREEK($B17,100,0.01,S$2,0.1)</f>
        <v>5.9101996273475628</v>
      </c>
      <c r="T17" s="2" cm="1">
        <f t="array" ref="T17">VEGAGREEK($B17,100,0.01,T$2,0.1)</f>
        <v>6.7978699314465025</v>
      </c>
      <c r="U17" s="2" cm="1">
        <f t="array" ref="U17">VEGAGREEK($B17,100,0.01,U$2,0.1)</f>
        <v>7.7149029312157689</v>
      </c>
      <c r="V17" s="2" cm="1">
        <f t="array" ref="V17">VEGAGREEK($B17,100,0.01,V$2,0.1)</f>
        <v>8.6559585117731039</v>
      </c>
      <c r="W17" s="2" cm="1">
        <f t="array" ref="W17">VEGAGREEK($B17,100,0.01,W$2,0.1)</f>
        <v>9.6163468612222029</v>
      </c>
      <c r="X17" s="2" cm="1">
        <f t="array" ref="X17">VEGAGREEK($B17,100,0.01,X$2,0.1)</f>
        <v>10.591970534557545</v>
      </c>
      <c r="Y17" s="2" cm="1">
        <f t="array" ref="Y17">VEGAGREEK($B17,100,0.01,Y$2,0.1)</f>
        <v>11.57926363222289</v>
      </c>
      <c r="Z17" s="2" cm="1">
        <f t="array" ref="Z17">VEGAGREEK($B17,100,0.01,Z$2,0.1)</f>
        <v>12.575132312224143</v>
      </c>
      <c r="AA17" s="2" cm="1">
        <f t="array" ref="AA17">VEGAGREEK($B17,100,0.01,AA$2,0.1)</f>
        <v>13.576898939667819</v>
      </c>
      <c r="AB17" s="2" cm="1">
        <f t="array" ref="AB17">VEGAGREEK($B17,100,0.01,AB$2,0.1)</f>
        <v>14.582250985790861</v>
      </c>
      <c r="AC17" s="2" cm="1">
        <f t="array" ref="AC17">VEGAGREEK($B17,100,0.01,AC$2,0.1)</f>
        <v>15.589195064513387</v>
      </c>
      <c r="AD17" s="2" cm="1">
        <f t="array" ref="AD17">VEGAGREEK($B17,100,0.01,AD$2,0.1)</f>
        <v>16.596016069657271</v>
      </c>
      <c r="AE17" s="2" cm="1">
        <f t="array" ref="AE17">VEGAGREEK($B17,100,0.01,AE$2,0.1)</f>
        <v>17.601241140088202</v>
      </c>
      <c r="AF17" s="2" cm="1">
        <f t="array" ref="AF17">VEGAGREEK($B17,100,0.01,AF$2,0.1)</f>
        <v>18.603608061799036</v>
      </c>
      <c r="AG17" s="2" cm="1">
        <f t="array" ref="AG17">VEGAGREEK($B17,100,0.01,AG$2,0.1)</f>
        <v>19.602037669459797</v>
      </c>
      <c r="AH17" s="2" cm="1">
        <f t="array" ref="AH17">VEGAGREEK($B17,100,0.01,AH$2,0.1)</f>
        <v>20.595609805918933</v>
      </c>
      <c r="AI17" s="2" cm="1">
        <f t="array" ref="AI17">VEGAGREEK($B17,100,0.01,AI$2,0.1)</f>
        <v>21.583542418028113</v>
      </c>
      <c r="AJ17" s="2" cm="1">
        <f t="array" ref="AJ17">VEGAGREEK($B17,100,0.01,AJ$2,0.1)</f>
        <v>22.565173399415233</v>
      </c>
      <c r="AK17" s="2" cm="1">
        <f t="array" ref="AK17">VEGAGREEK($B17,100,0.01,AK$2,0.1)</f>
        <v>23.539944828357218</v>
      </c>
      <c r="AL17" s="2" cm="1">
        <f t="array" ref="AL17">VEGAGREEK($B17,100,0.01,AL$2,0.1)</f>
        <v>24.507389287473689</v>
      </c>
      <c r="AM17" s="2" cm="1">
        <f t="array" ref="AM17">VEGAGREEK($B17,100,0.01,AM$2,0.1)</f>
        <v>25.467117989157323</v>
      </c>
      <c r="AN17" s="2" cm="1">
        <f t="array" ref="AN17">VEGAGREEK($B17,100,0.01,AN$2,0.1)</f>
        <v>26.418810465194621</v>
      </c>
      <c r="AO17" s="2" cm="1">
        <f t="array" ref="AO17">VEGAGREEK($B17,100,0.01,AO$2,0.1)</f>
        <v>27.362205610331646</v>
      </c>
      <c r="AP17" s="2" cm="1">
        <f t="array" ref="AP17">VEGAGREEK($B17,100,0.01,AP$2,0.1)</f>
        <v>28.297093897443329</v>
      </c>
      <c r="AQ17" s="2" cm="1">
        <f t="array" ref="AQ17">VEGAGREEK($B17,100,0.01,AQ$2,0.1)</f>
        <v>29.223310606559266</v>
      </c>
      <c r="AR17" s="2" cm="1">
        <f t="array" ref="AR17">VEGAGREEK($B17,100,0.01,AR$2,0.1)</f>
        <v>30.140729931498949</v>
      </c>
      <c r="AS17" s="2" cm="1">
        <f t="array" ref="AS17">VEGAGREEK($B17,100,0.01,AS$2,0.1)</f>
        <v>31.049259846557081</v>
      </c>
      <c r="AT17" s="2" cm="1">
        <f t="array" ref="AT17">VEGAGREEK($B17,100,0.01,AT$2,0.1)</f>
        <v>31.94883763185544</v>
      </c>
      <c r="AU17" s="2" cm="1">
        <f t="array" ref="AU17">VEGAGREEK($B17,100,0.01,AU$2,0.1)</f>
        <v>32.839425969937516</v>
      </c>
      <c r="AV17" s="2" cm="1">
        <f t="array" ref="AV17">VEGAGREEK($B17,100,0.01,AV$2,0.1)</f>
        <v>33.721009538208556</v>
      </c>
      <c r="AW17" s="2" cm="1">
        <f t="array" ref="AW17">VEGAGREEK($B17,100,0.01,AW$2,0.1)</f>
        <v>34.593592032166065</v>
      </c>
      <c r="AX17" s="2" cm="1">
        <f t="array" ref="AX17">VEGAGREEK($B17,100,0.01,AX$2,0.1)</f>
        <v>35.4571935632598</v>
      </c>
      <c r="AY17" s="2" cm="1">
        <f t="array" ref="AY17">VEGAGREEK($B17,100,0.01,AY$2,0.1)</f>
        <v>36.311848382860006</v>
      </c>
      <c r="AZ17" s="2" cm="1">
        <f t="array" ref="AZ17">VEGAGREEK($B17,100,0.01,AZ$2,0.1)</f>
        <v>37.157602890379685</v>
      </c>
    </row>
    <row r="18" spans="1:52" x14ac:dyDescent="0.3">
      <c r="A18" s="2"/>
      <c r="B18" s="2">
        <v>135</v>
      </c>
      <c r="C18" s="2" cm="1">
        <f t="array" ref="C18">VEGAGREEK($B18,100,0.01,C$2,0.1)</f>
        <v>3.0086617304103603E-19</v>
      </c>
      <c r="D18" s="2" cm="1">
        <f t="array" ref="D18">VEGAGREEK($B18,100,0.01,D$2,0.1)</f>
        <v>2.5517633623765734E-9</v>
      </c>
      <c r="E18" s="2" cm="1">
        <f t="array" ref="E18">VEGAGREEK($B18,100,0.01,E$2,0.1)</f>
        <v>5.673847415003242E-6</v>
      </c>
      <c r="F18" s="2" cm="1">
        <f t="array" ref="F18">VEGAGREEK($B18,100,0.01,F$2,0.1)</f>
        <v>2.7899636340967843E-4</v>
      </c>
      <c r="G18" s="2" cm="1">
        <f t="array" ref="G18">VEGAGREEK($B18,100,0.01,G$2,0.1)</f>
        <v>2.9607997104108257E-3</v>
      </c>
      <c r="H18" s="2" cm="1">
        <f t="array" ref="H18">VEGAGREEK($B18,100,0.01,H$2,0.1)</f>
        <v>1.4534734818581387E-2</v>
      </c>
      <c r="I18" s="2" cm="1">
        <f t="array" ref="I18">VEGAGREEK($B18,100,0.01,I$2,0.1)</f>
        <v>4.5817559828766861E-2</v>
      </c>
      <c r="J18" s="2" cm="1">
        <f t="array" ref="J18">VEGAGREEK($B18,100,0.01,J$2,0.1)</f>
        <v>0.10933755800638401</v>
      </c>
      <c r="K18" s="2" cm="1">
        <f t="array" ref="K18">VEGAGREEK($B18,100,0.01,K$2,0.1)</f>
        <v>0.21651121661498729</v>
      </c>
      <c r="L18" s="2" cm="1">
        <f t="array" ref="L18">VEGAGREEK($B18,100,0.01,L$2,0.1)</f>
        <v>0.3759838968894918</v>
      </c>
      <c r="M18" s="2" cm="1">
        <f t="array" ref="M18">VEGAGREEK($B18,100,0.01,M$2,0.1)</f>
        <v>0.59315314239828842</v>
      </c>
      <c r="N18" s="2" cm="1">
        <f t="array" ref="N18">VEGAGREEK($B18,100,0.01,N$2,0.1)</f>
        <v>0.87042373679435603</v>
      </c>
      <c r="O18" s="2" cm="1">
        <f t="array" ref="O18">VEGAGREEK($B18,100,0.01,O$2,0.1)</f>
        <v>1.2077799647907281</v>
      </c>
      <c r="P18" s="2" cm="1">
        <f t="array" ref="P18">VEGAGREEK($B18,100,0.01,P$2,0.1)</f>
        <v>1.6034188055297109</v>
      </c>
      <c r="Q18" s="2" cm="1">
        <f t="array" ref="Q18">VEGAGREEK($B18,100,0.01,Q$2,0.1)</f>
        <v>2.0543195973688433</v>
      </c>
      <c r="R18" s="2" cm="1">
        <f t="array" ref="R18">VEGAGREEK($B18,100,0.01,R$2,0.1)</f>
        <v>2.5567060247164042</v>
      </c>
      <c r="S18" s="2" cm="1">
        <f t="array" ref="S18">VEGAGREEK($B18,100,0.01,S$2,0.1)</f>
        <v>3.1063971677367914</v>
      </c>
      <c r="T18" s="2" cm="1">
        <f t="array" ref="T18">VEGAGREEK($B18,100,0.01,T$2,0.1)</f>
        <v>3.6990616435204879</v>
      </c>
      <c r="U18" s="2" cm="1">
        <f t="array" ref="U18">VEGAGREEK($B18,100,0.01,U$2,0.1)</f>
        <v>4.3303938633354155</v>
      </c>
      <c r="V18" s="2" cm="1">
        <f t="array" ref="V18">VEGAGREEK($B18,100,0.01,V$2,0.1)</f>
        <v>4.9962307922047984</v>
      </c>
      <c r="W18" s="2" cm="1">
        <f t="array" ref="W18">VEGAGREEK($B18,100,0.01,W$2,0.1)</f>
        <v>5.6926248309594163</v>
      </c>
      <c r="X18" s="2" cm="1">
        <f t="array" ref="X18">VEGAGREEK($B18,100,0.01,X$2,0.1)</f>
        <v>6.4158852278226215</v>
      </c>
      <c r="Y18" s="2" cm="1">
        <f t="array" ref="Y18">VEGAGREEK($B18,100,0.01,Y$2,0.1)</f>
        <v>7.1625974800343037</v>
      </c>
      <c r="Z18" s="2" cm="1">
        <f t="array" ref="Z18">VEGAGREEK($B18,100,0.01,Z$2,0.1)</f>
        <v>7.9296277432243691</v>
      </c>
      <c r="AA18" s="2" cm="1">
        <f t="array" ref="AA18">VEGAGREEK($B18,100,0.01,AA$2,0.1)</f>
        <v>8.71411734878094</v>
      </c>
      <c r="AB18" s="2" cm="1">
        <f t="array" ref="AB18">VEGAGREEK($B18,100,0.01,AB$2,0.1)</f>
        <v>9.5134710738897823</v>
      </c>
      <c r="AC18" s="2" cm="1">
        <f t="array" ref="AC18">VEGAGREEK($B18,100,0.01,AC$2,0.1)</f>
        <v>10.325341728336111</v>
      </c>
      <c r="AD18" s="2" cm="1">
        <f t="array" ref="AD18">VEGAGREEK($B18,100,0.01,AD$2,0.1)</f>
        <v>11.147612832671498</v>
      </c>
      <c r="AE18" s="2" cm="1">
        <f t="array" ref="AE18">VEGAGREEK($B18,100,0.01,AE$2,0.1)</f>
        <v>11.978380592648342</v>
      </c>
      <c r="AF18" s="2" cm="1">
        <f t="array" ref="AF18">VEGAGREEK($B18,100,0.01,AF$2,0.1)</f>
        <v>12.815935968047906</v>
      </c>
      <c r="AG18" s="2" cm="1">
        <f t="array" ref="AG18">VEGAGREEK($B18,100,0.01,AG$2,0.1)</f>
        <v>13.65874734647465</v>
      </c>
      <c r="AH18" s="2" cm="1">
        <f t="array" ref="AH18">VEGAGREEK($B18,100,0.01,AH$2,0.1)</f>
        <v>14.505444131548403</v>
      </c>
      <c r="AI18" s="2" cm="1">
        <f t="array" ref="AI18">VEGAGREEK($B18,100,0.01,AI$2,0.1)</f>
        <v>15.354801415936322</v>
      </c>
      <c r="AJ18" s="2" cm="1">
        <f t="array" ref="AJ18">VEGAGREEK($B18,100,0.01,AJ$2,0.1)</f>
        <v>16.205725815081035</v>
      </c>
      <c r="AK18" s="2" cm="1">
        <f t="array" ref="AK18">VEGAGREEK($B18,100,0.01,AK$2,0.1)</f>
        <v>17.057242474415357</v>
      </c>
      <c r="AL18" s="2" cm="1">
        <f t="array" ref="AL18">VEGAGREEK($B18,100,0.01,AL$2,0.1)</f>
        <v>17.90848322200749</v>
      </c>
      <c r="AM18" s="2" cm="1">
        <f t="array" ref="AM18">VEGAGREEK($B18,100,0.01,AM$2,0.1)</f>
        <v>18.758675813272102</v>
      </c>
      <c r="AN18" s="2" cm="1">
        <f t="array" ref="AN18">VEGAGREEK($B18,100,0.01,AN$2,0.1)</f>
        <v>19.607134199833613</v>
      </c>
      <c r="AO18" s="2" cm="1">
        <f t="array" ref="AO18">VEGAGREEK($B18,100,0.01,AO$2,0.1)</f>
        <v>20.453249747432885</v>
      </c>
      <c r="AP18" s="2" cm="1">
        <f t="array" ref="AP18">VEGAGREEK($B18,100,0.01,AP$2,0.1)</f>
        <v>21.296483325512209</v>
      </c>
      <c r="AQ18" s="2" cm="1">
        <f t="array" ref="AQ18">VEGAGREEK($B18,100,0.01,AQ$2,0.1)</f>
        <v>22.136358192093887</v>
      </c>
      <c r="AR18" s="2" cm="1">
        <f t="array" ref="AR18">VEGAGREEK($B18,100,0.01,AR$2,0.1)</f>
        <v>22.972453600589866</v>
      </c>
      <c r="AS18" s="2" cm="1">
        <f t="array" ref="AS18">VEGAGREEK($B18,100,0.01,AS$2,0.1)</f>
        <v>23.804399059413846</v>
      </c>
      <c r="AT18" s="2" cm="1">
        <f t="array" ref="AT18">VEGAGREEK($B18,100,0.01,AT$2,0.1)</f>
        <v>24.631869180146499</v>
      </c>
      <c r="AU18" s="2" cm="1">
        <f t="array" ref="AU18">VEGAGREEK($B18,100,0.01,AU$2,0.1)</f>
        <v>25.454579055136705</v>
      </c>
      <c r="AV18" s="2" cm="1">
        <f t="array" ref="AV18">VEGAGREEK($B18,100,0.01,AV$2,0.1)</f>
        <v>26.272280110560548</v>
      </c>
      <c r="AW18" s="2" cm="1">
        <f t="array" ref="AW18">VEGAGREEK($B18,100,0.01,AW$2,0.1)</f>
        <v>27.08475638593254</v>
      </c>
      <c r="AX18" s="2" cm="1">
        <f t="array" ref="AX18">VEGAGREEK($B18,100,0.01,AX$2,0.1)</f>
        <v>27.891821195778448</v>
      </c>
      <c r="AY18" s="2" cm="1">
        <f t="array" ref="AY18">VEGAGREEK($B18,100,0.01,AY$2,0.1)</f>
        <v>28.693314133573928</v>
      </c>
      <c r="AZ18" s="2" cm="1">
        <f t="array" ref="AZ18">VEGAGREEK($B18,100,0.01,AZ$2,0.1)</f>
        <v>29.489098382107919</v>
      </c>
    </row>
    <row r="19" spans="1:52" x14ac:dyDescent="0.3">
      <c r="A19" s="2"/>
      <c r="B19" s="2">
        <v>140</v>
      </c>
      <c r="C19" s="2" cm="1">
        <f t="array" ref="C19">VEGAGREEK($B19,100,0.01,C$2,0.1)</f>
        <v>2.775517486382491E-24</v>
      </c>
      <c r="D19" s="2" cm="1">
        <f t="array" ref="D19">VEGAGREEK($B19,100,0.01,D$2,0.1)</f>
        <v>7.6802814218935164E-12</v>
      </c>
      <c r="E19" s="2" cm="1">
        <f t="array" ref="E19">VEGAGREEK($B19,100,0.01,E$2,0.1)</f>
        <v>1.1756275778131188E-7</v>
      </c>
      <c r="F19" s="2" cm="1">
        <f t="array" ref="F19">VEGAGREEK($B19,100,0.01,F$2,0.1)</f>
        <v>1.5167651578010572E-5</v>
      </c>
      <c r="G19" s="2" cm="1">
        <f t="array" ref="G19">VEGAGREEK($B19,100,0.01,G$2,0.1)</f>
        <v>2.8713454403848714E-4</v>
      </c>
      <c r="H19" s="2" cm="1">
        <f t="array" ref="H19">VEGAGREEK($B19,100,0.01,H$2,0.1)</f>
        <v>2.0732639788992959E-3</v>
      </c>
      <c r="I19" s="2" cm="1">
        <f t="array" ref="I19">VEGAGREEK($B19,100,0.01,I$2,0.1)</f>
        <v>8.6094036586961634E-3</v>
      </c>
      <c r="J19" s="2" cm="1">
        <f t="array" ref="J19">VEGAGREEK($B19,100,0.01,J$2,0.1)</f>
        <v>2.5262754622349434E-2</v>
      </c>
      <c r="K19" s="2" cm="1">
        <f t="array" ref="K19">VEGAGREEK($B19,100,0.01,K$2,0.1)</f>
        <v>5.8750695962987917E-2</v>
      </c>
      <c r="L19" s="2" cm="1">
        <f t="array" ref="L19">VEGAGREEK($B19,100,0.01,L$2,0.1)</f>
        <v>0.116026952425216</v>
      </c>
      <c r="M19" s="2" cm="1">
        <f t="array" ref="M19">VEGAGREEK($B19,100,0.01,M$2,0.1)</f>
        <v>0.20335632192814179</v>
      </c>
      <c r="N19" s="2" cm="1">
        <f t="array" ref="N19">VEGAGREEK($B19,100,0.01,N$2,0.1)</f>
        <v>0.3257661114972753</v>
      </c>
      <c r="O19" s="2" cm="1">
        <f t="array" ref="O19">VEGAGREEK($B19,100,0.01,O$2,0.1)</f>
        <v>0.48684218832936027</v>
      </c>
      <c r="P19" s="2" cm="1">
        <f t="array" ref="P19">VEGAGREEK($B19,100,0.01,P$2,0.1)</f>
        <v>0.68876165914736542</v>
      </c>
      <c r="Q19" s="2" cm="1">
        <f t="array" ref="Q19">VEGAGREEK($B19,100,0.01,Q$2,0.1)</f>
        <v>0.93245680955385046</v>
      </c>
      <c r="R19" s="2" cm="1">
        <f t="array" ref="R19">VEGAGREEK($B19,100,0.01,R$2,0.1)</f>
        <v>1.217833439878055</v>
      </c>
      <c r="S19" s="2" cm="1">
        <f t="array" ref="S19">VEGAGREEK($B19,100,0.01,S$2,0.1)</f>
        <v>1.5439960523041736</v>
      </c>
      <c r="T19" s="2" cm="1">
        <f t="array" ref="T19">VEGAGREEK($B19,100,0.01,T$2,0.1)</f>
        <v>1.9094544799601063</v>
      </c>
      <c r="U19" s="2" cm="1">
        <f t="array" ref="U19">VEGAGREEK($B19,100,0.01,U$2,0.1)</f>
        <v>2.3123009446115605</v>
      </c>
      <c r="V19" s="2" cm="1">
        <f t="array" ref="V19">VEGAGREEK($B19,100,0.01,V$2,0.1)</f>
        <v>2.7503549451983313</v>
      </c>
      <c r="W19" s="2" cm="1">
        <f t="array" ref="W19">VEGAGREEK($B19,100,0.01,W$2,0.1)</f>
        <v>3.2212777937511232</v>
      </c>
      <c r="X19" s="2" cm="1">
        <f t="array" ref="X19">VEGAGREEK($B19,100,0.01,X$2,0.1)</f>
        <v>3.7226605838725733</v>
      </c>
      <c r="Y19" s="2" cm="1">
        <f t="array" ref="Y19">VEGAGREEK($B19,100,0.01,Y$2,0.1)</f>
        <v>4.2520899598047119</v>
      </c>
      <c r="Z19" s="2" cm="1">
        <f t="array" ref="Z19">VEGAGREEK($B19,100,0.01,Z$2,0.1)</f>
        <v>4.807195915935135</v>
      </c>
      <c r="AA19" s="2" cm="1">
        <f t="array" ref="AA19">VEGAGREEK($B19,100,0.01,AA$2,0.1)</f>
        <v>5.3856853896768113</v>
      </c>
      <c r="AB19" s="2" cm="1">
        <f t="array" ref="AB19">VEGAGREEK($B19,100,0.01,AB$2,0.1)</f>
        <v>5.9853648334585365</v>
      </c>
      <c r="AC19" s="2" cm="1">
        <f t="array" ref="AC19">VEGAGREEK($B19,100,0.01,AC$2,0.1)</f>
        <v>6.6041543774956892</v>
      </c>
      <c r="AD19" s="2" cm="1">
        <f t="array" ref="AD19">VEGAGREEK($B19,100,0.01,AD$2,0.1)</f>
        <v>7.2400956767669431</v>
      </c>
      <c r="AE19" s="2" cm="1">
        <f t="array" ref="AE19">VEGAGREEK($B19,100,0.01,AE$2,0.1)</f>
        <v>7.891355092386223</v>
      </c>
      <c r="AF19" s="2" cm="1">
        <f t="array" ref="AF19">VEGAGREEK($B19,100,0.01,AF$2,0.1)</f>
        <v>8.5562234911034274</v>
      </c>
      <c r="AG19" s="2" cm="1">
        <f t="array" ref="AG19">VEGAGREEK($B19,100,0.01,AG$2,0.1)</f>
        <v>9.2331136505373568</v>
      </c>
      <c r="AH19" s="2" cm="1">
        <f t="array" ref="AH19">VEGAGREEK($B19,100,0.01,AH$2,0.1)</f>
        <v>9.9205560223078901</v>
      </c>
      <c r="AI19" s="2" cm="1">
        <f t="array" ref="AI19">VEGAGREEK($B19,100,0.01,AI$2,0.1)</f>
        <v>10.617193420311686</v>
      </c>
      <c r="AJ19" s="2" cm="1">
        <f t="array" ref="AJ19">VEGAGREEK($B19,100,0.01,AJ$2,0.1)</f>
        <v>11.321775057510788</v>
      </c>
      <c r="AK19" s="2" cm="1">
        <f t="array" ref="AK19">VEGAGREEK($B19,100,0.01,AK$2,0.1)</f>
        <v>12.033150243537415</v>
      </c>
      <c r="AL19" s="2" cm="1">
        <f t="array" ref="AL19">VEGAGREEK($B19,100,0.01,AL$2,0.1)</f>
        <v>12.750261970260983</v>
      </c>
      <c r="AM19" s="2" cm="1">
        <f t="array" ref="AM19">VEGAGREEK($B19,100,0.01,AM$2,0.1)</f>
        <v>13.472140547585303</v>
      </c>
      <c r="AN19" s="2" cm="1">
        <f t="array" ref="AN19">VEGAGREEK($B19,100,0.01,AN$2,0.1)</f>
        <v>14.197897402628854</v>
      </c>
      <c r="AO19" s="2" cm="1">
        <f t="array" ref="AO19">VEGAGREEK($B19,100,0.01,AO$2,0.1)</f>
        <v>14.926719118508881</v>
      </c>
      <c r="AP19" s="2" cm="1">
        <f t="array" ref="AP19">VEGAGREEK($B19,100,0.01,AP$2,0.1)</f>
        <v>15.657861761389585</v>
      </c>
      <c r="AQ19" s="2" cm="1">
        <f t="array" ref="AQ19">VEGAGREEK($B19,100,0.01,AQ$2,0.1)</f>
        <v>16.390645524074944</v>
      </c>
      <c r="AR19" s="2" cm="1">
        <f t="array" ref="AR19">VEGAGREEK($B19,100,0.01,AR$2,0.1)</f>
        <v>17.124449699521453</v>
      </c>
      <c r="AS19" s="2" cm="1">
        <f t="array" ref="AS19">VEGAGREEK($B19,100,0.01,AS$2,0.1)</f>
        <v>17.858707986903486</v>
      </c>
      <c r="AT19" s="2" cm="1">
        <f t="array" ref="AT19">VEGAGREEK($B19,100,0.01,AT$2,0.1)</f>
        <v>18.592904125268181</v>
      </c>
      <c r="AU19" s="2" cm="1">
        <f t="array" ref="AU19">VEGAGREEK($B19,100,0.01,AU$2,0.1)</f>
        <v>19.326567844587149</v>
      </c>
      <c r="AV19" s="2" cm="1">
        <f t="array" ref="AV19">VEGAGREEK($B19,100,0.01,AV$2,0.1)</f>
        <v>20.059271120556957</v>
      </c>
      <c r="AW19" s="2" cm="1">
        <f t="array" ref="AW19">VEGAGREEK($B19,100,0.01,AW$2,0.1)</f>
        <v>20.790624717356469</v>
      </c>
      <c r="AX19" s="2" cm="1">
        <f t="array" ref="AX19">VEGAGREEK($B19,100,0.01,AX$2,0.1)</f>
        <v>21.520275001396129</v>
      </c>
      <c r="AY19" s="2" cm="1">
        <f t="array" ref="AY19">VEGAGREEK($B19,100,0.01,AY$2,0.1)</f>
        <v>22.247901008621341</v>
      </c>
      <c r="AZ19" s="2" cm="1">
        <f t="array" ref="AZ19">VEGAGREEK($B19,100,0.01,AZ$2,0.1)</f>
        <v>22.973211747964488</v>
      </c>
    </row>
    <row r="20" spans="1:52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</row>
    <row r="21" spans="1:52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</row>
    <row r="22" spans="1:52" x14ac:dyDescent="0.3">
      <c r="A22" s="2" t="s">
        <v>14</v>
      </c>
      <c r="B22" s="2"/>
      <c r="C22" s="2" t="s">
        <v>12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</row>
    <row r="23" spans="1:52" x14ac:dyDescent="0.3">
      <c r="A23" s="2"/>
      <c r="B23" s="2"/>
      <c r="C23" s="2">
        <v>0.1</v>
      </c>
      <c r="D23" s="2">
        <v>0.2</v>
      </c>
      <c r="E23" s="2">
        <v>0.3</v>
      </c>
      <c r="F23" s="2">
        <v>0.4</v>
      </c>
      <c r="G23" s="2">
        <v>0.5</v>
      </c>
      <c r="H23" s="2">
        <v>0.6</v>
      </c>
      <c r="I23" s="2">
        <v>0.7</v>
      </c>
      <c r="J23" s="2">
        <v>0.8</v>
      </c>
      <c r="K23" s="2">
        <v>0.9</v>
      </c>
      <c r="L23" s="2">
        <v>1</v>
      </c>
      <c r="M23" s="2">
        <v>1.1000000000000001</v>
      </c>
      <c r="N23" s="2">
        <v>1.2</v>
      </c>
      <c r="O23" s="2">
        <v>1.3</v>
      </c>
      <c r="P23" s="2">
        <v>1.4</v>
      </c>
      <c r="Q23" s="2">
        <v>1.5</v>
      </c>
      <c r="R23" s="2">
        <v>1.6</v>
      </c>
      <c r="S23" s="2">
        <v>1.7</v>
      </c>
      <c r="T23" s="2">
        <v>1.8</v>
      </c>
      <c r="U23" s="2">
        <v>1.9</v>
      </c>
      <c r="V23" s="2">
        <v>2</v>
      </c>
      <c r="W23" s="2">
        <v>2.1</v>
      </c>
      <c r="X23" s="2">
        <v>2.2000000000000002</v>
      </c>
      <c r="Y23" s="2">
        <v>2.2999999999999998</v>
      </c>
      <c r="Z23" s="2">
        <v>2.4</v>
      </c>
      <c r="AA23" s="2">
        <v>2.5</v>
      </c>
      <c r="AB23" s="2">
        <v>2.6</v>
      </c>
      <c r="AC23" s="2">
        <v>2.7</v>
      </c>
      <c r="AD23" s="2">
        <v>2.8</v>
      </c>
      <c r="AE23" s="2">
        <v>2.9</v>
      </c>
      <c r="AF23" s="2">
        <v>3</v>
      </c>
      <c r="AG23" s="2">
        <v>3.1</v>
      </c>
      <c r="AH23" s="2">
        <v>3.2</v>
      </c>
      <c r="AI23" s="2">
        <v>3.3</v>
      </c>
      <c r="AJ23" s="2">
        <v>3.4</v>
      </c>
      <c r="AK23" s="2">
        <v>3.5</v>
      </c>
      <c r="AL23" s="2">
        <v>3.6</v>
      </c>
      <c r="AM23" s="2">
        <v>3.7</v>
      </c>
      <c r="AN23" s="2">
        <v>3.8</v>
      </c>
      <c r="AO23" s="2">
        <v>3.9</v>
      </c>
      <c r="AP23" s="2">
        <v>4</v>
      </c>
      <c r="AQ23" s="2">
        <v>4.0999999999999996</v>
      </c>
      <c r="AR23" s="2">
        <v>4.2</v>
      </c>
      <c r="AS23" s="2">
        <v>4.3</v>
      </c>
      <c r="AT23" s="2">
        <v>4.4000000000000004</v>
      </c>
      <c r="AU23" s="2">
        <v>4.5</v>
      </c>
      <c r="AV23" s="2">
        <v>4.5999999999999996</v>
      </c>
      <c r="AW23" s="2">
        <v>4.7</v>
      </c>
      <c r="AX23" s="2">
        <v>4.8</v>
      </c>
      <c r="AY23" s="2">
        <v>4.9000000000000004</v>
      </c>
      <c r="AZ23" s="2">
        <v>5</v>
      </c>
    </row>
    <row r="24" spans="1:52" x14ac:dyDescent="0.3">
      <c r="A24" s="2" t="s">
        <v>11</v>
      </c>
      <c r="B24" s="2">
        <v>60</v>
      </c>
      <c r="C24" s="2" cm="1">
        <f t="array" ref="C24">VEGAGREEK($B24,100,0.01,C$23,0.2)</f>
        <v>7.5719207361530399E-14</v>
      </c>
      <c r="D24" s="2" cm="1">
        <f t="array" ref="D24">VEGAGREEK($B24,100,0.01,D$23,0.2)</f>
        <v>1.2945209838663301E-6</v>
      </c>
      <c r="E24" s="2" cm="1">
        <f t="array" ref="E24">VEGAGREEK($B24,100,0.01,E$23,0.2)</f>
        <v>3.6360095554575423E-4</v>
      </c>
      <c r="F24" s="2" cm="1">
        <f t="array" ref="F24">VEGAGREEK($B24,100,0.01,F$23,0.2)</f>
        <v>6.3545564110513127E-3</v>
      </c>
      <c r="G24" s="2" cm="1">
        <f t="array" ref="G24">VEGAGREEK($B24,100,0.01,G$23,0.2)</f>
        <v>3.6252613967393113E-2</v>
      </c>
      <c r="H24" s="2" cm="1">
        <f t="array" ref="H24">VEGAGREEK($B24,100,0.01,H$23,0.2)</f>
        <v>0.11766116464443548</v>
      </c>
      <c r="I24" s="2" cm="1">
        <f t="array" ref="I24">VEGAGREEK($B24,100,0.01,I$23,0.2)</f>
        <v>0.27599282724645025</v>
      </c>
      <c r="J24" s="2" cm="1">
        <f t="array" ref="J24">VEGAGREEK($B24,100,0.01,J$23,0.2)</f>
        <v>0.52767323580423287</v>
      </c>
      <c r="K24" s="2" cm="1">
        <f t="array" ref="K24">VEGAGREEK($B24,100,0.01,K$23,0.2)</f>
        <v>0.87942603690305643</v>
      </c>
      <c r="L24" s="2" cm="1">
        <f t="array" ref="L24">VEGAGREEK($B24,100,0.01,L$23,0.2)</f>
        <v>1.3304138019690321</v>
      </c>
      <c r="M24" s="2" cm="1">
        <f t="array" ref="M24">VEGAGREEK($B24,100,0.01,M$23,0.2)</f>
        <v>1.8748825968944356</v>
      </c>
      <c r="N24" s="2" cm="1">
        <f t="array" ref="N24">VEGAGREEK($B24,100,0.01,N$23,0.2)</f>
        <v>2.5043561414966375</v>
      </c>
      <c r="O24" s="2" cm="1">
        <f t="array" ref="O24">VEGAGREEK($B24,100,0.01,O$23,0.2)</f>
        <v>3.2091843952606669</v>
      </c>
      <c r="P24" s="2" cm="1">
        <f t="array" ref="P24">VEGAGREEK($B24,100,0.01,P$23,0.2)</f>
        <v>3.9795341981090879</v>
      </c>
      <c r="Q24" s="2" cm="1">
        <f t="array" ref="Q24">VEGAGREEK($B24,100,0.01,Q$23,0.2)</f>
        <v>4.8059720345238039</v>
      </c>
      <c r="R24" s="2" cm="1">
        <f t="array" ref="R24">VEGAGREEK($B24,100,0.01,R$23,0.2)</f>
        <v>5.6797731675944894</v>
      </c>
      <c r="S24" s="2" cm="1">
        <f t="array" ref="S24">VEGAGREEK($B24,100,0.01,S$23,0.2)</f>
        <v>6.5930573714195218</v>
      </c>
      <c r="T24" s="2" cm="1">
        <f t="array" ref="T24">VEGAGREEK($B24,100,0.01,T$23,0.2)</f>
        <v>7.538820046281546</v>
      </c>
      <c r="U24" s="2" cm="1">
        <f t="array" ref="U24">VEGAGREEK($B24,100,0.01,U$23,0.2)</f>
        <v>8.5109036588219933</v>
      </c>
      <c r="V24" s="2" cm="1">
        <f t="array" ref="V24">VEGAGREEK($B24,100,0.01,V$23,0.2)</f>
        <v>9.503937869249075</v>
      </c>
      <c r="W24" s="2" cm="1">
        <f t="array" ref="W24">VEGAGREEK($B24,100,0.01,W$23,0.2)</f>
        <v>10.513265705856911</v>
      </c>
      <c r="X24" s="2" cm="1">
        <f t="array" ref="X24">VEGAGREEK($B24,100,0.01,X$23,0.2)</f>
        <v>11.534866059385207</v>
      </c>
      <c r="Y24" s="2" cm="1">
        <f t="array" ref="Y24">VEGAGREEK($B24,100,0.01,Y$23,0.2)</f>
        <v>12.565278302115333</v>
      </c>
      <c r="Z24" s="2" cm="1">
        <f t="array" ref="Z24">VEGAGREEK($B24,100,0.01,Z$23,0.2)</f>
        <v>13.601532075094449</v>
      </c>
      <c r="AA24" s="2" cm="1">
        <f t="array" ref="AA24">VEGAGREEK($B24,100,0.01,AA$23,0.2)</f>
        <v>14.64108361627944</v>
      </c>
      <c r="AB24" s="2" cm="1">
        <f t="array" ref="AB24">VEGAGREEK($B24,100,0.01,AB$23,0.2)</f>
        <v>15.681759019712322</v>
      </c>
      <c r="AC24" s="2" cm="1">
        <f t="array" ref="AC24">VEGAGREEK($B24,100,0.01,AC$23,0.2)</f>
        <v>16.721704261490761</v>
      </c>
      <c r="AD24" s="2" cm="1">
        <f t="array" ref="AD24">VEGAGREEK($B24,100,0.01,AD$23,0.2)</f>
        <v>17.759341536946337</v>
      </c>
      <c r="AE24" s="2" cm="1">
        <f t="array" ref="AE24">VEGAGREEK($B24,100,0.01,AE$23,0.2)</f>
        <v>18.793331320696328</v>
      </c>
      <c r="AF24" s="2" cm="1">
        <f t="array" ref="AF24">VEGAGREEK($B24,100,0.01,AF$23,0.2)</f>
        <v>19.822539521715424</v>
      </c>
      <c r="AG24" s="2" cm="1">
        <f t="array" ref="AG24">VEGAGREEK($B24,100,0.01,AG$23,0.2)</f>
        <v>20.846009118709055</v>
      </c>
      <c r="AH24" s="2" cm="1">
        <f t="array" ref="AH24">VEGAGREEK($B24,100,0.01,AH$23,0.2)</f>
        <v>21.862935701975683</v>
      </c>
      <c r="AI24" s="2" cm="1">
        <f t="array" ref="AI24">VEGAGREEK($B24,100,0.01,AI$23,0.2)</f>
        <v>22.872646401607753</v>
      </c>
      <c r="AJ24" s="2" cm="1">
        <f t="array" ref="AJ24">VEGAGREEK($B24,100,0.01,AJ$23,0.2)</f>
        <v>23.874581739463569</v>
      </c>
      <c r="AK24" s="2" cm="1">
        <f t="array" ref="AK24">VEGAGREEK($B24,100,0.01,AK$23,0.2)</f>
        <v>24.868279998842571</v>
      </c>
      <c r="AL24" s="2" cm="1">
        <f t="array" ref="AL24">VEGAGREEK($B24,100,0.01,AL$23,0.2)</f>
        <v>25.853363758565663</v>
      </c>
      <c r="AM24" s="2" cm="1">
        <f t="array" ref="AM24">VEGAGREEK($B24,100,0.01,AM$23,0.2)</f>
        <v>26.829528285976657</v>
      </c>
      <c r="AN24" s="2" cm="1">
        <f t="array" ref="AN24">VEGAGREEK($B24,100,0.01,AN$23,0.2)</f>
        <v>27.796531525854977</v>
      </c>
      <c r="AO24" s="2" cm="1">
        <f t="array" ref="AO24">VEGAGREEK($B24,100,0.01,AO$23,0.2)</f>
        <v>28.754185459455467</v>
      </c>
      <c r="AP24" s="2" cm="1">
        <f t="array" ref="AP24">VEGAGREEK($B24,100,0.01,AP$23,0.2)</f>
        <v>29.702348640212861</v>
      </c>
      <c r="AQ24" s="2" cm="1">
        <f t="array" ref="AQ24">VEGAGREEK($B24,100,0.01,AQ$23,0.2)</f>
        <v>30.640919740529409</v>
      </c>
      <c r="AR24" s="2" cm="1">
        <f t="array" ref="AR24">VEGAGREEK($B24,100,0.01,AR$23,0.2)</f>
        <v>31.569831968003299</v>
      </c>
      <c r="AS24" s="2" cm="1">
        <f t="array" ref="AS24">VEGAGREEK($B24,100,0.01,AS$23,0.2)</f>
        <v>32.489048229946164</v>
      </c>
      <c r="AT24" s="2" cm="1">
        <f t="array" ref="AT24">VEGAGREEK($B24,100,0.01,AT$23,0.2)</f>
        <v>33.398556942539614</v>
      </c>
      <c r="AU24" s="2" cm="1">
        <f t="array" ref="AU24">VEGAGREEK($B24,100,0.01,AU$23,0.2)</f>
        <v>34.298368395908859</v>
      </c>
      <c r="AV24" s="2" cm="1">
        <f t="array" ref="AV24">VEGAGREEK($B24,100,0.01,AV$23,0.2)</f>
        <v>35.188511599117916</v>
      </c>
      <c r="AW24" s="2" cm="1">
        <f t="array" ref="AW24">VEGAGREEK($B24,100,0.01,AW$23,0.2)</f>
        <v>36.06903153993381</v>
      </c>
      <c r="AX24" s="2" cm="1">
        <f t="array" ref="AX24">VEGAGREEK($B24,100,0.01,AX$23,0.2)</f>
        <v>36.93998680345117</v>
      </c>
      <c r="AY24" s="2" cm="1">
        <f t="array" ref="AY24">VEGAGREEK($B24,100,0.01,AY$23,0.2)</f>
        <v>37.80144750154809</v>
      </c>
      <c r="AZ24" s="2" cm="1">
        <f t="array" ref="AZ24">VEGAGREEK($B24,100,0.01,AZ$23,0.2)</f>
        <v>38.653493471867854</v>
      </c>
    </row>
    <row r="25" spans="1:52" x14ac:dyDescent="0.3">
      <c r="A25" s="2"/>
      <c r="B25" s="2">
        <v>65</v>
      </c>
      <c r="C25" s="2" cm="1">
        <f t="array" ref="C25">VEGAGREEK($B25,100,0.01,C$23,0.2)</f>
        <v>9.5374791219905339E-10</v>
      </c>
      <c r="D25" s="2" cm="1">
        <f t="array" ref="D25">VEGAGREEK($B25,100,0.01,D$23,0.2)</f>
        <v>1.4674662728048757E-4</v>
      </c>
      <c r="E25" s="2" cm="1">
        <f t="array" ref="E25">VEGAGREEK($B25,100,0.01,E$23,0.2)</f>
        <v>8.5735604439262144E-3</v>
      </c>
      <c r="F25" s="2" cm="1">
        <f t="array" ref="F25">VEGAGREEK($B25,100,0.01,F$23,0.2)</f>
        <v>6.8337646766849849E-2</v>
      </c>
      <c r="G25" s="2" cm="1">
        <f t="array" ref="G25">VEGAGREEK($B25,100,0.01,G$23,0.2)</f>
        <v>0.24340934965576361</v>
      </c>
      <c r="H25" s="2" cm="1">
        <f t="array" ref="H25">VEGAGREEK($B25,100,0.01,H$23,0.2)</f>
        <v>0.57709392847973573</v>
      </c>
      <c r="I25" s="2" cm="1">
        <f t="array" ref="I25">VEGAGREEK($B25,100,0.01,I$23,0.2)</f>
        <v>1.0816670734477618</v>
      </c>
      <c r="J25" s="2" cm="1">
        <f t="array" ref="J25">VEGAGREEK($B25,100,0.01,J$23,0.2)</f>
        <v>1.7478240873614233</v>
      </c>
      <c r="K25" s="2" cm="1">
        <f t="array" ref="K25">VEGAGREEK($B25,100,0.01,K$23,0.2)</f>
        <v>2.5556717355709901</v>
      </c>
      <c r="L25" s="2" cm="1">
        <f t="array" ref="L25">VEGAGREEK($B25,100,0.01,L$23,0.2)</f>
        <v>3.4820176623168346</v>
      </c>
      <c r="M25" s="2" cm="1">
        <f t="array" ref="M25">VEGAGREEK($B25,100,0.01,M$23,0.2)</f>
        <v>4.5042502866328498</v>
      </c>
      <c r="N25" s="2" cm="1">
        <f t="array" ref="N25">VEGAGREEK($B25,100,0.01,N$23,0.2)</f>
        <v>5.6020635850180929</v>
      </c>
      <c r="O25" s="2" cm="1">
        <f t="array" ref="O25">VEGAGREEK($B25,100,0.01,O$23,0.2)</f>
        <v>6.7580097629702482</v>
      </c>
      <c r="P25" s="2" cm="1">
        <f t="array" ref="P25">VEGAGREEK($B25,100,0.01,P$23,0.2)</f>
        <v>7.9574773591914489</v>
      </c>
      <c r="Q25" s="2" cm="1">
        <f t="array" ref="Q25">VEGAGREEK($B25,100,0.01,Q$23,0.2)</f>
        <v>9.1884213071291327</v>
      </c>
      <c r="R25" s="2" cm="1">
        <f t="array" ref="R25">VEGAGREEK($B25,100,0.01,R$23,0.2)</f>
        <v>10.441011681895494</v>
      </c>
      <c r="S25" s="2" cm="1">
        <f t="array" ref="S25">VEGAGREEK($B25,100,0.01,S$23,0.2)</f>
        <v>11.707280646911745</v>
      </c>
      <c r="T25" s="2" cm="1">
        <f t="array" ref="T25">VEGAGREEK($B25,100,0.01,T$23,0.2)</f>
        <v>12.980801690611436</v>
      </c>
      <c r="U25" s="2" cm="1">
        <f t="array" ref="U25">VEGAGREEK($B25,100,0.01,U$23,0.2)</f>
        <v>14.256412549550996</v>
      </c>
      <c r="V25" s="2" cm="1">
        <f t="array" ref="V25">VEGAGREEK($B25,100,0.01,V$23,0.2)</f>
        <v>15.529982480581038</v>
      </c>
      <c r="W25" s="2" cm="1">
        <f t="array" ref="W25">VEGAGREEK($B25,100,0.01,W$23,0.2)</f>
        <v>16.79821993782414</v>
      </c>
      <c r="X25" s="2" cm="1">
        <f t="array" ref="X25">VEGAGREEK($B25,100,0.01,X$23,0.2)</f>
        <v>18.058515144316484</v>
      </c>
      <c r="Y25" s="2" cm="1">
        <f t="array" ref="Y25">VEGAGREEK($B25,100,0.01,Y$23,0.2)</f>
        <v>19.3088119195125</v>
      </c>
      <c r="Z25" s="2" cm="1">
        <f t="array" ref="Z25">VEGAGREEK($B25,100,0.01,Z$23,0.2)</f>
        <v>20.547503614546901</v>
      </c>
      <c r="AA25" s="2" cm="1">
        <f t="array" ref="AA25">VEGAGREEK($B25,100,0.01,AA$23,0.2)</f>
        <v>21.773348711357155</v>
      </c>
      <c r="AB25" s="2" cm="1">
        <f t="array" ref="AB25">VEGAGREEK($B25,100,0.01,AB$23,0.2)</f>
        <v>22.985402367237597</v>
      </c>
      <c r="AC25" s="2" cm="1">
        <f t="array" ref="AC25">VEGAGREEK($B25,100,0.01,AC$23,0.2)</f>
        <v>24.182960849858414</v>
      </c>
      <c r="AD25" s="2" cm="1">
        <f t="array" ref="AD25">VEGAGREEK($B25,100,0.01,AD$23,0.2)</f>
        <v>25.365516380185209</v>
      </c>
      <c r="AE25" s="2" cm="1">
        <f t="array" ref="AE25">VEGAGREEK($B25,100,0.01,AE$23,0.2)</f>
        <v>26.532720378796991</v>
      </c>
      <c r="AF25" s="2" cm="1">
        <f t="array" ref="AF25">VEGAGREEK($B25,100,0.01,AF$23,0.2)</f>
        <v>27.684353502761887</v>
      </c>
      <c r="AG25" s="2" cm="1">
        <f t="array" ref="AG25">VEGAGREEK($B25,100,0.01,AG$23,0.2)</f>
        <v>28.820301177387346</v>
      </c>
      <c r="AH25" s="2" cm="1">
        <f t="array" ref="AH25">VEGAGREEK($B25,100,0.01,AH$23,0.2)</f>
        <v>29.940533582198725</v>
      </c>
      <c r="AI25" s="2" cm="1">
        <f t="array" ref="AI25">VEGAGREEK($B25,100,0.01,AI$23,0.2)</f>
        <v>31.045089254775352</v>
      </c>
      <c r="AJ25" s="2" cm="1">
        <f t="array" ref="AJ25">VEGAGREEK($B25,100,0.01,AJ$23,0.2)</f>
        <v>32.134061639372852</v>
      </c>
      <c r="AK25" s="2" cm="1">
        <f t="array" ref="AK25">VEGAGREEK($B25,100,0.01,AK$23,0.2)</f>
        <v>33.207588037735881</v>
      </c>
      <c r="AL25" s="2" cm="1">
        <f t="array" ref="AL25">VEGAGREEK($B25,100,0.01,AL$23,0.2)</f>
        <v>34.265840523799298</v>
      </c>
      <c r="AM25" s="2" cm="1">
        <f t="array" ref="AM25">VEGAGREEK($B25,100,0.01,AM$23,0.2)</f>
        <v>35.309018467435116</v>
      </c>
      <c r="AN25" s="2" cm="1">
        <f t="array" ref="AN25">VEGAGREEK($B25,100,0.01,AN$23,0.2)</f>
        <v>36.337342379298605</v>
      </c>
      <c r="AO25" s="2" cm="1">
        <f t="array" ref="AO25">VEGAGREEK($B25,100,0.01,AO$23,0.2)</f>
        <v>37.351048842549083</v>
      </c>
      <c r="AP25" s="2" cm="1">
        <f t="array" ref="AP25">VEGAGREEK($B25,100,0.01,AP$23,0.2)</f>
        <v>38.350386340459224</v>
      </c>
      <c r="AQ25" s="2" cm="1">
        <f t="array" ref="AQ25">VEGAGREEK($B25,100,0.01,AQ$23,0.2)</f>
        <v>39.335611823807682</v>
      </c>
      <c r="AR25" s="2" cm="1">
        <f t="array" ref="AR25">VEGAGREEK($B25,100,0.01,AR$23,0.2)</f>
        <v>40.306987890157572</v>
      </c>
      <c r="AS25" s="2" cm="1">
        <f t="array" ref="AS25">VEGAGREEK($B25,100,0.01,AS$23,0.2)</f>
        <v>41.264780469990392</v>
      </c>
      <c r="AT25" s="2" cm="1">
        <f t="array" ref="AT25">VEGAGREEK($B25,100,0.01,AT$23,0.2)</f>
        <v>42.209256933251318</v>
      </c>
      <c r="AU25" s="2" cm="1">
        <f t="array" ref="AU25">VEGAGREEK($B25,100,0.01,AU$23,0.2)</f>
        <v>43.14068454500223</v>
      </c>
      <c r="AV25" s="2" cm="1">
        <f t="array" ref="AV25">VEGAGREEK($B25,100,0.01,AV$23,0.2)</f>
        <v>44.059329211248674</v>
      </c>
      <c r="AW25" s="2" cm="1">
        <f t="array" ref="AW25">VEGAGREEK($B25,100,0.01,AW$23,0.2)</f>
        <v>44.965454466131249</v>
      </c>
      <c r="AX25" s="2" cm="1">
        <f t="array" ref="AX25">VEGAGREEK($B25,100,0.01,AX$23,0.2)</f>
        <v>45.859320659984178</v>
      </c>
      <c r="AY25" s="2" cm="1">
        <f t="array" ref="AY25">VEGAGREEK($B25,100,0.01,AY$23,0.2)</f>
        <v>46.741184314599202</v>
      </c>
      <c r="AZ25" s="2" cm="1">
        <f t="array" ref="AZ25">VEGAGREEK($B25,100,0.01,AZ$23,0.2)</f>
        <v>47.611297617669926</v>
      </c>
    </row>
    <row r="26" spans="1:52" x14ac:dyDescent="0.3">
      <c r="A26" s="2"/>
      <c r="B26" s="2">
        <v>70</v>
      </c>
      <c r="C26" s="2" cm="1">
        <f t="array" ref="C26">VEGAGREEK($B26,100,0.01,C$23,0.2)</f>
        <v>1.4305070674681115E-6</v>
      </c>
      <c r="D26" s="2" cm="1">
        <f t="array" ref="D26">VEGAGREEK($B26,100,0.01,D$23,0.2)</f>
        <v>5.7361357105493501E-3</v>
      </c>
      <c r="E26" s="2" cm="1">
        <f t="array" ref="E26">VEGAGREEK($B26,100,0.01,E$23,0.2)</f>
        <v>9.9359820227649873E-2</v>
      </c>
      <c r="F26" s="2" cm="1">
        <f t="array" ref="F26">VEGAGREEK($B26,100,0.01,F$23,0.2)</f>
        <v>0.43122978474392237</v>
      </c>
      <c r="G26" s="2" cm="1">
        <f t="array" ref="G26">VEGAGREEK($B26,100,0.01,G$23,0.2)</f>
        <v>1.0665604474636925</v>
      </c>
      <c r="H26" s="2" cm="1">
        <f t="array" ref="H26">VEGAGREEK($B26,100,0.01,H$23,0.2)</f>
        <v>1.9828706392671891</v>
      </c>
      <c r="I26" s="2" cm="1">
        <f t="array" ref="I26">VEGAGREEK($B26,100,0.01,I$23,0.2)</f>
        <v>3.124011842549157</v>
      </c>
      <c r="J26" s="2" cm="1">
        <f t="array" ref="J26">VEGAGREEK($B26,100,0.01,J$23,0.2)</f>
        <v>4.4314430319658937</v>
      </c>
      <c r="K26" s="2" cm="1">
        <f t="array" ref="K26">VEGAGREEK($B26,100,0.01,K$23,0.2)</f>
        <v>5.8553435054060303</v>
      </c>
      <c r="L26" s="2" cm="1">
        <f t="array" ref="L26">VEGAGREEK($B26,100,0.01,L$23,0.2)</f>
        <v>7.3566173019582477</v>
      </c>
      <c r="M26" s="2" cm="1">
        <f t="array" ref="M26">VEGAGREEK($B26,100,0.01,M$23,0.2)</f>
        <v>8.9057318877747544</v>
      </c>
      <c r="N26" s="2" cm="1">
        <f t="array" ref="N26">VEGAGREEK($B26,100,0.01,N$23,0.2)</f>
        <v>10.480815062534839</v>
      </c>
      <c r="O26" s="2" cm="1">
        <f t="array" ref="O26">VEGAGREEK($B26,100,0.01,O$23,0.2)</f>
        <v>12.065854413421338</v>
      </c>
      <c r="P26" s="2" cm="1">
        <f t="array" ref="P26">VEGAGREEK($B26,100,0.01,P$23,0.2)</f>
        <v>13.649226100562165</v>
      </c>
      <c r="Q26" s="2" cm="1">
        <f t="array" ref="Q26">VEGAGREEK($B26,100,0.01,Q$23,0.2)</f>
        <v>15.222562068420235</v>
      </c>
      <c r="R26" s="2" cm="1">
        <f t="array" ref="R26">VEGAGREEK($B26,100,0.01,R$23,0.2)</f>
        <v>16.779900926881471</v>
      </c>
      <c r="S26" s="2" cm="1">
        <f t="array" ref="S26">VEGAGREEK($B26,100,0.01,S$23,0.2)</f>
        <v>18.31705896894757</v>
      </c>
      <c r="T26" s="2" cm="1">
        <f t="array" ref="T26">VEGAGREEK($B26,100,0.01,T$23,0.2)</f>
        <v>19.831166221954575</v>
      </c>
      <c r="U26" s="2" cm="1">
        <f t="array" ref="U26">VEGAGREEK($B26,100,0.01,U$23,0.2)</f>
        <v>21.320324287460689</v>
      </c>
      <c r="V26" s="2" cm="1">
        <f t="array" ref="V26">VEGAGREEK($B26,100,0.01,V$23,0.2)</f>
        <v>22.783353493544926</v>
      </c>
      <c r="W26" s="2" cm="1">
        <f t="array" ref="W26">VEGAGREEK($B26,100,0.01,W$23,0.2)</f>
        <v>24.219605468173892</v>
      </c>
      <c r="X26" s="2" cm="1">
        <f t="array" ref="X26">VEGAGREEK($B26,100,0.01,X$23,0.2)</f>
        <v>25.628823716119584</v>
      </c>
      <c r="Y26" s="2" cm="1">
        <f t="array" ref="Y26">VEGAGREEK($B26,100,0.01,Y$23,0.2)</f>
        <v>27.011039536738156</v>
      </c>
      <c r="Z26" s="2" cm="1">
        <f t="array" ref="Z26">VEGAGREEK($B26,100,0.01,Z$23,0.2)</f>
        <v>28.366494069422391</v>
      </c>
      <c r="AA26" s="2" cm="1">
        <f t="array" ref="AA26">VEGAGREEK($B26,100,0.01,AA$23,0.2)</f>
        <v>29.69557974409884</v>
      </c>
      <c r="AB26" s="2" cm="1">
        <f t="array" ref="AB26">VEGAGREEK($B26,100,0.01,AB$23,0.2)</f>
        <v>30.998796211459091</v>
      </c>
      <c r="AC26" s="2" cm="1">
        <f t="array" ref="AC26">VEGAGREEK($B26,100,0.01,AC$23,0.2)</f>
        <v>32.276717127327771</v>
      </c>
      <c r="AD26" s="2" cm="1">
        <f t="array" ref="AD26">VEGAGREEK($B26,100,0.01,AD$23,0.2)</f>
        <v>33.529965108820782</v>
      </c>
      <c r="AE26" s="2" cm="1">
        <f t="array" ref="AE26">VEGAGREEK($B26,100,0.01,AE$23,0.2)</f>
        <v>34.759192867575116</v>
      </c>
      <c r="AF26" s="2" cm="1">
        <f t="array" ref="AF26">VEGAGREEK($B26,100,0.01,AF$23,0.2)</f>
        <v>35.965069029119618</v>
      </c>
      <c r="AG26" s="2" cm="1">
        <f t="array" ref="AG26">VEGAGREEK($B26,100,0.01,AG$23,0.2)</f>
        <v>37.148267518491366</v>
      </c>
      <c r="AH26" s="2" cm="1">
        <f t="array" ref="AH26">VEGAGREEK($B26,100,0.01,AH$23,0.2)</f>
        <v>38.309459666923864</v>
      </c>
      <c r="AI26" s="2" cm="1">
        <f t="array" ref="AI26">VEGAGREEK($B26,100,0.01,AI$23,0.2)</f>
        <v>39.449308398918156</v>
      </c>
      <c r="AJ26" s="2" cm="1">
        <f t="array" ref="AJ26">VEGAGREEK($B26,100,0.01,AJ$23,0.2)</f>
        <v>40.56846401200216</v>
      </c>
      <c r="AK26" s="2" cm="1">
        <f t="array" ref="AK26">VEGAGREEK($B26,100,0.01,AK$23,0.2)</f>
        <v>41.667561176525147</v>
      </c>
      <c r="AL26" s="2" cm="1">
        <f t="array" ref="AL26">VEGAGREEK($B26,100,0.01,AL$23,0.2)</f>
        <v>42.747216869755398</v>
      </c>
      <c r="AM26" s="2" cm="1">
        <f t="array" ref="AM26">VEGAGREEK($B26,100,0.01,AM$23,0.2)</f>
        <v>43.808029024521524</v>
      </c>
      <c r="AN26" s="2" cm="1">
        <f t="array" ref="AN26">VEGAGREEK($B26,100,0.01,AN$23,0.2)</f>
        <v>44.850575722929094</v>
      </c>
      <c r="AO26" s="2" cm="1">
        <f t="array" ref="AO26">VEGAGREEK($B26,100,0.01,AO$23,0.2)</f>
        <v>45.875414804175861</v>
      </c>
      <c r="AP26" s="2" cm="1">
        <f t="array" ref="AP26">VEGAGREEK($B26,100,0.01,AP$23,0.2)</f>
        <v>46.883083785060741</v>
      </c>
      <c r="AQ26" s="2" cm="1">
        <f t="array" ref="AQ26">VEGAGREEK($B26,100,0.01,AQ$23,0.2)</f>
        <v>47.874100014581792</v>
      </c>
      <c r="AR26" s="2" cm="1">
        <f t="array" ref="AR26">VEGAGREEK($B26,100,0.01,AR$23,0.2)</f>
        <v>48.848961001651752</v>
      </c>
      <c r="AS26" s="2" cm="1">
        <f t="array" ref="AS26">VEGAGREEK($B26,100,0.01,AS$23,0.2)</f>
        <v>49.80814486863796</v>
      </c>
      <c r="AT26" s="2" cm="1">
        <f t="array" ref="AT26">VEGAGREEK($B26,100,0.01,AT$23,0.2)</f>
        <v>50.752110894071684</v>
      </c>
      <c r="AU26" s="2" cm="1">
        <f t="array" ref="AU26">VEGAGREEK($B26,100,0.01,AU$23,0.2)</f>
        <v>51.681300116161317</v>
      </c>
      <c r="AV26" s="2" cm="1">
        <f t="array" ref="AV26">VEGAGREEK($B26,100,0.01,AV$23,0.2)</f>
        <v>52.596135975220548</v>
      </c>
      <c r="AW26" s="2" cm="1">
        <f t="array" ref="AW26">VEGAGREEK($B26,100,0.01,AW$23,0.2)</f>
        <v>53.497024978184079</v>
      </c>
      <c r="AX26" s="2" cm="1">
        <f t="array" ref="AX26">VEGAGREEK($B26,100,0.01,AX$23,0.2)</f>
        <v>54.384357372350145</v>
      </c>
      <c r="AY26" s="2" cm="1">
        <f t="array" ref="AY26">VEGAGREEK($B26,100,0.01,AY$23,0.2)</f>
        <v>55.258507818593969</v>
      </c>
      <c r="AZ26" s="2" cm="1">
        <f t="array" ref="AZ26">VEGAGREEK($B26,100,0.01,AZ$23,0.2)</f>
        <v>56.119836056730868</v>
      </c>
    </row>
    <row r="27" spans="1:52" x14ac:dyDescent="0.3">
      <c r="A27" s="2"/>
      <c r="B27" s="2">
        <v>75</v>
      </c>
      <c r="C27" s="2" cm="1">
        <f t="array" ref="C27">VEGAGREEK($B27,100,0.01,C$23,0.2)</f>
        <v>3.770139897571843E-4</v>
      </c>
      <c r="D27" s="2" cm="1">
        <f t="array" ref="D27">VEGAGREEK($B27,100,0.01,D$23,0.2)</f>
        <v>9.3928751471449773E-2</v>
      </c>
      <c r="E27" s="2" cm="1">
        <f t="array" ref="E27">VEGAGREEK($B27,100,0.01,E$23,0.2)</f>
        <v>0.64440735249376047</v>
      </c>
      <c r="F27" s="2" cm="1">
        <f t="array" ref="F27">VEGAGREEK($B27,100,0.01,F$23,0.2)</f>
        <v>1.76012583898282</v>
      </c>
      <c r="G27" s="2" cm="1">
        <f t="array" ref="G27">VEGAGREEK($B27,100,0.01,G$23,0.2)</f>
        <v>3.2972479768503953</v>
      </c>
      <c r="H27" s="2" cm="1">
        <f t="array" ref="H27">VEGAGREEK($B27,100,0.01,H$23,0.2)</f>
        <v>5.0934802908825016</v>
      </c>
      <c r="I27" s="2" cm="1">
        <f t="array" ref="I27">VEGAGREEK($B27,100,0.01,I$23,0.2)</f>
        <v>7.0302629740001548</v>
      </c>
      <c r="J27" s="2" cm="1">
        <f t="array" ref="J27">VEGAGREEK($B27,100,0.01,J$23,0.2)</f>
        <v>9.0304222542602286</v>
      </c>
      <c r="K27" s="2" cm="1">
        <f t="array" ref="K27">VEGAGREEK($B27,100,0.01,K$23,0.2)</f>
        <v>11.045773801093517</v>
      </c>
      <c r="L27" s="2" cm="1">
        <f t="array" ref="L27">VEGAGREEK($B27,100,0.01,L$23,0.2)</f>
        <v>13.04687901912169</v>
      </c>
      <c r="M27" s="2" cm="1">
        <f t="array" ref="M27">VEGAGREEK($B27,100,0.01,M$23,0.2)</f>
        <v>15.016139686175775</v>
      </c>
      <c r="N27" s="2" cm="1">
        <f t="array" ref="N27">VEGAGREEK($B27,100,0.01,N$23,0.2)</f>
        <v>16.943400813190056</v>
      </c>
      <c r="O27" s="2" cm="1">
        <f t="array" ref="O27">VEGAGREEK($B27,100,0.01,O$23,0.2)</f>
        <v>18.823190802535411</v>
      </c>
      <c r="P27" s="2" cm="1">
        <f t="array" ref="P27">VEGAGREEK($B27,100,0.01,P$23,0.2)</f>
        <v>20.652987413754325</v>
      </c>
      <c r="Q27" s="2" cm="1">
        <f t="array" ref="Q27">VEGAGREEK($B27,100,0.01,Q$23,0.2)</f>
        <v>22.432120859181026</v>
      </c>
      <c r="R27" s="2" cm="1">
        <f t="array" ref="R27">VEGAGREEK($B27,100,0.01,R$23,0.2)</f>
        <v>24.16107419010094</v>
      </c>
      <c r="S27" s="2" cm="1">
        <f t="array" ref="S27">VEGAGREEK($B27,100,0.01,S$23,0.2)</f>
        <v>25.841033667205465</v>
      </c>
      <c r="T27" s="2" cm="1">
        <f t="array" ref="T27">VEGAGREEK($B27,100,0.01,T$23,0.2)</f>
        <v>27.473598126491964</v>
      </c>
      <c r="U27" s="2" cm="1">
        <f t="array" ref="U27">VEGAGREEK($B27,100,0.01,U$23,0.2)</f>
        <v>29.060590568531996</v>
      </c>
      <c r="V27" s="2" cm="1">
        <f t="array" ref="V27">VEGAGREEK($B27,100,0.01,V$23,0.2)</f>
        <v>30.603936130050933</v>
      </c>
      <c r="W27" s="2" cm="1">
        <f t="array" ref="W27">VEGAGREEK($B27,100,0.01,W$23,0.2)</f>
        <v>32.105583537073763</v>
      </c>
      <c r="X27" s="2" cm="1">
        <f t="array" ref="X27">VEGAGREEK($B27,100,0.01,X$23,0.2)</f>
        <v>33.567455236646303</v>
      </c>
      <c r="Y27" s="2" cm="1">
        <f t="array" ref="Y27">VEGAGREEK($B27,100,0.01,Y$23,0.2)</f>
        <v>34.99141653519402</v>
      </c>
      <c r="Z27" s="2" cm="1">
        <f t="array" ref="Z27">VEGAGREEK($B27,100,0.01,Z$23,0.2)</f>
        <v>36.379257362797354</v>
      </c>
      <c r="AA27" s="2" cm="1">
        <f t="array" ref="AA27">VEGAGREEK($B27,100,0.01,AA$23,0.2)</f>
        <v>37.73268241841393</v>
      </c>
      <c r="AB27" s="2" cm="1">
        <f t="array" ref="AB27">VEGAGREEK($B27,100,0.01,AB$23,0.2)</f>
        <v>39.053306852092625</v>
      </c>
      <c r="AC27" s="2" cm="1">
        <f t="array" ref="AC27">VEGAGREEK($B27,100,0.01,AC$23,0.2)</f>
        <v>40.342655568408432</v>
      </c>
      <c r="AD27" s="2" cm="1">
        <f t="array" ref="AD27">VEGAGREEK($B27,100,0.01,AD$23,0.2)</f>
        <v>41.602164855785595</v>
      </c>
      <c r="AE27" s="2" cm="1">
        <f t="array" ref="AE27">VEGAGREEK($B27,100,0.01,AE$23,0.2)</f>
        <v>42.833185464380641</v>
      </c>
      <c r="AF27" s="2" cm="1">
        <f t="array" ref="AF27">VEGAGREEK($B27,100,0.01,AF$23,0.2)</f>
        <v>44.036986538728897</v>
      </c>
      <c r="AG27" s="2" cm="1">
        <f t="array" ref="AG27">VEGAGREEK($B27,100,0.01,AG$23,0.2)</f>
        <v>45.214760004758176</v>
      </c>
      <c r="AH27" s="2" cm="1">
        <f t="array" ref="AH27">VEGAGREEK($B27,100,0.01,AH$23,0.2)</f>
        <v>46.367625143262551</v>
      </c>
      <c r="AI27" s="2" cm="1">
        <f t="array" ref="AI27">VEGAGREEK($B27,100,0.01,AI$23,0.2)</f>
        <v>47.496633172958113</v>
      </c>
      <c r="AJ27" s="2" cm="1">
        <f t="array" ref="AJ27">VEGAGREEK($B27,100,0.01,AJ$23,0.2)</f>
        <v>48.602771728864155</v>
      </c>
      <c r="AK27" s="2" cm="1">
        <f t="array" ref="AK27">VEGAGREEK($B27,100,0.01,AK$23,0.2)</f>
        <v>49.686969164807088</v>
      </c>
      <c r="AL27" s="2" cm="1">
        <f t="array" ref="AL27">VEGAGREEK($B27,100,0.01,AL$23,0.2)</f>
        <v>50.750098638355453</v>
      </c>
      <c r="AM27" s="2" cm="1">
        <f t="array" ref="AM27">VEGAGREEK($B27,100,0.01,AM$23,0.2)</f>
        <v>51.792981956601317</v>
      </c>
      <c r="AN27" s="2" cm="1">
        <f t="array" ref="AN27">VEGAGREEK($B27,100,0.01,AN$23,0.2)</f>
        <v>52.816393174763832</v>
      </c>
      <c r="AO27" s="2" cm="1">
        <f t="array" ref="AO27">VEGAGREEK($B27,100,0.01,AO$23,0.2)</f>
        <v>53.821061948590248</v>
      </c>
      <c r="AP27" s="2" cm="1">
        <f t="array" ref="AP27">VEGAGREEK($B27,100,0.01,AP$23,0.2)</f>
        <v>54.807676647351535</v>
      </c>
      <c r="AQ27" s="2" cm="1">
        <f t="array" ref="AQ27">VEGAGREEK($B27,100,0.01,AQ$23,0.2)</f>
        <v>55.776887237845955</v>
      </c>
      <c r="AR27" s="2" cm="1">
        <f t="array" ref="AR27">VEGAGREEK($B27,100,0.01,AR$23,0.2)</f>
        <v>56.729307951913036</v>
      </c>
      <c r="AS27" s="2" cm="1">
        <f t="array" ref="AS27">VEGAGREEK($B27,100,0.01,AS$23,0.2)</f>
        <v>57.665519751002883</v>
      </c>
      <c r="AT27" s="2" cm="1">
        <f t="array" ref="AT27">VEGAGREEK($B27,100,0.01,AT$23,0.2)</f>
        <v>58.586072601679923</v>
      </c>
      <c r="AU27" s="2" cm="1">
        <f t="array" ref="AU27">VEGAGREEK($B27,100,0.01,AU$23,0.2)</f>
        <v>59.491487575800676</v>
      </c>
      <c r="AV27" s="2" cm="1">
        <f t="array" ref="AV27">VEGAGREEK($B27,100,0.01,AV$23,0.2)</f>
        <v>60.382258788663385</v>
      </c>
      <c r="AW27" s="2" cm="1">
        <f t="array" ref="AW27">VEGAGREEK($B27,100,0.01,AW$23,0.2)</f>
        <v>61.258855187795142</v>
      </c>
      <c r="AX27" s="2" cm="1">
        <f t="array" ref="AX27">VEGAGREEK($B27,100,0.01,AX$23,0.2)</f>
        <v>62.121722204305385</v>
      </c>
      <c r="AY27" s="2" cm="1">
        <f t="array" ref="AY27">VEGAGREEK($B27,100,0.01,AY$23,0.2)</f>
        <v>62.971283277945844</v>
      </c>
      <c r="AZ27" s="2" cm="1">
        <f t="array" ref="AZ27">VEGAGREEK($B27,100,0.01,AZ$23,0.2)</f>
        <v>63.807941266216019</v>
      </c>
    </row>
    <row r="28" spans="1:52" x14ac:dyDescent="0.3">
      <c r="A28" s="2"/>
      <c r="B28" s="2">
        <v>80</v>
      </c>
      <c r="C28" s="2" cm="1">
        <f t="array" ref="C28">VEGAGREEK($B28,100,0.01,C$23,0.2)</f>
        <v>2.3609588828415632E-2</v>
      </c>
      <c r="D28" s="2" cm="1">
        <f t="array" ref="D28">VEGAGREEK($B28,100,0.01,D$23,0.2)</f>
        <v>0.74932050826936902</v>
      </c>
      <c r="E28" s="2" cm="1">
        <f t="array" ref="E28">VEGAGREEK($B28,100,0.01,E$23,0.2)</f>
        <v>2.5866773497556821</v>
      </c>
      <c r="F28" s="2" cm="1">
        <f t="array" ref="F28">VEGAGREEK($B28,100,0.01,F$23,0.2)</f>
        <v>5.0116628118720099</v>
      </c>
      <c r="G28" s="2" cm="1">
        <f t="array" ref="G28">VEGAGREEK($B28,100,0.01,G$23,0.2)</f>
        <v>7.6401792301498652</v>
      </c>
      <c r="H28" s="2" cm="1">
        <f t="array" ref="H28">VEGAGREEK($B28,100,0.01,H$23,0.2)</f>
        <v>10.287482444006042</v>
      </c>
      <c r="I28" s="2" cm="1">
        <f t="array" ref="I28">VEGAGREEK($B28,100,0.01,I$23,0.2)</f>
        <v>12.872223646374943</v>
      </c>
      <c r="J28" s="2" cm="1">
        <f t="array" ref="J28">VEGAGREEK($B28,100,0.01,J$23,0.2)</f>
        <v>15.361396923011617</v>
      </c>
      <c r="K28" s="2" cm="1">
        <f t="array" ref="K28">VEGAGREEK($B28,100,0.01,K$23,0.2)</f>
        <v>17.74440836712964</v>
      </c>
      <c r="L28" s="2" cm="1">
        <f t="array" ref="L28">VEGAGREEK($B28,100,0.01,L$23,0.2)</f>
        <v>20.021019742744606</v>
      </c>
      <c r="M28" s="2" cm="1">
        <f t="array" ref="M28">VEGAGREEK($B28,100,0.01,M$23,0.2)</f>
        <v>22.195638459741112</v>
      </c>
      <c r="N28" s="2" cm="1">
        <f t="array" ref="N28">VEGAGREEK($B28,100,0.01,N$23,0.2)</f>
        <v>24.274562625999884</v>
      </c>
      <c r="O28" s="2" cm="1">
        <f t="array" ref="O28">VEGAGREEK($B28,100,0.01,O$23,0.2)</f>
        <v>26.264641979245415</v>
      </c>
      <c r="P28" s="2" cm="1">
        <f t="array" ref="P28">VEGAGREEK($B28,100,0.01,P$23,0.2)</f>
        <v>28.172635341529858</v>
      </c>
      <c r="Q28" s="2" cm="1">
        <f t="array" ref="Q28">VEGAGREEK($B28,100,0.01,Q$23,0.2)</f>
        <v>30.004917400094147</v>
      </c>
      <c r="R28" s="2" cm="1">
        <f t="array" ref="R28">VEGAGREEK($B28,100,0.01,R$23,0.2)</f>
        <v>31.767362284332687</v>
      </c>
      <c r="S28" s="2" cm="1">
        <f t="array" ref="S28">VEGAGREEK($B28,100,0.01,S$23,0.2)</f>
        <v>33.465316137921405</v>
      </c>
      <c r="T28" s="2" cm="1">
        <f t="array" ref="T28">VEGAGREEK($B28,100,0.01,T$23,0.2)</f>
        <v>35.103613230151815</v>
      </c>
      <c r="U28" s="2" cm="1">
        <f t="array" ref="U28">VEGAGREEK($B28,100,0.01,U$23,0.2)</f>
        <v>36.686611858437928</v>
      </c>
      <c r="V28" s="2" cm="1">
        <f t="array" ref="V28">VEGAGREEK($B28,100,0.01,V$23,0.2)</f>
        <v>38.218237653015329</v>
      </c>
      <c r="W28" s="2" cm="1">
        <f t="array" ref="W28">VEGAGREEK($B28,100,0.01,W$23,0.2)</f>
        <v>39.702027928766384</v>
      </c>
      <c r="X28" s="2" cm="1">
        <f t="array" ref="X28">VEGAGREEK($B28,100,0.01,X$23,0.2)</f>
        <v>41.141173962410981</v>
      </c>
      <c r="Y28" s="2" cm="1">
        <f t="array" ref="Y28">VEGAGREEK($B28,100,0.01,Y$23,0.2)</f>
        <v>42.53855980737341</v>
      </c>
      <c r="Z28" s="2" cm="1">
        <f t="array" ref="Z28">VEGAGREEK($B28,100,0.01,Z$23,0.2)</f>
        <v>43.896797179382837</v>
      </c>
      <c r="AA28" s="2" cm="1">
        <f t="array" ref="AA28">VEGAGREEK($B28,100,0.01,AA$23,0.2)</f>
        <v>45.218256421705874</v>
      </c>
      <c r="AB28" s="2" cm="1">
        <f t="array" ref="AB28">VEGAGREEK($B28,100,0.01,AB$23,0.2)</f>
        <v>46.505093790821128</v>
      </c>
      <c r="AC28" s="2" cm="1">
        <f t="array" ref="AC28">VEGAGREEK($B28,100,0.01,AC$23,0.2)</f>
        <v>47.759275402280146</v>
      </c>
      <c r="AD28" s="2" cm="1">
        <f t="array" ref="AD28">VEGAGREEK($B28,100,0.01,AD$23,0.2)</f>
        <v>48.98259820419397</v>
      </c>
      <c r="AE28" s="2" cm="1">
        <f t="array" ref="AE28">VEGAGREEK($B28,100,0.01,AE$23,0.2)</f>
        <v>50.176708336704607</v>
      </c>
      <c r="AF28" s="2" cm="1">
        <f t="array" ref="AF28">VEGAGREEK($B28,100,0.01,AF$23,0.2)</f>
        <v>51.343117209127108</v>
      </c>
      <c r="AG28" s="2" cm="1">
        <f t="array" ref="AG28">VEGAGREEK($B28,100,0.01,AG$23,0.2)</f>
        <v>52.483215592739043</v>
      </c>
      <c r="AH28" s="2" cm="1">
        <f t="array" ref="AH28">VEGAGREEK($B28,100,0.01,AH$23,0.2)</f>
        <v>53.598285992118143</v>
      </c>
      <c r="AI28" s="2" cm="1">
        <f t="array" ref="AI28">VEGAGREEK($B28,100,0.01,AI$23,0.2)</f>
        <v>54.689513524387621</v>
      </c>
      <c r="AJ28" s="2" cm="1">
        <f t="array" ref="AJ28">VEGAGREEK($B28,100,0.01,AJ$23,0.2)</f>
        <v>55.75799550507066</v>
      </c>
      <c r="AK28" s="2" cm="1">
        <f t="array" ref="AK28">VEGAGREEK($B28,100,0.01,AK$23,0.2)</f>
        <v>56.804749911968003</v>
      </c>
      <c r="AL28" s="2" cm="1">
        <f t="array" ref="AL28">VEGAGREEK($B28,100,0.01,AL$23,0.2)</f>
        <v>57.830722874583266</v>
      </c>
      <c r="AM28" s="2" cm="1">
        <f t="array" ref="AM28">VEGAGREEK($B28,100,0.01,AM$23,0.2)</f>
        <v>58.836795315926508</v>
      </c>
      <c r="AN28" s="2" cm="1">
        <f t="array" ref="AN28">VEGAGREEK($B28,100,0.01,AN$23,0.2)</f>
        <v>59.823788855719087</v>
      </c>
      <c r="AO28" s="2" cm="1">
        <f t="array" ref="AO28">VEGAGREEK($B28,100,0.01,AO$23,0.2)</f>
        <v>60.792471068764669</v>
      </c>
      <c r="AP28" s="2" cm="1">
        <f t="array" ref="AP28">VEGAGREEK($B28,100,0.01,AP$23,0.2)</f>
        <v>61.743560179207314</v>
      </c>
      <c r="AQ28" s="2" cm="1">
        <f t="array" ref="AQ28">VEGAGREEK($B28,100,0.01,AQ$23,0.2)</f>
        <v>62.677729260261927</v>
      </c>
      <c r="AR28" s="2" cm="1">
        <f t="array" ref="AR28">VEGAGREEK($B28,100,0.01,AR$23,0.2)</f>
        <v>63.595609999496659</v>
      </c>
      <c r="AS28" s="2" cm="1">
        <f t="array" ref="AS28">VEGAGREEK($B28,100,0.01,AS$23,0.2)</f>
        <v>64.497796081631407</v>
      </c>
      <c r="AT28" s="2" cm="1">
        <f t="array" ref="AT28">VEGAGREEK($B28,100,0.01,AT$23,0.2)</f>
        <v>65.384846233882072</v>
      </c>
      <c r="AU28" s="2" cm="1">
        <f t="array" ref="AU28">VEGAGREEK($B28,100,0.01,AU$23,0.2)</f>
        <v>66.257286972946247</v>
      </c>
      <c r="AV28" s="2" cm="1">
        <f t="array" ref="AV28">VEGAGREEK($B28,100,0.01,AV$23,0.2)</f>
        <v>67.115615087644883</v>
      </c>
      <c r="AW28" s="2" cm="1">
        <f t="array" ref="AW28">VEGAGREEK($B28,100,0.01,AW$23,0.2)</f>
        <v>67.960299886871582</v>
      </c>
      <c r="AX28" s="2" cm="1">
        <f t="array" ref="AX28">VEGAGREEK($B28,100,0.01,AX$23,0.2)</f>
        <v>68.791785238753263</v>
      </c>
      <c r="AY28" s="2" cm="1">
        <f t="array" ref="AY28">VEGAGREEK($B28,100,0.01,AY$23,0.2)</f>
        <v>69.610491423696729</v>
      </c>
      <c r="AZ28" s="2" cm="1">
        <f t="array" ref="AZ28">VEGAGREEK($B28,100,0.01,AZ$23,0.2)</f>
        <v>70.416816821210716</v>
      </c>
    </row>
    <row r="29" spans="1:52" x14ac:dyDescent="0.3">
      <c r="A29" s="2"/>
      <c r="B29" s="2">
        <v>85</v>
      </c>
      <c r="C29" s="2" cm="1">
        <f t="array" ref="C29">VEGAGREEK($B29,100,0.01,C$23,0.2)</f>
        <v>0.44558558892443589</v>
      </c>
      <c r="D29" s="2" cm="1">
        <f t="array" ref="D29">VEGAGREEK($B29,100,0.01,D$23,0.2)</f>
        <v>3.2800471961839519</v>
      </c>
      <c r="E29" s="2" cm="1">
        <f t="array" ref="E29">VEGAGREEK($B29,100,0.01,E$23,0.2)</f>
        <v>6.956828879095827</v>
      </c>
      <c r="F29" s="2" cm="1">
        <f t="array" ref="F29">VEGAGREEK($B29,100,0.01,F$23,0.2)</f>
        <v>10.565235887329333</v>
      </c>
      <c r="G29" s="2" cm="1">
        <f t="array" ref="G29">VEGAGREEK($B29,100,0.01,G$23,0.2)</f>
        <v>13.91675164727925</v>
      </c>
      <c r="H29" s="2" cm="1">
        <f t="array" ref="H29">VEGAGREEK($B29,100,0.01,H$23,0.2)</f>
        <v>16.99944547238977</v>
      </c>
      <c r="I29" s="2" cm="1">
        <f t="array" ref="I29">VEGAGREEK($B29,100,0.01,I$23,0.2)</f>
        <v>19.84077978526323</v>
      </c>
      <c r="J29" s="2" cm="1">
        <f t="array" ref="J29">VEGAGREEK($B29,100,0.01,J$23,0.2)</f>
        <v>22.473489195639605</v>
      </c>
      <c r="K29" s="2" cm="1">
        <f t="array" ref="K29">VEGAGREEK($B29,100,0.01,K$23,0.2)</f>
        <v>24.927154208382689</v>
      </c>
      <c r="L29" s="2" cm="1">
        <f t="array" ref="L29">VEGAGREEK($B29,100,0.01,L$23,0.2)</f>
        <v>27.226666793458268</v>
      </c>
      <c r="M29" s="2" cm="1">
        <f t="array" ref="M29">VEGAGREEK($B29,100,0.01,M$23,0.2)</f>
        <v>29.392545078583208</v>
      </c>
      <c r="N29" s="2" cm="1">
        <f t="array" ref="N29">VEGAGREEK($B29,100,0.01,N$23,0.2)</f>
        <v>31.441651872963554</v>
      </c>
      <c r="O29" s="2" cm="1">
        <f t="array" ref="O29">VEGAGREEK($B29,100,0.01,O$23,0.2)</f>
        <v>33.387902858698276</v>
      </c>
      <c r="P29" s="2" cm="1">
        <f t="array" ref="P29">VEGAGREEK($B29,100,0.01,P$23,0.2)</f>
        <v>35.2428621617332</v>
      </c>
      <c r="Q29" s="2" cm="1">
        <f t="array" ref="Q29">VEGAGREEK($B29,100,0.01,Q$23,0.2)</f>
        <v>37.016217253063189</v>
      </c>
      <c r="R29" s="2" cm="1">
        <f t="array" ref="R29">VEGAGREEK($B29,100,0.01,R$23,0.2)</f>
        <v>38.716150591697151</v>
      </c>
      <c r="S29" s="2" cm="1">
        <f t="array" ref="S29">VEGAGREEK($B29,100,0.01,S$23,0.2)</f>
        <v>40.349629173744361</v>
      </c>
      <c r="T29" s="2" cm="1">
        <f t="array" ref="T29">VEGAGREEK($B29,100,0.01,T$23,0.2)</f>
        <v>41.922630622185721</v>
      </c>
      <c r="U29" s="2" cm="1">
        <f t="array" ref="U29">VEGAGREEK($B29,100,0.01,U$23,0.2)</f>
        <v>43.440320688712987</v>
      </c>
      <c r="V29" s="2" cm="1">
        <f t="array" ref="V29">VEGAGREEK($B29,100,0.01,V$23,0.2)</f>
        <v>44.907193585775438</v>
      </c>
      <c r="W29" s="2" cm="1">
        <f t="array" ref="W29">VEGAGREEK($B29,100,0.01,W$23,0.2)</f>
        <v>46.327183783313615</v>
      </c>
      <c r="X29" s="2" cm="1">
        <f t="array" ref="X29">VEGAGREEK($B29,100,0.01,X$23,0.2)</f>
        <v>47.703755771993485</v>
      </c>
      <c r="Y29" s="2" cm="1">
        <f t="array" ref="Y29">VEGAGREEK($B29,100,0.01,Y$23,0.2)</f>
        <v>49.03997669551373</v>
      </c>
      <c r="Z29" s="2" cm="1">
        <f t="array" ref="Z29">VEGAGREEK($B29,100,0.01,Z$23,0.2)</f>
        <v>50.338575564804657</v>
      </c>
      <c r="AA29" s="2" cm="1">
        <f t="array" ref="AA29">VEGAGREEK($B29,100,0.01,AA$23,0.2)</f>
        <v>51.601991882708646</v>
      </c>
      <c r="AB29" s="2" cm="1">
        <f t="array" ref="AB29">VEGAGREEK($B29,100,0.01,AB$23,0.2)</f>
        <v>52.832415848753136</v>
      </c>
      <c r="AC29" s="2" cm="1">
        <f t="array" ref="AC29">VEGAGREEK($B29,100,0.01,AC$23,0.2)</f>
        <v>54.031821820121252</v>
      </c>
      <c r="AD29" s="2" cm="1">
        <f t="array" ref="AD29">VEGAGREEK($B29,100,0.01,AD$23,0.2)</f>
        <v>55.201996333106152</v>
      </c>
      <c r="AE29" s="2" cm="1">
        <f t="array" ref="AE29">VEGAGREEK($B29,100,0.01,AE$23,0.2)</f>
        <v>56.344561707331771</v>
      </c>
      <c r="AF29" s="2" cm="1">
        <f t="array" ref="AF29">VEGAGREEK($B29,100,0.01,AF$23,0.2)</f>
        <v>57.460996039653594</v>
      </c>
      <c r="AG29" s="2" cm="1">
        <f t="array" ref="AG29">VEGAGREEK($B29,100,0.01,AG$23,0.2)</f>
        <v>58.552650229020919</v>
      </c>
      <c r="AH29" s="2" cm="1">
        <f t="array" ref="AH29">VEGAGREEK($B29,100,0.01,AH$23,0.2)</f>
        <v>59.620762545314847</v>
      </c>
      <c r="AI29" s="2" cm="1">
        <f t="array" ref="AI29">VEGAGREEK($B29,100,0.01,AI$23,0.2)</f>
        <v>60.666471155167272</v>
      </c>
      <c r="AJ29" s="2" cm="1">
        <f t="array" ref="AJ29">VEGAGREEK($B29,100,0.01,AJ$23,0.2)</f>
        <v>61.690824939274606</v>
      </c>
      <c r="AK29" s="2" cm="1">
        <f t="array" ref="AK29">VEGAGREEK($B29,100,0.01,AK$23,0.2)</f>
        <v>62.694792873720068</v>
      </c>
      <c r="AL29" s="2" cm="1">
        <f t="array" ref="AL29">VEGAGREEK($B29,100,0.01,AL$23,0.2)</f>
        <v>63.679272198543629</v>
      </c>
      <c r="AM29" s="2" cm="1">
        <f t="array" ref="AM29">VEGAGREEK($B29,100,0.01,AM$23,0.2)</f>
        <v>64.645095557403593</v>
      </c>
      <c r="AN29" s="2" cm="1">
        <f t="array" ref="AN29">VEGAGREEK($B29,100,0.01,AN$23,0.2)</f>
        <v>65.593037260498761</v>
      </c>
      <c r="AO29" s="2" cm="1">
        <f t="array" ref="AO29">VEGAGREEK($B29,100,0.01,AO$23,0.2)</f>
        <v>66.523818797311748</v>
      </c>
      <c r="AP29" s="2" cm="1">
        <f t="array" ref="AP29">VEGAGREEK($B29,100,0.01,AP$23,0.2)</f>
        <v>67.4381137049225</v>
      </c>
      <c r="AQ29" s="2" cm="1">
        <f t="array" ref="AQ29">VEGAGREEK($B29,100,0.01,AQ$23,0.2)</f>
        <v>68.336551880642631</v>
      </c>
      <c r="AR29" s="2" cm="1">
        <f t="array" ref="AR29">VEGAGREEK($B29,100,0.01,AR$23,0.2)</f>
        <v>69.219723413769444</v>
      </c>
      <c r="AS29" s="2" cm="1">
        <f t="array" ref="AS29">VEGAGREEK($B29,100,0.01,AS$23,0.2)</f>
        <v>70.088181999755619</v>
      </c>
      <c r="AT29" s="2" cm="1">
        <f t="array" ref="AT29">VEGAGREEK($B29,100,0.01,AT$23,0.2)</f>
        <v>70.942447990564276</v>
      </c>
      <c r="AU29" s="2" cm="1">
        <f t="array" ref="AU29">VEGAGREEK($B29,100,0.01,AU$23,0.2)</f>
        <v>71.783011127054266</v>
      </c>
      <c r="AV29" s="2" cm="1">
        <f t="array" ref="AV29">VEGAGREEK($B29,100,0.01,AV$23,0.2)</f>
        <v>72.610332992625999</v>
      </c>
      <c r="AW29" s="2" cm="1">
        <f t="array" ref="AW29">VEGAGREEK($B29,100,0.01,AW$23,0.2)</f>
        <v>73.424849221808188</v>
      </c>
      <c r="AX29" s="2" cm="1">
        <f t="array" ref="AX29">VEGAGREEK($B29,100,0.01,AX$23,0.2)</f>
        <v>74.22697149279989</v>
      </c>
      <c r="AY29" s="2" cm="1">
        <f t="array" ref="AY29">VEGAGREEK($B29,100,0.01,AY$23,0.2)</f>
        <v>75.017089329037816</v>
      </c>
      <c r="AZ29" s="2" cm="1">
        <f t="array" ref="AZ29">VEGAGREEK($B29,100,0.01,AZ$23,0.2)</f>
        <v>75.795571731518351</v>
      </c>
    </row>
    <row r="30" spans="1:52" x14ac:dyDescent="0.3">
      <c r="A30" s="2"/>
      <c r="B30" s="2">
        <v>90</v>
      </c>
      <c r="C30" s="2" cm="1">
        <f t="array" ref="C30">VEGAGREEK($B30,100,0.01,C$23,0.2)</f>
        <v>3.0644533309865167</v>
      </c>
      <c r="D30" s="2" cm="1">
        <f t="array" ref="D30">VEGAGREEK($B30,100,0.01,D$23,0.2)</f>
        <v>8.6635119422354201</v>
      </c>
      <c r="E30" s="2" cm="1">
        <f t="array" ref="E30">VEGAGREEK($B30,100,0.01,E$23,0.2)</f>
        <v>13.356393635672962</v>
      </c>
      <c r="F30" s="2" cm="1">
        <f t="array" ref="F30">VEGAGREEK($B30,100,0.01,F$23,0.2)</f>
        <v>17.293746502576173</v>
      </c>
      <c r="G30" s="2" cm="1">
        <f t="array" ref="G30">VEGAGREEK($B30,100,0.01,G$23,0.2)</f>
        <v>20.700792345453848</v>
      </c>
      <c r="H30" s="2" cm="1">
        <f t="array" ref="H30">VEGAGREEK($B30,100,0.01,H$23,0.2)</f>
        <v>23.723384471393917</v>
      </c>
      <c r="I30" s="2" cm="1">
        <f t="array" ref="I30">VEGAGREEK($B30,100,0.01,I$23,0.2)</f>
        <v>26.455122246358705</v>
      </c>
      <c r="J30" s="2" cm="1">
        <f t="array" ref="J30">VEGAGREEK($B30,100,0.01,J$23,0.2)</f>
        <v>28.958655791598929</v>
      </c>
      <c r="K30" s="2" cm="1">
        <f t="array" ref="K30">VEGAGREEK($B30,100,0.01,K$23,0.2)</f>
        <v>31.277780487504984</v>
      </c>
      <c r="L30" s="2" cm="1">
        <f t="array" ref="L30">VEGAGREEK($B30,100,0.01,L$23,0.2)</f>
        <v>33.444289202725912</v>
      </c>
      <c r="M30" s="2" cm="1">
        <f t="array" ref="M30">VEGAGREEK($B30,100,0.01,M$23,0.2)</f>
        <v>35.482007054464084</v>
      </c>
      <c r="N30" s="2" cm="1">
        <f t="array" ref="N30">VEGAGREEK($B30,100,0.01,N$23,0.2)</f>
        <v>37.409271336395364</v>
      </c>
      <c r="O30" s="2" cm="1">
        <f t="array" ref="O30">VEGAGREEK($B30,100,0.01,O$23,0.2)</f>
        <v>39.240517656926102</v>
      </c>
      <c r="P30" s="2" cm="1">
        <f t="array" ref="P30">VEGAGREEK($B30,100,0.01,P$23,0.2)</f>
        <v>40.987330832238811</v>
      </c>
      <c r="Q30" s="2" cm="1">
        <f t="array" ref="Q30">VEGAGREEK($B30,100,0.01,Q$23,0.2)</f>
        <v>42.659162992667959</v>
      </c>
      <c r="R30" s="2" cm="1">
        <f t="array" ref="R30">VEGAGREEK($B30,100,0.01,R$23,0.2)</f>
        <v>44.263837728130284</v>
      </c>
      <c r="S30" s="2" cm="1">
        <f t="array" ref="S30">VEGAGREEK($B30,100,0.01,S$23,0.2)</f>
        <v>45.807912521064679</v>
      </c>
      <c r="T30" s="2" cm="1">
        <f t="array" ref="T30">VEGAGREEK($B30,100,0.01,T$23,0.2)</f>
        <v>47.296944813873438</v>
      </c>
      <c r="U30" s="2" cm="1">
        <f t="array" ref="U30">VEGAGREEK($B30,100,0.01,U$23,0.2)</f>
        <v>48.735690994592076</v>
      </c>
      <c r="V30" s="2" cm="1">
        <f t="array" ref="V30">VEGAGREEK($B30,100,0.01,V$23,0.2)</f>
        <v>50.128257699490838</v>
      </c>
      <c r="W30" s="2" cm="1">
        <f t="array" ref="W30">VEGAGREEK($B30,100,0.01,W$23,0.2)</f>
        <v>51.47821858052334</v>
      </c>
      <c r="X30" s="2" cm="1">
        <f t="array" ref="X30">VEGAGREEK($B30,100,0.01,X$23,0.2)</f>
        <v>52.788705634540349</v>
      </c>
      <c r="Y30" s="2" cm="1">
        <f t="array" ref="Y30">VEGAGREEK($B30,100,0.01,Y$23,0.2)</f>
        <v>54.062481506776059</v>
      </c>
      <c r="Z30" s="2" cm="1">
        <f t="array" ref="Z30">VEGAGREEK($B30,100,0.01,Z$23,0.2)</f>
        <v>55.301997365992385</v>
      </c>
      <c r="AA30" s="2" cm="1">
        <f t="array" ref="AA30">VEGAGREEK($B30,100,0.01,AA$23,0.2)</f>
        <v>56.509439698548192</v>
      </c>
      <c r="AB30" s="2" cm="1">
        <f t="array" ref="AB30">VEGAGREEK($B30,100,0.01,AB$23,0.2)</f>
        <v>57.686768493078979</v>
      </c>
      <c r="AC30" s="2" cm="1">
        <f t="array" ref="AC30">VEGAGREEK($B30,100,0.01,AC$23,0.2)</f>
        <v>58.835748664691536</v>
      </c>
      <c r="AD30" s="2" cm="1">
        <f t="array" ref="AD30">VEGAGREEK($B30,100,0.01,AD$23,0.2)</f>
        <v>59.95797611828575</v>
      </c>
      <c r="AE30" s="2" cm="1">
        <f t="array" ref="AE30">VEGAGREEK($B30,100,0.01,AE$23,0.2)</f>
        <v>61.0548995222169</v>
      </c>
      <c r="AF30" s="2" cm="1">
        <f t="array" ref="AF30">VEGAGREEK($B30,100,0.01,AF$23,0.2)</f>
        <v>62.127838620556737</v>
      </c>
      <c r="AG30" s="2" cm="1">
        <f t="array" ref="AG30">VEGAGREEK($B30,100,0.01,AG$23,0.2)</f>
        <v>63.17799973044076</v>
      </c>
      <c r="AH30" s="2" cm="1">
        <f t="array" ref="AH30">VEGAGREEK($B30,100,0.01,AH$23,0.2)</f>
        <v>64.206488933569076</v>
      </c>
      <c r="AI30" s="2" cm="1">
        <f t="array" ref="AI30">VEGAGREEK($B30,100,0.01,AI$23,0.2)</f>
        <v>65.214323366021574</v>
      </c>
      <c r="AJ30" s="2" cm="1">
        <f t="array" ref="AJ30">VEGAGREEK($B30,100,0.01,AJ$23,0.2)</f>
        <v>66.202440929732049</v>
      </c>
      <c r="AK30" s="2" cm="1">
        <f t="array" ref="AK30">VEGAGREEK($B30,100,0.01,AK$23,0.2)</f>
        <v>67.17170868617643</v>
      </c>
      <c r="AL30" s="2" cm="1">
        <f t="array" ref="AL30">VEGAGREEK($B30,100,0.01,AL$23,0.2)</f>
        <v>68.122930143655182</v>
      </c>
      <c r="AM30" s="2" cm="1">
        <f t="array" ref="AM30">VEGAGREEK($B30,100,0.01,AM$23,0.2)</f>
        <v>69.056851610748211</v>
      </c>
      <c r="AN30" s="2" cm="1">
        <f t="array" ref="AN30">VEGAGREEK($B30,100,0.01,AN$23,0.2)</f>
        <v>69.974167757686203</v>
      </c>
      <c r="AO30" s="2" cm="1">
        <f t="array" ref="AO30">VEGAGREEK($B30,100,0.01,AO$23,0.2)</f>
        <v>70.875526502716866</v>
      </c>
      <c r="AP30" s="2" cm="1">
        <f t="array" ref="AP30">VEGAGREEK($B30,100,0.01,AP$23,0.2)</f>
        <v>71.761533320686937</v>
      </c>
      <c r="AQ30" s="2" cm="1">
        <f t="array" ref="AQ30">VEGAGREEK($B30,100,0.01,AQ$23,0.2)</f>
        <v>72.632755054982098</v>
      </c>
      <c r="AR30" s="2" cm="1">
        <f t="array" ref="AR30">VEGAGREEK($B30,100,0.01,AR$23,0.2)</f>
        <v>73.48972330087058</v>
      </c>
      <c r="AS30" s="2" cm="1">
        <f t="array" ref="AS30">VEGAGREEK($B30,100,0.01,AS$23,0.2)</f>
        <v>74.3329374175743</v>
      </c>
      <c r="AT30" s="2" cm="1">
        <f t="array" ref="AT30">VEGAGREEK($B30,100,0.01,AT$23,0.2)</f>
        <v>75.162867217568348</v>
      </c>
      <c r="AU30" s="2" cm="1">
        <f t="array" ref="AU30">VEGAGREEK($B30,100,0.01,AU$23,0.2)</f>
        <v>75.979955374312468</v>
      </c>
      <c r="AV30" s="2" cm="1">
        <f t="array" ref="AV30">VEGAGREEK($B30,100,0.01,AV$23,0.2)</f>
        <v>76.784619583557642</v>
      </c>
      <c r="AW30" s="2" cm="1">
        <f t="array" ref="AW30">VEGAGREEK($B30,100,0.01,AW$23,0.2)</f>
        <v>77.577254508312706</v>
      </c>
      <c r="AX30" s="2" cm="1">
        <f t="array" ref="AX30">VEGAGREEK($B30,100,0.01,AX$23,0.2)</f>
        <v>78.358233533318739</v>
      </c>
      <c r="AY30" s="2" cm="1">
        <f t="array" ref="AY30">VEGAGREEK($B30,100,0.01,AY$23,0.2)</f>
        <v>79.127910351313915</v>
      </c>
      <c r="AZ30" s="2" cm="1">
        <f t="array" ref="AZ30">VEGAGREEK($B30,100,0.01,AZ$23,0.2)</f>
        <v>79.886620400360513</v>
      </c>
    </row>
    <row r="31" spans="1:52" x14ac:dyDescent="0.3">
      <c r="A31" s="2"/>
      <c r="B31" s="2">
        <v>95</v>
      </c>
      <c r="C31" s="2" cm="1">
        <f t="array" ref="C31">VEGAGREEK($B31,100,0.01,C$23,0.2)</f>
        <v>8.9541358039279721</v>
      </c>
      <c r="D31" s="2" cm="1">
        <f t="array" ref="D31">VEGAGREEK($B31,100,0.01,D$23,0.2)</f>
        <v>14.909546983266303</v>
      </c>
      <c r="E31" s="2" cm="1">
        <f t="array" ref="E31">VEGAGREEK($B31,100,0.01,E$23,0.2)</f>
        <v>19.267540519079148</v>
      </c>
      <c r="F31" s="2" cm="1">
        <f t="array" ref="F31">VEGAGREEK($B31,100,0.01,F$23,0.2)</f>
        <v>22.840702670307461</v>
      </c>
      <c r="G31" s="2" cm="1">
        <f t="array" ref="G31">VEGAGREEK($B31,100,0.01,G$23,0.2)</f>
        <v>25.930883920219031</v>
      </c>
      <c r="H31" s="2" cm="1">
        <f t="array" ref="H31">VEGAGREEK($B31,100,0.01,H$23,0.2)</f>
        <v>28.686682039024308</v>
      </c>
      <c r="I31" s="2" cm="1">
        <f t="array" ref="I31">VEGAGREEK($B31,100,0.01,I$23,0.2)</f>
        <v>31.193622839956397</v>
      </c>
      <c r="J31" s="2" cm="1">
        <f t="array" ref="J31">VEGAGREEK($B31,100,0.01,J$23,0.2)</f>
        <v>33.506087760385846</v>
      </c>
      <c r="K31" s="2" cm="1">
        <f t="array" ref="K31">VEGAGREEK($B31,100,0.01,K$23,0.2)</f>
        <v>35.661132714949467</v>
      </c>
      <c r="L31" s="2" cm="1">
        <f t="array" ref="L31">VEGAGREEK($B31,100,0.01,L$23,0.2)</f>
        <v>37.685326590063859</v>
      </c>
      <c r="M31" s="2" cm="1">
        <f t="array" ref="M31">VEGAGREEK($B31,100,0.01,M$23,0.2)</f>
        <v>39.598477419963061</v>
      </c>
      <c r="N31" s="2" cm="1">
        <f t="array" ref="N31">VEGAGREEK($B31,100,0.01,N$23,0.2)</f>
        <v>41.415815974162442</v>
      </c>
      <c r="O31" s="2" cm="1">
        <f t="array" ref="O31">VEGAGREEK($B31,100,0.01,O$23,0.2)</f>
        <v>43.14935047935645</v>
      </c>
      <c r="P31" s="2" cm="1">
        <f t="array" ref="P31">VEGAGREEK($B31,100,0.01,P$23,0.2)</f>
        <v>44.808746635886649</v>
      </c>
      <c r="Q31" s="2" cm="1">
        <f t="array" ref="Q31">VEGAGREEK($B31,100,0.01,Q$23,0.2)</f>
        <v>46.401921321438202</v>
      </c>
      <c r="R31" s="2" cm="1">
        <f t="array" ref="R31">VEGAGREEK($B31,100,0.01,R$23,0.2)</f>
        <v>47.935456044812298</v>
      </c>
      <c r="S31" s="2" cm="1">
        <f t="array" ref="S31">VEGAGREEK($B31,100,0.01,S$23,0.2)</f>
        <v>49.414892749160856</v>
      </c>
      <c r="T31" s="2" cm="1">
        <f t="array" ref="T31">VEGAGREEK($B31,100,0.01,T$23,0.2)</f>
        <v>50.844950417561527</v>
      </c>
      <c r="U31" s="2" cm="1">
        <f t="array" ref="U31">VEGAGREEK($B31,100,0.01,U$23,0.2)</f>
        <v>52.229686924765474</v>
      </c>
      <c r="V31" s="2" cm="1">
        <f t="array" ref="V31">VEGAGREEK($B31,100,0.01,V$23,0.2)</f>
        <v>53.572622142458151</v>
      </c>
      <c r="W31" s="2" cm="1">
        <f t="array" ref="W31">VEGAGREEK($B31,100,0.01,W$23,0.2)</f>
        <v>54.876833057170032</v>
      </c>
      <c r="X31" s="2" cm="1">
        <f t="array" ref="X31">VEGAGREEK($B31,100,0.01,X$23,0.2)</f>
        <v>56.145028300738147</v>
      </c>
      <c r="Y31" s="2" cm="1">
        <f t="array" ref="Y31">VEGAGREEK($B31,100,0.01,Y$23,0.2)</f>
        <v>57.379607288080599</v>
      </c>
      <c r="Z31" s="2" cm="1">
        <f t="array" ref="Z31">VEGAGREEK($B31,100,0.01,Z$23,0.2)</f>
        <v>58.582707676532422</v>
      </c>
      <c r="AA31" s="2" cm="1">
        <f t="array" ref="AA31">VEGAGREEK($B31,100,0.01,AA$23,0.2)</f>
        <v>59.756243846681137</v>
      </c>
      <c r="AB31" s="2" cm="1">
        <f t="array" ref="AB31">VEGAGREEK($B31,100,0.01,AB$23,0.2)</f>
        <v>60.901938396929275</v>
      </c>
      <c r="AC31" s="2" cm="1">
        <f t="array" ref="AC31">VEGAGREEK($B31,100,0.01,AC$23,0.2)</f>
        <v>62.021348141972638</v>
      </c>
      <c r="AD31" s="2" cm="1">
        <f t="array" ref="AD31">VEGAGREEK($B31,100,0.01,AD$23,0.2)</f>
        <v>63.115885743828528</v>
      </c>
      <c r="AE31" s="2" cm="1">
        <f t="array" ref="AE31">VEGAGREEK($B31,100,0.01,AE$23,0.2)</f>
        <v>64.186837840039502</v>
      </c>
      <c r="AF31" s="2" cm="1">
        <f t="array" ref="AF31">VEGAGREEK($B31,100,0.01,AF$23,0.2)</f>
        <v>65.235380338435675</v>
      </c>
      <c r="AG31" s="2" cm="1">
        <f t="array" ref="AG31">VEGAGREEK($B31,100,0.01,AG$23,0.2)</f>
        <v>66.262591401747301</v>
      </c>
      <c r="AH31" s="2" cm="1">
        <f t="array" ref="AH31">VEGAGREEK($B31,100,0.01,AH$23,0.2)</f>
        <v>67.269462534856629</v>
      </c>
      <c r="AI31" s="2" cm="1">
        <f t="array" ref="AI31">VEGAGREEK($B31,100,0.01,AI$23,0.2)</f>
        <v>68.256908103048232</v>
      </c>
      <c r="AJ31" s="2" cm="1">
        <f t="array" ref="AJ31">VEGAGREEK($B31,100,0.01,AJ$23,0.2)</f>
        <v>69.225773544502687</v>
      </c>
      <c r="AK31" s="2" cm="1">
        <f t="array" ref="AK31">VEGAGREEK($B31,100,0.01,AK$23,0.2)</f>
        <v>70.17684248962118</v>
      </c>
      <c r="AL31" s="2" cm="1">
        <f t="array" ref="AL31">VEGAGREEK($B31,100,0.01,AL$23,0.2)</f>
        <v>71.110842960034176</v>
      </c>
      <c r="AM31" s="2" cm="1">
        <f t="array" ref="AM31">VEGAGREEK($B31,100,0.01,AM$23,0.2)</f>
        <v>72.028452788743223</v>
      </c>
      <c r="AN31" s="2" cm="1">
        <f t="array" ref="AN31">VEGAGREEK($B31,100,0.01,AN$23,0.2)</f>
        <v>72.93030437784445</v>
      </c>
      <c r="AO31" s="2" cm="1">
        <f t="array" ref="AO31">VEGAGREEK($B31,100,0.01,AO$23,0.2)</f>
        <v>73.816988890246321</v>
      </c>
      <c r="AP31" s="2" cm="1">
        <f t="array" ref="AP31">VEGAGREEK($B31,100,0.01,AP$23,0.2)</f>
        <v>74.689059955632018</v>
      </c>
      <c r="AQ31" s="2" cm="1">
        <f t="array" ref="AQ31">VEGAGREEK($B31,100,0.01,AQ$23,0.2)</f>
        <v>75.547036957804721</v>
      </c>
      <c r="AR31" s="2" cm="1">
        <f t="array" ref="AR31">VEGAGREEK($B31,100,0.01,AR$23,0.2)</f>
        <v>76.391407959851136</v>
      </c>
      <c r="AS31" s="2" cm="1">
        <f t="array" ref="AS31">VEGAGREEK($B31,100,0.01,AS$23,0.2)</f>
        <v>77.222632314779148</v>
      </c>
      <c r="AT31" s="2" cm="1">
        <f t="array" ref="AT31">VEGAGREEK($B31,100,0.01,AT$23,0.2)</f>
        <v>78.041143002045018</v>
      </c>
      <c r="AU31" s="2" cm="1">
        <f t="array" ref="AU31">VEGAGREEK($B31,100,0.01,AU$23,0.2)</f>
        <v>78.847348724384545</v>
      </c>
      <c r="AV31" s="2" cm="1">
        <f t="array" ref="AV31">VEGAGREEK($B31,100,0.01,AV$23,0.2)</f>
        <v>79.641635794369066</v>
      </c>
      <c r="AW31" s="2" cm="1">
        <f t="array" ref="AW31">VEGAGREEK($B31,100,0.01,AW$23,0.2)</f>
        <v>80.424369835928644</v>
      </c>
      <c r="AX31" s="2" cm="1">
        <f t="array" ref="AX31">VEGAGREEK($B31,100,0.01,AX$23,0.2)</f>
        <v>81.195897322580095</v>
      </c>
      <c r="AY31" s="2" cm="1">
        <f t="array" ref="AY31">VEGAGREEK($B31,100,0.01,AY$23,0.2)</f>
        <v>81.956546971139105</v>
      </c>
      <c r="AZ31" s="2" cm="1">
        <f t="array" ref="AZ31">VEGAGREEK($B31,100,0.01,AZ$23,0.2)</f>
        <v>82.706631007195014</v>
      </c>
    </row>
    <row r="32" spans="1:52" x14ac:dyDescent="0.3">
      <c r="A32" s="2"/>
      <c r="B32" s="2">
        <v>100</v>
      </c>
      <c r="C32" s="2" cm="1">
        <f t="array" ref="C32">VEGAGREEK($B32,100,0.01,C$23,0.2)</f>
        <v>12.60147797002052</v>
      </c>
      <c r="D32" s="2" cm="1">
        <f t="array" ref="D32">VEGAGREEK($B32,100,0.01,D$23,0.2)</f>
        <v>17.80114349570453</v>
      </c>
      <c r="E32" s="2" cm="1">
        <f t="array" ref="E32">VEGAGREEK($B32,100,0.01,E$23,0.2)</f>
        <v>21.777345900985232</v>
      </c>
      <c r="F32" s="2" cm="1">
        <f t="array" ref="F32">VEGAGREEK($B32,100,0.01,F$23,0.2)</f>
        <v>25.118039341108513</v>
      </c>
      <c r="G32" s="2" cm="1">
        <f t="array" ref="G32">VEGAGREEK($B32,100,0.01,G$23,0.2)</f>
        <v>28.051246304186257</v>
      </c>
      <c r="H32" s="2" cm="1">
        <f t="array" ref="H32">VEGAGREEK($B32,100,0.01,H$23,0.2)</f>
        <v>30.694050496199523</v>
      </c>
      <c r="I32" s="2" cm="1">
        <f t="array" ref="I32">VEGAGREEK($B32,100,0.01,I$23,0.2)</f>
        <v>33.116087146110289</v>
      </c>
      <c r="J32" s="2" cm="1">
        <f t="array" ref="J32">VEGAGREEK($B32,100,0.01,J$23,0.2)</f>
        <v>35.362780796997576</v>
      </c>
      <c r="K32" s="2" cm="1">
        <f t="array" ref="K32">VEGAGREEK($B32,100,0.01,K$23,0.2)</f>
        <v>37.465720501521851</v>
      </c>
      <c r="L32" s="2" cm="1">
        <f t="array" ref="L32">VEGAGREEK($B32,100,0.01,L$23,0.2)</f>
        <v>39.447933090788894</v>
      </c>
      <c r="M32" s="2" cm="1">
        <f t="array" ref="M32">VEGAGREEK($B32,100,0.01,M$23,0.2)</f>
        <v>41.326822430469605</v>
      </c>
      <c r="N32" s="2" cm="1">
        <f t="array" ref="N32">VEGAGREEK($B32,100,0.01,N$23,0.2)</f>
        <v>43.115925549986159</v>
      </c>
      <c r="O32" s="2" cm="1">
        <f t="array" ref="O32">VEGAGREEK($B32,100,0.01,O$23,0.2)</f>
        <v>44.826020476317296</v>
      </c>
      <c r="P32" s="2" cm="1">
        <f t="array" ref="P32">VEGAGREEK($B32,100,0.01,P$23,0.2)</f>
        <v>46.465856361778023</v>
      </c>
      <c r="Q32" s="2" cm="1">
        <f t="array" ref="Q32">VEGAGREEK($B32,100,0.01,Q$23,0.2)</f>
        <v>48.04265234363627</v>
      </c>
      <c r="R32" s="2" cm="1">
        <f t="array" ref="R32">VEGAGREEK($B32,100,0.01,R$23,0.2)</f>
        <v>49.562448852082476</v>
      </c>
      <c r="S32" s="2" cm="1">
        <f t="array" ref="S32">VEGAGREEK($B32,100,0.01,S$23,0.2)</f>
        <v>51.030361458947127</v>
      </c>
      <c r="T32" s="2" cm="1">
        <f t="array" ref="T32">VEGAGREEK($B32,100,0.01,T$23,0.2)</f>
        <v>52.450768418698225</v>
      </c>
      <c r="U32" s="2" cm="1">
        <f t="array" ref="U32">VEGAGREEK($B32,100,0.01,U$23,0.2)</f>
        <v>53.827451925573257</v>
      </c>
      <c r="V32" s="2" cm="1">
        <f t="array" ref="V32">VEGAGREEK($B32,100,0.01,V$23,0.2)</f>
        <v>55.163706332541203</v>
      </c>
      <c r="W32" s="2" cm="1">
        <f t="array" ref="W32">VEGAGREEK($B32,100,0.01,W$23,0.2)</f>
        <v>56.462422317104412</v>
      </c>
      <c r="X32" s="2" cm="1">
        <f t="array" ref="X32">VEGAGREEK($B32,100,0.01,X$23,0.2)</f>
        <v>57.726153225694702</v>
      </c>
      <c r="Y32" s="2" cm="1">
        <f t="array" ref="Y32">VEGAGREEK($B32,100,0.01,Y$23,0.2)</f>
        <v>58.957168005184727</v>
      </c>
      <c r="Z32" s="2" cm="1">
        <f t="array" ref="Z32">VEGAGREEK($B32,100,0.01,Z$23,0.2)</f>
        <v>60.157493896018295</v>
      </c>
      <c r="AA32" s="2" cm="1">
        <f t="array" ref="AA32">VEGAGREEK($B32,100,0.01,AA$23,0.2)</f>
        <v>61.32895120970376</v>
      </c>
      <c r="AB32" s="2" cm="1">
        <f t="array" ref="AB32">VEGAGREEK($B32,100,0.01,AB$23,0.2)</f>
        <v>62.47318191499771</v>
      </c>
      <c r="AC32" s="2" cm="1">
        <f t="array" ref="AC32">VEGAGREEK($B32,100,0.01,AC$23,0.2)</f>
        <v>63.591673329863738</v>
      </c>
      <c r="AD32" s="2" cm="1">
        <f t="array" ref="AD32">VEGAGREEK($B32,100,0.01,AD$23,0.2)</f>
        <v>64.685777906754865</v>
      </c>
      <c r="AE32" s="2" cm="1">
        <f t="array" ref="AE32">VEGAGREEK($B32,100,0.01,AE$23,0.2)</f>
        <v>65.756729871476693</v>
      </c>
      <c r="AF32" s="2" cm="1">
        <f t="array" ref="AF32">VEGAGREEK($B32,100,0.01,AF$23,0.2)</f>
        <v>66.805659306916709</v>
      </c>
      <c r="AG32" s="2" cm="1">
        <f t="array" ref="AG32">VEGAGREEK($B32,100,0.01,AG$23,0.2)</f>
        <v>67.833604145869359</v>
      </c>
      <c r="AH32" s="2" cm="1">
        <f t="array" ref="AH32">VEGAGREEK($B32,100,0.01,AH$23,0.2)</f>
        <v>68.841520440637069</v>
      </c>
      <c r="AI32" s="2" cm="1">
        <f t="array" ref="AI32">VEGAGREEK($B32,100,0.01,AI$23,0.2)</f>
        <v>69.83029120299814</v>
      </c>
      <c r="AJ32" s="2" cm="1">
        <f t="array" ref="AJ32">VEGAGREEK($B32,100,0.01,AJ$23,0.2)</f>
        <v>70.800734050757285</v>
      </c>
      <c r="AK32" s="2" cm="1">
        <f t="array" ref="AK32">VEGAGREEK($B32,100,0.01,AK$23,0.2)</f>
        <v>71.753607852285924</v>
      </c>
      <c r="AL32" s="2" cm="1">
        <f t="array" ref="AL32">VEGAGREEK($B32,100,0.01,AL$23,0.2)</f>
        <v>72.689618525182638</v>
      </c>
      <c r="AM32" s="2" cm="1">
        <f t="array" ref="AM32">VEGAGREEK($B32,100,0.01,AM$23,0.2)</f>
        <v>73.609424117207041</v>
      </c>
      <c r="AN32" s="2" cm="1">
        <f t="array" ref="AN32">VEGAGREEK($B32,100,0.01,AN$23,0.2)</f>
        <v>74.513639275293571</v>
      </c>
      <c r="AO32" s="2" cm="1">
        <f t="array" ref="AO32">VEGAGREEK($B32,100,0.01,AO$23,0.2)</f>
        <v>75.40283919048666</v>
      </c>
      <c r="AP32" s="2" cm="1">
        <f t="array" ref="AP32">VEGAGREEK($B32,100,0.01,AP$23,0.2)</f>
        <v>76.277563092104828</v>
      </c>
      <c r="AQ32" s="2" cm="1">
        <f t="array" ref="AQ32">VEGAGREEK($B32,100,0.01,AQ$23,0.2)</f>
        <v>77.138317352614195</v>
      </c>
      <c r="AR32" s="2" cm="1">
        <f t="array" ref="AR32">VEGAGREEK($B32,100,0.01,AR$23,0.2)</f>
        <v>77.985578255014715</v>
      </c>
      <c r="AS32" s="2" cm="1">
        <f t="array" ref="AS32">VEGAGREEK($B32,100,0.01,AS$23,0.2)</f>
        <v>78.819794466581271</v>
      </c>
      <c r="AT32" s="2" cm="1">
        <f t="array" ref="AT32">VEGAGREEK($B32,100,0.01,AT$23,0.2)</f>
        <v>79.641389256221743</v>
      </c>
      <c r="AU32" s="2" cm="1">
        <f t="array" ref="AU32">VEGAGREEK($B32,100,0.01,AU$23,0.2)</f>
        <v>80.450762487246323</v>
      </c>
      <c r="AV32" s="2" cm="1">
        <f t="array" ref="AV32">VEGAGREEK($B32,100,0.01,AV$23,0.2)</f>
        <v>81.248292412783059</v>
      </c>
      <c r="AW32" s="2" cm="1">
        <f t="array" ref="AW32">VEGAGREEK($B32,100,0.01,AW$23,0.2)</f>
        <v>82.034337297250886</v>
      </c>
      <c r="AX32" s="2" cm="1">
        <f t="array" ref="AX32">VEGAGREEK($B32,100,0.01,AX$23,0.2)</f>
        <v>82.809236884086985</v>
      </c>
      <c r="AY32" s="2" cm="1">
        <f t="array" ref="AY32">VEGAGREEK($B32,100,0.01,AY$23,0.2)</f>
        <v>83.573313727207818</v>
      </c>
      <c r="AZ32" s="2" cm="1">
        <f t="array" ref="AZ32">VEGAGREEK($B32,100,0.01,AZ$23,0.2)</f>
        <v>84.326874401380636</v>
      </c>
    </row>
    <row r="33" spans="1:52" x14ac:dyDescent="0.3">
      <c r="A33" s="2"/>
      <c r="B33" s="2">
        <v>105</v>
      </c>
      <c r="C33" s="2" cm="1">
        <f t="array" ref="C33">VEGAGREEK($B33,100,0.01,C$23,0.2)</f>
        <v>9.4730567005775885</v>
      </c>
      <c r="D33" s="2" cm="1">
        <f t="array" ref="D33">VEGAGREEK($B33,100,0.01,D$23,0.2)</f>
        <v>15.52854945654148</v>
      </c>
      <c r="E33" s="2" cm="1">
        <f t="array" ref="E33">VEGAGREEK($B33,100,0.01,E$23,0.2)</f>
        <v>19.963011175668893</v>
      </c>
      <c r="F33" s="2" cm="1">
        <f t="array" ref="F33">VEGAGREEK($B33,100,0.01,F$23,0.2)</f>
        <v>23.603472101352114</v>
      </c>
      <c r="G33" s="2" cm="1">
        <f t="array" ref="G33">VEGAGREEK($B33,100,0.01,G$23,0.2)</f>
        <v>26.754925856393445</v>
      </c>
      <c r="H33" s="2" cm="1">
        <f t="array" ref="H33">VEGAGREEK($B33,100,0.01,H$23,0.2)</f>
        <v>29.56741901392941</v>
      </c>
      <c r="I33" s="2" cm="1">
        <f t="array" ref="I33">VEGAGREEK($B33,100,0.01,I$23,0.2)</f>
        <v>32.127364650068387</v>
      </c>
      <c r="J33" s="2" cm="1">
        <f t="array" ref="J33">VEGAGREEK($B33,100,0.01,J$23,0.2)</f>
        <v>34.489758203526328</v>
      </c>
      <c r="K33" s="2" cm="1">
        <f t="array" ref="K33">VEGAGREEK($B33,100,0.01,K$23,0.2)</f>
        <v>36.692108772311308</v>
      </c>
      <c r="L33" s="2" cm="1">
        <f t="array" ref="L33">VEGAGREEK($B33,100,0.01,L$23,0.2)</f>
        <v>38.761333572648297</v>
      </c>
      <c r="M33" s="2" cm="1">
        <f t="array" ref="M33">VEGAGREEK($B33,100,0.01,M$23,0.2)</f>
        <v>40.71751619789093</v>
      </c>
      <c r="N33" s="2" cm="1">
        <f t="array" ref="N33">VEGAGREEK($B33,100,0.01,N$23,0.2)</f>
        <v>42.57611027513709</v>
      </c>
      <c r="O33" s="2" cm="1">
        <f t="array" ref="O33">VEGAGREEK($B33,100,0.01,O$23,0.2)</f>
        <v>44.349307497184007</v>
      </c>
      <c r="P33" s="2" cm="1">
        <f t="array" ref="P33">VEGAGREEK($B33,100,0.01,P$23,0.2)</f>
        <v>46.046926847682386</v>
      </c>
      <c r="Q33" s="2" cm="1">
        <f t="array" ref="Q33">VEGAGREEK($B33,100,0.01,Q$23,0.2)</f>
        <v>47.677014886415947</v>
      </c>
      <c r="R33" s="2" cm="1">
        <f t="array" ref="R33">VEGAGREEK($B33,100,0.01,R$23,0.2)</f>
        <v>49.246264031562895</v>
      </c>
      <c r="S33" s="2" cm="1">
        <f t="array" ref="S33">VEGAGREEK($B33,100,0.01,S$23,0.2)</f>
        <v>50.760311983030597</v>
      </c>
      <c r="T33" s="2" cm="1">
        <f t="array" ref="T33">VEGAGREEK($B33,100,0.01,T$23,0.2)</f>
        <v>52.223961092767425</v>
      </c>
      <c r="U33" s="2" cm="1">
        <f t="array" ref="U33">VEGAGREEK($B33,100,0.01,U$23,0.2)</f>
        <v>53.641342362063249</v>
      </c>
      <c r="V33" s="2" cm="1">
        <f t="array" ref="V33">VEGAGREEK($B33,100,0.01,V$23,0.2)</f>
        <v>55.016040235427909</v>
      </c>
      <c r="W33" s="2" cm="1">
        <f t="array" ref="W33">VEGAGREEK($B33,100,0.01,W$23,0.2)</f>
        <v>56.351189064194635</v>
      </c>
      <c r="X33" s="2" cm="1">
        <f t="array" ref="X33">VEGAGREEK($B33,100,0.01,X$23,0.2)</f>
        <v>57.649548721451239</v>
      </c>
      <c r="Y33" s="2" cm="1">
        <f t="array" ref="Y33">VEGAGREEK($B33,100,0.01,Y$23,0.2)</f>
        <v>58.913564622632222</v>
      </c>
      <c r="Z33" s="2" cm="1">
        <f t="array" ref="Z33">VEGAGREEK($B33,100,0.01,Z$23,0.2)</f>
        <v>60.145415910128939</v>
      </c>
      <c r="AA33" s="2" cm="1">
        <f t="array" ref="AA33">VEGAGREEK($B33,100,0.01,AA$23,0.2)</f>
        <v>61.347054534971548</v>
      </c>
      <c r="AB33" s="2" cm="1">
        <f t="array" ref="AB33">VEGAGREEK($B33,100,0.01,AB$23,0.2)</f>
        <v>62.520237252985346</v>
      </c>
      <c r="AC33" s="2" cm="1">
        <f t="array" ref="AC33">VEGAGREEK($B33,100,0.01,AC$23,0.2)</f>
        <v>63.666552044969286</v>
      </c>
      <c r="AD33" s="2" cm="1">
        <f t="array" ref="AD33">VEGAGREEK($B33,100,0.01,AD$23,0.2)</f>
        <v>64.787440104573619</v>
      </c>
      <c r="AE33" s="2" cm="1">
        <f t="array" ref="AE33">VEGAGREEK($B33,100,0.01,AE$23,0.2)</f>
        <v>65.884214270304426</v>
      </c>
      <c r="AF33" s="2" cm="1">
        <f t="array" ref="AF33">VEGAGREEK($B33,100,0.01,AF$23,0.2)</f>
        <v>66.958074580380114</v>
      </c>
      <c r="AG33" s="2" cm="1">
        <f t="array" ref="AG33">VEGAGREEK($B33,100,0.01,AG$23,0.2)</f>
        <v>68.01012148118771</v>
      </c>
      <c r="AH33" s="2" cm="1">
        <f t="array" ref="AH33">VEGAGREEK($B33,100,0.01,AH$23,0.2)</f>
        <v>69.041367108124916</v>
      </c>
      <c r="AI33" s="2" cm="1">
        <f t="array" ref="AI33">VEGAGREEK($B33,100,0.01,AI$23,0.2)</f>
        <v>70.052744972044337</v>
      </c>
      <c r="AJ33" s="2" cm="1">
        <f t="array" ref="AJ33">VEGAGREEK($B33,100,0.01,AJ$23,0.2)</f>
        <v>71.045118318506397</v>
      </c>
      <c r="AK33" s="2" cm="1">
        <f t="array" ref="AK33">VEGAGREEK($B33,100,0.01,AK$23,0.2)</f>
        <v>72.019287375678815</v>
      </c>
      <c r="AL33" s="2" cm="1">
        <f t="array" ref="AL33">VEGAGREEK($B33,100,0.01,AL$23,0.2)</f>
        <v>72.975995666419081</v>
      </c>
      <c r="AM33" s="2" cm="1">
        <f t="array" ref="AM33">VEGAGREEK($B33,100,0.01,AM$23,0.2)</f>
        <v>73.915935528216323</v>
      </c>
      <c r="AN33" s="2" cm="1">
        <f t="array" ref="AN33">VEGAGREEK($B33,100,0.01,AN$23,0.2)</f>
        <v>74.839752959299247</v>
      </c>
      <c r="AO33" s="2" cm="1">
        <f t="array" ref="AO33">VEGAGREEK($B33,100,0.01,AO$23,0.2)</f>
        <v>75.748051888881278</v>
      </c>
      <c r="AP33" s="2" cm="1">
        <f t="array" ref="AP33">VEGAGREEK($B33,100,0.01,AP$23,0.2)</f>
        <v>76.641397953105823</v>
      </c>
      <c r="AQ33" s="2" cm="1">
        <f t="array" ref="AQ33">VEGAGREEK($B33,100,0.01,AQ$23,0.2)</f>
        <v>77.520321844941193</v>
      </c>
      <c r="AR33" s="2" cm="1">
        <f t="array" ref="AR33">VEGAGREEK($B33,100,0.01,AR$23,0.2)</f>
        <v>78.385322295404151</v>
      </c>
      <c r="AS33" s="2" cm="1">
        <f t="array" ref="AS33">VEGAGREEK($B33,100,0.01,AS$23,0.2)</f>
        <v>79.236868734573775</v>
      </c>
      <c r="AT33" s="2" cm="1">
        <f t="array" ref="AT33">VEGAGREEK($B33,100,0.01,AT$23,0.2)</f>
        <v>80.075403673500787</v>
      </c>
      <c r="AU33" s="2" cm="1">
        <f t="array" ref="AU33">VEGAGREEK($B33,100,0.01,AU$23,0.2)</f>
        <v>80.901344842019455</v>
      </c>
      <c r="AV33" s="2" cm="1">
        <f t="array" ref="AV33">VEGAGREEK($B33,100,0.01,AV$23,0.2)</f>
        <v>81.715087112394784</v>
      </c>
      <c r="AW33" s="2" cm="1">
        <f t="array" ref="AW33">VEGAGREEK($B33,100,0.01,AW$23,0.2)</f>
        <v>82.517004234489718</v>
      </c>
      <c r="AX33" s="2" cm="1">
        <f t="array" ref="AX33">VEGAGREEK($B33,100,0.01,AX$23,0.2)</f>
        <v>83.30745040457424</v>
      </c>
      <c r="AY33" s="2" cm="1">
        <f t="array" ref="AY33">VEGAGREEK($B33,100,0.01,AY$23,0.2)</f>
        <v>84.086761686890284</v>
      </c>
      <c r="AZ33" s="2" cm="1">
        <f t="array" ref="AZ33">VEGAGREEK($B33,100,0.01,AZ$23,0.2)</f>
        <v>84.855257304543272</v>
      </c>
    </row>
    <row r="34" spans="1:52" x14ac:dyDescent="0.3">
      <c r="A34" s="2"/>
      <c r="B34" s="2">
        <v>110</v>
      </c>
      <c r="C34" s="2" cm="1">
        <f t="array" ref="C34">VEGAGREEK($B34,100,0.01,C$23,0.2)</f>
        <v>4.1459744625109485</v>
      </c>
      <c r="D34" s="2" cm="1">
        <f t="array" ref="D34">VEGAGREEK($B34,100,0.01,D$23,0.2)</f>
        <v>10.332955422391688</v>
      </c>
      <c r="E34" s="2" cm="1">
        <f t="array" ref="E34">VEGAGREEK($B34,100,0.01,E$23,0.2)</f>
        <v>15.274679608962336</v>
      </c>
      <c r="F34" s="2" cm="1">
        <f t="array" ref="F34">VEGAGREEK($B34,100,0.01,F$23,0.2)</f>
        <v>19.366366629160026</v>
      </c>
      <c r="G34" s="2" cm="1">
        <f t="array" ref="G34">VEGAGREEK($B34,100,0.01,G$23,0.2)</f>
        <v>22.891366897286513</v>
      </c>
      <c r="H34" s="2" cm="1">
        <f t="array" ref="H34">VEGAGREEK($B34,100,0.01,H$23,0.2)</f>
        <v>26.014283512817951</v>
      </c>
      <c r="I34" s="2" cm="1">
        <f t="array" ref="I34">VEGAGREEK($B34,100,0.01,I$23,0.2)</f>
        <v>28.836210247206257</v>
      </c>
      <c r="J34" s="2" cm="1">
        <f t="array" ref="J34">VEGAGREEK($B34,100,0.01,J$23,0.2)</f>
        <v>31.423293448931332</v>
      </c>
      <c r="K34" s="2" cm="1">
        <f t="array" ref="K34">VEGAGREEK($B34,100,0.01,K$23,0.2)</f>
        <v>33.821167077407694</v>
      </c>
      <c r="L34" s="2" cm="1">
        <f t="array" ref="L34">VEGAGREEK($B34,100,0.01,L$23,0.2)</f>
        <v>36.062690186445991</v>
      </c>
      <c r="M34" s="2" cm="1">
        <f t="array" ref="M34">VEGAGREEK($B34,100,0.01,M$23,0.2)</f>
        <v>38.172359093003351</v>
      </c>
      <c r="N34" s="2" cm="1">
        <f t="array" ref="N34">VEGAGREEK($B34,100,0.01,N$23,0.2)</f>
        <v>40.168964083728333</v>
      </c>
      <c r="O34" s="2" cm="1">
        <f t="array" ref="O34">VEGAGREEK($B34,100,0.01,O$23,0.2)</f>
        <v>42.067264969228447</v>
      </c>
      <c r="P34" s="2" cm="1">
        <f t="array" ref="P34">VEGAGREEK($B34,100,0.01,P$23,0.2)</f>
        <v>43.87909022702911</v>
      </c>
      <c r="Q34" s="2" cm="1">
        <f t="array" ref="Q34">VEGAGREEK($B34,100,0.01,Q$23,0.2)</f>
        <v>45.614082640107419</v>
      </c>
      <c r="R34" s="2" cm="1">
        <f t="array" ref="R34">VEGAGREEK($B34,100,0.01,R$23,0.2)</f>
        <v>47.280219945182772</v>
      </c>
      <c r="S34" s="2" cm="1">
        <f t="array" ref="S34">VEGAGREEK($B34,100,0.01,S$23,0.2)</f>
        <v>48.884187602588959</v>
      </c>
      <c r="T34" s="2" cm="1">
        <f t="array" ref="T34">VEGAGREEK($B34,100,0.01,T$23,0.2)</f>
        <v>50.431651601008184</v>
      </c>
      <c r="U34" s="2" cm="1">
        <f t="array" ref="U34">VEGAGREEK($B34,100,0.01,U$23,0.2)</f>
        <v>51.927461995662988</v>
      </c>
      <c r="V34" s="2" cm="1">
        <f t="array" ref="V34">VEGAGREEK($B34,100,0.01,V$23,0.2)</f>
        <v>53.375807389774842</v>
      </c>
      <c r="W34" s="2" cm="1">
        <f t="array" ref="W34">VEGAGREEK($B34,100,0.01,W$23,0.2)</f>
        <v>54.780333988829192</v>
      </c>
      <c r="X34" s="2" cm="1">
        <f t="array" ref="X34">VEGAGREEK($B34,100,0.01,X$23,0.2)</f>
        <v>56.144238619845282</v>
      </c>
      <c r="Y34" s="2" cm="1">
        <f t="array" ref="Y34">VEGAGREEK($B34,100,0.01,Y$23,0.2)</f>
        <v>57.470342314586972</v>
      </c>
      <c r="Z34" s="2" cm="1">
        <f t="array" ref="Z34">VEGAGREEK($B34,100,0.01,Z$23,0.2)</f>
        <v>58.761149175040934</v>
      </c>
      <c r="AA34" s="2" cm="1">
        <f t="array" ref="AA34">VEGAGREEK($B34,100,0.01,AA$23,0.2)</f>
        <v>60.018893948888618</v>
      </c>
      <c r="AB34" s="2" cm="1">
        <f t="array" ref="AB34">VEGAGREEK($B34,100,0.01,AB$23,0.2)</f>
        <v>61.245580841456629</v>
      </c>
      <c r="AC34" s="2" cm="1">
        <f t="array" ref="AC34">VEGAGREEK($B34,100,0.01,AC$23,0.2)</f>
        <v>62.443015451200225</v>
      </c>
      <c r="AD34" s="2" cm="1">
        <f t="array" ref="AD34">VEGAGREEK($B34,100,0.01,AD$23,0.2)</f>
        <v>63.612831255440852</v>
      </c>
      <c r="AE34" s="2" cm="1">
        <f t="array" ref="AE34">VEGAGREEK($B34,100,0.01,AE$23,0.2)</f>
        <v>64.756511737206509</v>
      </c>
      <c r="AF34" s="2" cm="1">
        <f t="array" ref="AF34">VEGAGREEK($B34,100,0.01,AF$23,0.2)</f>
        <v>65.875408995911101</v>
      </c>
      <c r="AG34" s="2" cm="1">
        <f t="array" ref="AG34">VEGAGREEK($B34,100,0.01,AG$23,0.2)</f>
        <v>66.97075949921485</v>
      </c>
      <c r="AH34" s="2" cm="1">
        <f t="array" ref="AH34">VEGAGREEK($B34,100,0.01,AH$23,0.2)</f>
        <v>68.043697493397147</v>
      </c>
      <c r="AI34" s="2" cm="1">
        <f t="array" ref="AI34">VEGAGREEK($B34,100,0.01,AI$23,0.2)</f>
        <v>69.095266482785547</v>
      </c>
      <c r="AJ34" s="2" cm="1">
        <f t="array" ref="AJ34">VEGAGREEK($B34,100,0.01,AJ$23,0.2)</f>
        <v>70.126429106580972</v>
      </c>
      <c r="AK34" s="2" cm="1">
        <f t="array" ref="AK34">VEGAGREEK($B34,100,0.01,AK$23,0.2)</f>
        <v>71.13807567759153</v>
      </c>
      <c r="AL34" s="2" cm="1">
        <f t="array" ref="AL34">VEGAGREEK($B34,100,0.01,AL$23,0.2)</f>
        <v>72.131031597426286</v>
      </c>
      <c r="AM34" s="2" cm="1">
        <f t="array" ref="AM34">VEGAGREEK($B34,100,0.01,AM$23,0.2)</f>
        <v>73.106063823293937</v>
      </c>
      <c r="AN34" s="2" cm="1">
        <f t="array" ref="AN34">VEGAGREEK($B34,100,0.01,AN$23,0.2)</f>
        <v>74.063886530248212</v>
      </c>
      <c r="AO34" s="2" cm="1">
        <f t="array" ref="AO34">VEGAGREEK($B34,100,0.01,AO$23,0.2)</f>
        <v>75.005166087687996</v>
      </c>
      <c r="AP34" s="2" cm="1">
        <f t="array" ref="AP34">VEGAGREEK($B34,100,0.01,AP$23,0.2)</f>
        <v>75.930525448770609</v>
      </c>
      <c r="AQ34" s="2" cm="1">
        <f t="array" ref="AQ34">VEGAGREEK($B34,100,0.01,AQ$23,0.2)</f>
        <v>76.84054803508343</v>
      </c>
      <c r="AR34" s="2" cm="1">
        <f t="array" ref="AR34">VEGAGREEK($B34,100,0.01,AR$23,0.2)</f>
        <v>77.73578118563438</v>
      </c>
      <c r="AS34" s="2" cm="1">
        <f t="array" ref="AS34">VEGAGREEK($B34,100,0.01,AS$23,0.2)</f>
        <v>78.616739228345139</v>
      </c>
      <c r="AT34" s="2" cm="1">
        <f t="array" ref="AT34">VEGAGREEK($B34,100,0.01,AT$23,0.2)</f>
        <v>79.483906223282304</v>
      </c>
      <c r="AU34" s="2" cm="1">
        <f t="array" ref="AU34">VEGAGREEK($B34,100,0.01,AU$23,0.2)</f>
        <v>80.337738419459043</v>
      </c>
      <c r="AV34" s="2" cm="1">
        <f t="array" ref="AV34">VEGAGREEK($B34,100,0.01,AV$23,0.2)</f>
        <v>81.178666460893353</v>
      </c>
      <c r="AW34" s="2" cm="1">
        <f t="array" ref="AW34">VEGAGREEK($B34,100,0.01,AW$23,0.2)</f>
        <v>82.007097372477062</v>
      </c>
      <c r="AX34" s="2" cm="1">
        <f t="array" ref="AX34">VEGAGREEK($B34,100,0.01,AX$23,0.2)</f>
        <v>82.823416351912172</v>
      </c>
      <c r="AY34" s="2" cm="1">
        <f t="array" ref="AY34">VEGAGREEK($B34,100,0.01,AY$23,0.2)</f>
        <v>83.62798839035294</v>
      </c>
      <c r="AZ34" s="2" cm="1">
        <f t="array" ref="AZ34">VEGAGREEK($B34,100,0.01,AZ$23,0.2)</f>
        <v>84.421159741338528</v>
      </c>
    </row>
    <row r="35" spans="1:52" x14ac:dyDescent="0.3">
      <c r="A35" s="2"/>
      <c r="B35" s="2">
        <v>115</v>
      </c>
      <c r="C35" s="2" cm="1">
        <f t="array" ref="C35">VEGAGREEK($B35,100,0.01,C$23,0.2)</f>
        <v>1.1355073152064603</v>
      </c>
      <c r="D35" s="2" cm="1">
        <f t="array" ref="D35">VEGAGREEK($B35,100,0.01,D$23,0.2)</f>
        <v>5.4377515022381848</v>
      </c>
      <c r="E35" s="2" cm="1">
        <f t="array" ref="E35">VEGAGREEK($B35,100,0.01,E$23,0.2)</f>
        <v>9.9933417595957987</v>
      </c>
      <c r="F35" s="2" cm="1">
        <f t="array" ref="F35">VEGAGREEK($B35,100,0.01,F$23,0.2)</f>
        <v>14.127284601816148</v>
      </c>
      <c r="G35" s="2" cm="1">
        <f t="array" ref="G35">VEGAGREEK($B35,100,0.01,G$23,0.2)</f>
        <v>17.825651843380044</v>
      </c>
      <c r="H35" s="2" cm="1">
        <f t="array" ref="H35">VEGAGREEK($B35,100,0.01,H$23,0.2)</f>
        <v>21.158960540408653</v>
      </c>
      <c r="I35" s="2" cm="1">
        <f t="array" ref="I35">VEGAGREEK($B35,100,0.01,I$23,0.2)</f>
        <v>24.195071188978147</v>
      </c>
      <c r="J35" s="2" cm="1">
        <f t="array" ref="J35">VEGAGREEK($B35,100,0.01,J$23,0.2)</f>
        <v>26.987963743602148</v>
      </c>
      <c r="K35" s="2" cm="1">
        <f t="array" ref="K35">VEGAGREEK($B35,100,0.01,K$23,0.2)</f>
        <v>29.579147918734403</v>
      </c>
      <c r="L35" s="2" cm="1">
        <f t="array" ref="L35">VEGAGREEK($B35,100,0.01,L$23,0.2)</f>
        <v>32.000599329500922</v>
      </c>
      <c r="M35" s="2" cm="1">
        <f t="array" ref="M35">VEGAGREEK($B35,100,0.01,M$23,0.2)</f>
        <v>34.277246532155587</v>
      </c>
      <c r="N35" s="2" cm="1">
        <f t="array" ref="N35">VEGAGREEK($B35,100,0.01,N$23,0.2)</f>
        <v>36.428811800236765</v>
      </c>
      <c r="O35" s="2" cm="1">
        <f t="array" ref="O35">VEGAGREEK($B35,100,0.01,O$23,0.2)</f>
        <v>38.471130836198277</v>
      </c>
      <c r="P35" s="2" cm="1">
        <f t="array" ref="P35">VEGAGREEK($B35,100,0.01,P$23,0.2)</f>
        <v>40.417097252182607</v>
      </c>
      <c r="Q35" s="2" cm="1">
        <f t="array" ref="Q35">VEGAGREEK($B35,100,0.01,Q$23,0.2)</f>
        <v>42.277344629864679</v>
      </c>
      <c r="R35" s="2" cm="1">
        <f t="array" ref="R35">VEGAGREEK($B35,100,0.01,R$23,0.2)</f>
        <v>44.060745498627611</v>
      </c>
      <c r="S35" s="2" cm="1">
        <f t="array" ref="S35">VEGAGREEK($B35,100,0.01,S$23,0.2)</f>
        <v>45.77478157259209</v>
      </c>
      <c r="T35" s="2" cm="1">
        <f t="array" ref="T35">VEGAGREEK($B35,100,0.01,T$23,0.2)</f>
        <v>47.425822364717959</v>
      </c>
      <c r="U35" s="2" cm="1">
        <f t="array" ref="U35">VEGAGREEK($B35,100,0.01,U$23,0.2)</f>
        <v>49.019337710335918</v>
      </c>
      <c r="V35" s="2" cm="1">
        <f t="array" ref="V35">VEGAGREEK($B35,100,0.01,V$23,0.2)</f>
        <v>50.560061959578547</v>
      </c>
      <c r="W35" s="2" cm="1">
        <f t="array" ref="W35">VEGAGREEK($B35,100,0.01,W$23,0.2)</f>
        <v>52.052122350391066</v>
      </c>
      <c r="X35" s="2" cm="1">
        <f t="array" ref="X35">VEGAGREEK($B35,100,0.01,X$23,0.2)</f>
        <v>53.499140493906488</v>
      </c>
      <c r="Y35" s="2" cm="1">
        <f t="array" ref="Y35">VEGAGREEK($B35,100,0.01,Y$23,0.2)</f>
        <v>54.904313432133293</v>
      </c>
      <c r="Z35" s="2" cm="1">
        <f t="array" ref="Z35">VEGAGREEK($B35,100,0.01,Z$23,0.2)</f>
        <v>56.270478999371932</v>
      </c>
      <c r="AA35" s="2" cm="1">
        <f t="array" ref="AA35">VEGAGREEK($B35,100,0.01,AA$23,0.2)</f>
        <v>57.600168994619061</v>
      </c>
      <c r="AB35" s="2" cm="1">
        <f t="array" ref="AB35">VEGAGREEK($B35,100,0.01,AB$23,0.2)</f>
        <v>58.895652794495298</v>
      </c>
      <c r="AC35" s="2" cm="1">
        <f t="array" ref="AC35">VEGAGREEK($B35,100,0.01,AC$23,0.2)</f>
        <v>60.158973399395329</v>
      </c>
      <c r="AD35" s="2" cm="1">
        <f t="array" ref="AD35">VEGAGREEK($B35,100,0.01,AD$23,0.2)</f>
        <v>61.391977438246165</v>
      </c>
      <c r="AE35" s="2" cm="1">
        <f t="array" ref="AE35">VEGAGREEK($B35,100,0.01,AE$23,0.2)</f>
        <v>62.596340310646831</v>
      </c>
      <c r="AF35" s="2" cm="1">
        <f t="array" ref="AF35">VEGAGREEK($B35,100,0.01,AF$23,0.2)</f>
        <v>63.773587385453702</v>
      </c>
      <c r="AG35" s="2" cm="1">
        <f t="array" ref="AG35">VEGAGREEK($B35,100,0.01,AG$23,0.2)</f>
        <v>64.925111978406903</v>
      </c>
      <c r="AH35" s="2" cm="1">
        <f t="array" ref="AH35">VEGAGREEK($B35,100,0.01,AH$23,0.2)</f>
        <v>66.052190681414316</v>
      </c>
      <c r="AI35" s="2" cm="1">
        <f t="array" ref="AI35">VEGAGREEK($B35,100,0.01,AI$23,0.2)</f>
        <v>67.15599650063605</v>
      </c>
      <c r="AJ35" s="2" cm="1">
        <f t="array" ref="AJ35">VEGAGREEK($B35,100,0.01,AJ$23,0.2)</f>
        <v>68.237610170884651</v>
      </c>
      <c r="AK35" s="2" cm="1">
        <f t="array" ref="AK35">VEGAGREEK($B35,100,0.01,AK$23,0.2)</f>
        <v>69.298029943756873</v>
      </c>
      <c r="AL35" s="2" cm="1">
        <f t="array" ref="AL35">VEGAGREEK($B35,100,0.01,AL$23,0.2)</f>
        <v>70.338180091688301</v>
      </c>
      <c r="AM35" s="2" cm="1">
        <f t="array" ref="AM35">VEGAGREEK($B35,100,0.01,AM$23,0.2)</f>
        <v>71.358918326318019</v>
      </c>
      <c r="AN35" s="2" cm="1">
        <f t="array" ref="AN35">VEGAGREEK($B35,100,0.01,AN$23,0.2)</f>
        <v>72.361042294579207</v>
      </c>
      <c r="AO35" s="2" cm="1">
        <f t="array" ref="AO35">VEGAGREEK($B35,100,0.01,AO$23,0.2)</f>
        <v>73.345295287839704</v>
      </c>
      <c r="AP35" s="2" cm="1">
        <f t="array" ref="AP35">VEGAGREEK($B35,100,0.01,AP$23,0.2)</f>
        <v>74.312371276717002</v>
      </c>
      <c r="AQ35" s="2" cm="1">
        <f t="array" ref="AQ35">VEGAGREEK($B35,100,0.01,AQ$23,0.2)</f>
        <v>75.262919365751415</v>
      </c>
      <c r="AR35" s="2" cm="1">
        <f t="array" ref="AR35">VEGAGREEK($B35,100,0.01,AR$23,0.2)</f>
        <v>76.197547747056191</v>
      </c>
      <c r="AS35" s="2" cm="1">
        <f t="array" ref="AS35">VEGAGREEK($B35,100,0.01,AS$23,0.2)</f>
        <v>77.116827219697313</v>
      </c>
      <c r="AT35" s="2" cm="1">
        <f t="array" ref="AT35">VEGAGREEK($B35,100,0.01,AT$23,0.2)</f>
        <v>78.021294331356231</v>
      </c>
      <c r="AU35" s="2" cm="1">
        <f t="array" ref="AU35">VEGAGREEK($B35,100,0.01,AU$23,0.2)</f>
        <v>78.911454190373988</v>
      </c>
      <c r="AV35" s="2" cm="1">
        <f t="array" ref="AV35">VEGAGREEK($B35,100,0.01,AV$23,0.2)</f>
        <v>79.787782989242316</v>
      </c>
      <c r="AW35" s="2" cm="1">
        <f t="array" ref="AW35">VEGAGREEK($B35,100,0.01,AW$23,0.2)</f>
        <v>80.650730274724935</v>
      </c>
      <c r="AX35" s="2" cm="1">
        <f t="array" ref="AX35">VEGAGREEK($B35,100,0.01,AX$23,0.2)</f>
        <v>81.500720994860202</v>
      </c>
      <c r="AY35" s="2" cm="1">
        <f t="array" ref="AY35">VEGAGREEK($B35,100,0.01,AY$23,0.2)</f>
        <v>82.338157348938438</v>
      </c>
      <c r="AZ35" s="2" cm="1">
        <f t="array" ref="AZ35">VEGAGREEK($B35,100,0.01,AZ$23,0.2)</f>
        <v>83.163420463033958</v>
      </c>
    </row>
    <row r="36" spans="1:52" x14ac:dyDescent="0.3">
      <c r="A36" s="2"/>
      <c r="B36" s="2">
        <v>120</v>
      </c>
      <c r="C36" s="2" cm="1">
        <f t="array" ref="C36">VEGAGREEK($B36,100,0.01,C$23,0.2)</f>
        <v>0.20685250757256843</v>
      </c>
      <c r="D36" s="2" cm="1">
        <f t="array" ref="D36">VEGAGREEK($B36,100,0.01,D$23,0.2)</f>
        <v>2.3332711412433973</v>
      </c>
      <c r="E36" s="2" cm="1">
        <f t="array" ref="E36">VEGAGREEK($B36,100,0.01,E$23,0.2)</f>
        <v>5.7053408088958326</v>
      </c>
      <c r="F36" s="2" cm="1">
        <f t="array" ref="F36">VEGAGREEK($B36,100,0.01,F$23,0.2)</f>
        <v>9.3034075502440565</v>
      </c>
      <c r="G36" s="2" cm="1">
        <f t="array" ref="G36">VEGAGREEK($B36,100,0.01,G$23,0.2)</f>
        <v>12.788990708238194</v>
      </c>
      <c r="H36" s="2" cm="1">
        <f t="array" ref="H36">VEGAGREEK($B36,100,0.01,H$23,0.2)</f>
        <v>16.072749659884916</v>
      </c>
      <c r="I36" s="2" cm="1">
        <f t="array" ref="I36">VEGAGREEK($B36,100,0.01,I$23,0.2)</f>
        <v>19.144349454685663</v>
      </c>
      <c r="J36" s="2" cm="1">
        <f t="array" ref="J36">VEGAGREEK($B36,100,0.01,J$23,0.2)</f>
        <v>22.017713675499852</v>
      </c>
      <c r="K36" s="2" cm="1">
        <f t="array" ref="K36">VEGAGREEK($B36,100,0.01,K$23,0.2)</f>
        <v>24.712869597243458</v>
      </c>
      <c r="L36" s="2" cm="1">
        <f t="array" ref="L36">VEGAGREEK($B36,100,0.01,L$23,0.2)</f>
        <v>27.249840451049845</v>
      </c>
      <c r="M36" s="2" cm="1">
        <f t="array" ref="M36">VEGAGREEK($B36,100,0.01,M$23,0.2)</f>
        <v>29.646728739290456</v>
      </c>
      <c r="N36" s="2" cm="1">
        <f t="array" ref="N36">VEGAGREEK($B36,100,0.01,N$23,0.2)</f>
        <v>31.919299934502128</v>
      </c>
      <c r="O36" s="2" cm="1">
        <f t="array" ref="O36">VEGAGREEK($B36,100,0.01,O$23,0.2)</f>
        <v>34.081091574550697</v>
      </c>
      <c r="P36" s="2" cm="1">
        <f t="array" ref="P36">VEGAGREEK($B36,100,0.01,P$23,0.2)</f>
        <v>36.143682576949637</v>
      </c>
      <c r="Q36" s="2" cm="1">
        <f t="array" ref="Q36">VEGAGREEK($B36,100,0.01,Q$23,0.2)</f>
        <v>38.116986097254774</v>
      </c>
      <c r="R36" s="2" cm="1">
        <f t="array" ref="R36">VEGAGREEK($B36,100,0.01,R$23,0.2)</f>
        <v>40.009517834390095</v>
      </c>
      <c r="S36" s="2" cm="1">
        <f t="array" ref="S36">VEGAGREEK($B36,100,0.01,S$23,0.2)</f>
        <v>41.828626364796939</v>
      </c>
      <c r="T36" s="2" cm="1">
        <f t="array" ref="T36">VEGAGREEK($B36,100,0.01,T$23,0.2)</f>
        <v>43.580685299739272</v>
      </c>
      <c r="U36" s="2" cm="1">
        <f t="array" ref="U36">VEGAGREEK($B36,100,0.01,U$23,0.2)</f>
        <v>45.271251589397984</v>
      </c>
      <c r="V36" s="2" cm="1">
        <f t="array" ref="V36">VEGAGREEK($B36,100,0.01,V$23,0.2)</f>
        <v>46.905195347320529</v>
      </c>
      <c r="W36" s="2" cm="1">
        <f t="array" ref="W36">VEGAGREEK($B36,100,0.01,W$23,0.2)</f>
        <v>48.486806297115216</v>
      </c>
      <c r="X36" s="2" cm="1">
        <f t="array" ref="X36">VEGAGREEK($B36,100,0.01,X$23,0.2)</f>
        <v>50.019881245269673</v>
      </c>
      <c r="Y36" s="2" cm="1">
        <f t="array" ref="Y36">VEGAGREEK($B36,100,0.01,Y$23,0.2)</f>
        <v>51.507796221096086</v>
      </c>
      <c r="Z36" s="2" cm="1">
        <f t="array" ref="Z36">VEGAGREEK($B36,100,0.01,Z$23,0.2)</f>
        <v>52.9535662313343</v>
      </c>
      <c r="AA36" s="2" cm="1">
        <f t="array" ref="AA36">VEGAGREEK($B36,100,0.01,AA$23,0.2)</f>
        <v>54.359894991649256</v>
      </c>
      <c r="AB36" s="2" cm="1">
        <f t="array" ref="AB36">VEGAGREEK($B36,100,0.01,AB$23,0.2)</f>
        <v>55.729216520580913</v>
      </c>
      <c r="AC36" s="2" cm="1">
        <f t="array" ref="AC36">VEGAGREEK($B36,100,0.01,AC$23,0.2)</f>
        <v>57.063730100248399</v>
      </c>
      <c r="AD36" s="2" cm="1">
        <f t="array" ref="AD36">VEGAGREEK($B36,100,0.01,AD$23,0.2)</f>
        <v>58.365429805879714</v>
      </c>
      <c r="AE36" s="2" cm="1">
        <f t="array" ref="AE36">VEGAGREEK($B36,100,0.01,AE$23,0.2)</f>
        <v>59.636129567526417</v>
      </c>
      <c r="AF36" s="2" cm="1">
        <f t="array" ref="AF36">VEGAGREEK($B36,100,0.01,AF$23,0.2)</f>
        <v>60.877484538879088</v>
      </c>
      <c r="AG36" s="2" cm="1">
        <f t="array" ref="AG36">VEGAGREEK($B36,100,0.01,AG$23,0.2)</f>
        <v>62.091009399123713</v>
      </c>
      <c r="AH36" s="2" cm="1">
        <f t="array" ref="AH36">VEGAGREEK($B36,100,0.01,AH$23,0.2)</f>
        <v>63.27809409569231</v>
      </c>
      <c r="AI36" s="2" cm="1">
        <f t="array" ref="AI36">VEGAGREEK($B36,100,0.01,AI$23,0.2)</f>
        <v>64.440017441834968</v>
      </c>
      <c r="AJ36" s="2" cm="1">
        <f t="array" ref="AJ36">VEGAGREEK($B36,100,0.01,AJ$23,0.2)</f>
        <v>65.577958907939788</v>
      </c>
      <c r="AK36" s="2" cm="1">
        <f t="array" ref="AK36">VEGAGREEK($B36,100,0.01,AK$23,0.2)</f>
        <v>66.693008885386163</v>
      </c>
      <c r="AL36" s="2" cm="1">
        <f t="array" ref="AL36">VEGAGREEK($B36,100,0.01,AL$23,0.2)</f>
        <v>67.786177653280404</v>
      </c>
      <c r="AM36" s="2" cm="1">
        <f t="array" ref="AM36">VEGAGREEK($B36,100,0.01,AM$23,0.2)</f>
        <v>68.858403239240928</v>
      </c>
      <c r="AN36" s="2" cm="1">
        <f t="array" ref="AN36">VEGAGREEK($B36,100,0.01,AN$23,0.2)</f>
        <v>69.910558333564779</v>
      </c>
      <c r="AO36" s="2" cm="1">
        <f t="array" ref="AO36">VEGAGREEK($B36,100,0.01,AO$23,0.2)</f>
        <v>70.943456390126542</v>
      </c>
      <c r="AP36" s="2" cm="1">
        <f t="array" ref="AP36">VEGAGREEK($B36,100,0.01,AP$23,0.2)</f>
        <v>71.957857026067131</v>
      </c>
      <c r="AQ36" s="2" cm="1">
        <f t="array" ref="AQ36">VEGAGREEK($B36,100,0.01,AQ$23,0.2)</f>
        <v>72.954470814804822</v>
      </c>
      <c r="AR36" s="2" cm="1">
        <f t="array" ref="AR36">VEGAGREEK($B36,100,0.01,AR$23,0.2)</f>
        <v>73.933963552416785</v>
      </c>
      <c r="AS36" s="2" cm="1">
        <f t="array" ref="AS36">VEGAGREEK($B36,100,0.01,AS$23,0.2)</f>
        <v>74.896960065421041</v>
      </c>
      <c r="AT36" s="2" cm="1">
        <f t="array" ref="AT36">VEGAGREEK($B36,100,0.01,AT$23,0.2)</f>
        <v>75.844047617979399</v>
      </c>
      <c r="AU36" s="2" cm="1">
        <f t="array" ref="AU36">VEGAGREEK($B36,100,0.01,AU$23,0.2)</f>
        <v>76.775778968170087</v>
      </c>
      <c r="AV36" s="2" cm="1">
        <f t="array" ref="AV36">VEGAGREEK($B36,100,0.01,AV$23,0.2)</f>
        <v>77.692675115957471</v>
      </c>
      <c r="AW36" s="2" cm="1">
        <f t="array" ref="AW36">VEGAGREEK($B36,100,0.01,AW$23,0.2)</f>
        <v>78.595227779568276</v>
      </c>
      <c r="AX36" s="2" cm="1">
        <f t="array" ref="AX36">VEGAGREEK($B36,100,0.01,AX$23,0.2)</f>
        <v>79.483901631988999</v>
      </c>
      <c r="AY36" s="2" cm="1">
        <f t="array" ref="AY36">VEGAGREEK($B36,100,0.01,AY$23,0.2)</f>
        <v>80.359136325058927</v>
      </c>
      <c r="AZ36" s="2" cm="1">
        <f t="array" ref="AZ36">VEGAGREEK($B36,100,0.01,AZ$23,0.2)</f>
        <v>81.221348325030689</v>
      </c>
    </row>
    <row r="37" spans="1:52" x14ac:dyDescent="0.3">
      <c r="A37" s="2"/>
      <c r="B37" s="2">
        <v>125</v>
      </c>
      <c r="C37" s="2" cm="1">
        <f t="array" ref="C37">VEGAGREEK($B37,100,0.01,C$23,0.2)</f>
        <v>2.6396322770578431E-2</v>
      </c>
      <c r="D37" s="2" cm="1">
        <f t="array" ref="D37">VEGAGREEK($B37,100,0.01,D$23,0.2)</f>
        <v>0.83776579671249973</v>
      </c>
      <c r="E37" s="2" cm="1">
        <f t="array" ref="E37">VEGAGREEK($B37,100,0.01,E$23,0.2)</f>
        <v>2.8919931949563504</v>
      </c>
      <c r="F37" s="2" cm="1">
        <f t="array" ref="F37">VEGAGREEK($B37,100,0.01,F$23,0.2)</f>
        <v>5.6032093638267746</v>
      </c>
      <c r="G37" s="2" cm="1">
        <f t="array" ref="G37">VEGAGREEK($B37,100,0.01,G$23,0.2)</f>
        <v>8.5419800594485515</v>
      </c>
      <c r="H37" s="2" cm="1">
        <f t="array" ref="H37">VEGAGREEK($B37,100,0.01,H$23,0.2)</f>
        <v>11.501755031066587</v>
      </c>
      <c r="I37" s="2" cm="1">
        <f t="array" ref="I37">VEGAGREEK($B37,100,0.01,I$23,0.2)</f>
        <v>14.391583547437287</v>
      </c>
      <c r="J37" s="2" cm="1">
        <f t="array" ref="J37">VEGAGREEK($B37,100,0.01,J$23,0.2)</f>
        <v>17.174563874605038</v>
      </c>
      <c r="K37" s="2" cm="1">
        <f t="array" ref="K37">VEGAGREEK($B37,100,0.01,K$23,0.2)</f>
        <v>19.838851664708951</v>
      </c>
      <c r="L37" s="2" cm="1">
        <f t="array" ref="L37">VEGAGREEK($B37,100,0.01,L$23,0.2)</f>
        <v>22.384180561821143</v>
      </c>
      <c r="M37" s="2" cm="1">
        <f t="array" ref="M37">VEGAGREEK($B37,100,0.01,M$23,0.2)</f>
        <v>24.815478199994924</v>
      </c>
      <c r="N37" s="2" cm="1">
        <f t="array" ref="N37">VEGAGREEK($B37,100,0.01,N$23,0.2)</f>
        <v>27.139786077905764</v>
      </c>
      <c r="O37" s="2" cm="1">
        <f t="array" ref="O37">VEGAGREEK($B37,100,0.01,O$23,0.2)</f>
        <v>29.364762435143678</v>
      </c>
      <c r="P37" s="2" cm="1">
        <f t="array" ref="P37">VEGAGREEK($B37,100,0.01,P$23,0.2)</f>
        <v>31.497963864486877</v>
      </c>
      <c r="Q37" s="2" cm="1">
        <f t="array" ref="Q37">VEGAGREEK($B37,100,0.01,Q$23,0.2)</f>
        <v>33.546517482938377</v>
      </c>
      <c r="R37" s="2" cm="1">
        <f t="array" ref="R37">VEGAGREEK($B37,100,0.01,R$23,0.2)</f>
        <v>35.516990766815447</v>
      </c>
      <c r="S37" s="2" cm="1">
        <f t="array" ref="S37">VEGAGREEK($B37,100,0.01,S$23,0.2)</f>
        <v>37.415360886456483</v>
      </c>
      <c r="T37" s="2" cm="1">
        <f t="array" ref="T37">VEGAGREEK($B37,100,0.01,T$23,0.2)</f>
        <v>39.24703271924021</v>
      </c>
      <c r="U37" s="2" cm="1">
        <f t="array" ref="U37">VEGAGREEK($B37,100,0.01,U$23,0.2)</f>
        <v>41.016878989808532</v>
      </c>
      <c r="V37" s="2" cm="1">
        <f t="array" ref="V37">VEGAGREEK($B37,100,0.01,V$23,0.2)</f>
        <v>42.729288686192156</v>
      </c>
      <c r="W37" s="2" cm="1">
        <f t="array" ref="W37">VEGAGREEK($B37,100,0.01,W$23,0.2)</f>
        <v>44.3882166466584</v>
      </c>
      <c r="X37" s="2" cm="1">
        <f t="array" ref="X37">VEGAGREEK($B37,100,0.01,X$23,0.2)</f>
        <v>45.997230827047666</v>
      </c>
      <c r="Y37" s="2" cm="1">
        <f t="array" ref="Y37">VEGAGREEK($B37,100,0.01,Y$23,0.2)</f>
        <v>47.559555697113645</v>
      </c>
      <c r="Z37" s="2" cm="1">
        <f t="array" ref="Z37">VEGAGREEK($B37,100,0.01,Z$23,0.2)</f>
        <v>49.078111243810525</v>
      </c>
      <c r="AA37" s="2" cm="1">
        <f t="array" ref="AA37">VEGAGREEK($B37,100,0.01,AA$23,0.2)</f>
        <v>50.55554759147536</v>
      </c>
      <c r="AB37" s="2" cm="1">
        <f t="array" ref="AB37">VEGAGREEK($B37,100,0.01,AB$23,0.2)</f>
        <v>51.994275508139715</v>
      </c>
      <c r="AC37" s="2" cm="1">
        <f t="array" ref="AC37">VEGAGREEK($B37,100,0.01,AC$23,0.2)</f>
        <v>53.396493177816005</v>
      </c>
      <c r="AD37" s="2" cm="1">
        <f t="array" ref="AD37">VEGAGREEK($B37,100,0.01,AD$23,0.2)</f>
        <v>54.764209649568421</v>
      </c>
      <c r="AE37" s="2" cm="1">
        <f t="array" ref="AE37">VEGAGREEK($B37,100,0.01,AE$23,0.2)</f>
        <v>56.099265364025946</v>
      </c>
      <c r="AF37" s="2" cm="1">
        <f t="array" ref="AF37">VEGAGREEK($B37,100,0.01,AF$23,0.2)</f>
        <v>57.403350128173734</v>
      </c>
      <c r="AG37" s="2" cm="1">
        <f t="array" ref="AG37">VEGAGREEK($B37,100,0.01,AG$23,0.2)</f>
        <v>58.6780188715707</v>
      </c>
      <c r="AH37" s="2" cm="1">
        <f t="array" ref="AH37">VEGAGREEK($B37,100,0.01,AH$23,0.2)</f>
        <v>59.924705477925464</v>
      </c>
      <c r="AI37" s="2" cm="1">
        <f t="array" ref="AI37">VEGAGREEK($B37,100,0.01,AI$23,0.2)</f>
        <v>61.1447349484624</v>
      </c>
      <c r="AJ37" s="2" cm="1">
        <f t="array" ref="AJ37">VEGAGREEK($B37,100,0.01,AJ$23,0.2)</f>
        <v>62.339334119232852</v>
      </c>
      <c r="AK37" s="2" cm="1">
        <f t="array" ref="AK37">VEGAGREEK($B37,100,0.01,AK$23,0.2)</f>
        <v>63.509641124017818</v>
      </c>
      <c r="AL37" s="2" cm="1">
        <f t="array" ref="AL37">VEGAGREEK($B37,100,0.01,AL$23,0.2)</f>
        <v>64.656713767760124</v>
      </c>
      <c r="AM37" s="2" cm="1">
        <f t="array" ref="AM37">VEGAGREEK($B37,100,0.01,AM$23,0.2)</f>
        <v>65.781536952326448</v>
      </c>
      <c r="AN37" s="2" cm="1">
        <f t="array" ref="AN37">VEGAGREEK($B37,100,0.01,AN$23,0.2)</f>
        <v>66.885029276491125</v>
      </c>
      <c r="AO37" s="2" cm="1">
        <f t="array" ref="AO37">VEGAGREEK($B37,100,0.01,AO$23,0.2)</f>
        <v>67.968048914973537</v>
      </c>
      <c r="AP37" s="2" cm="1">
        <f t="array" ref="AP37">VEGAGREEK($B37,100,0.01,AP$23,0.2)</f>
        <v>69.031398866778318</v>
      </c>
      <c r="AQ37" s="2" cm="1">
        <f t="array" ref="AQ37">VEGAGREEK($B37,100,0.01,AQ$23,0.2)</f>
        <v>70.07583165063663</v>
      </c>
      <c r="AR37" s="2" cm="1">
        <f t="array" ref="AR37">VEGAGREEK($B37,100,0.01,AR$23,0.2)</f>
        <v>71.102053514719941</v>
      </c>
      <c r="AS37" s="2" cm="1">
        <f t="array" ref="AS37">VEGAGREEK($B37,100,0.01,AS$23,0.2)</f>
        <v>72.110728218723693</v>
      </c>
      <c r="AT37" s="2" cm="1">
        <f t="array" ref="AT37">VEGAGREEK($B37,100,0.01,AT$23,0.2)</f>
        <v>73.102480438665708</v>
      </c>
      <c r="AU37" s="2" cm="1">
        <f t="array" ref="AU37">VEGAGREEK($B37,100,0.01,AU$23,0.2)</f>
        <v>74.077898838109519</v>
      </c>
      <c r="AV37" s="2" cm="1">
        <f t="array" ref="AV37">VEGAGREEK($B37,100,0.01,AV$23,0.2)</f>
        <v>75.037538843842228</v>
      </c>
      <c r="AW37" s="2" cm="1">
        <f t="array" ref="AW37">VEGAGREEK($B37,100,0.01,AW$23,0.2)</f>
        <v>75.981925159158067</v>
      </c>
      <c r="AX37" s="2" cm="1">
        <f t="array" ref="AX37">VEGAGREEK($B37,100,0.01,AX$23,0.2)</f>
        <v>76.911554043709444</v>
      </c>
      <c r="AY37" s="2" cm="1">
        <f t="array" ref="AY37">VEGAGREEK($B37,100,0.01,AY$23,0.2)</f>
        <v>77.826895385275989</v>
      </c>
      <c r="AZ37" s="2" cm="1">
        <f t="array" ref="AZ37">VEGAGREEK($B37,100,0.01,AZ$23,0.2)</f>
        <v>78.728394585688889</v>
      </c>
    </row>
    <row r="38" spans="1:52" x14ac:dyDescent="0.3">
      <c r="A38" s="2"/>
      <c r="B38" s="2">
        <v>130</v>
      </c>
      <c r="C38" s="2" cm="1">
        <f t="array" ref="C38">VEGAGREEK($B38,100,0.01,C$23,0.2)</f>
        <v>2.466461525361167E-3</v>
      </c>
      <c r="D38" s="2" cm="1">
        <f t="array" ref="D38">VEGAGREEK($B38,100,0.01,D$23,0.2)</f>
        <v>0.25734589818730608</v>
      </c>
      <c r="E38" s="2" cm="1">
        <f t="array" ref="E38">VEGAGREEK($B38,100,0.01,E$23,0.2)</f>
        <v>1.3209299733984305</v>
      </c>
      <c r="F38" s="2" cm="1">
        <f t="array" ref="F38">VEGAGREEK($B38,100,0.01,F$23,0.2)</f>
        <v>3.1207812645797253</v>
      </c>
      <c r="G38" s="2" cm="1">
        <f t="array" ref="G38">VEGAGREEK($B38,100,0.01,G$23,0.2)</f>
        <v>5.3588475727461455</v>
      </c>
      <c r="H38" s="2" cm="1">
        <f t="array" ref="H38">VEGAGREEK($B38,100,0.01,H$23,0.2)</f>
        <v>7.8115019427058465</v>
      </c>
      <c r="I38" s="2" cm="1">
        <f t="array" ref="I38">VEGAGREEK($B38,100,0.01,I$23,0.2)</f>
        <v>10.34407289521341</v>
      </c>
      <c r="J38" s="2" cm="1">
        <f t="array" ref="J38">VEGAGREEK($B38,100,0.01,J$23,0.2)</f>
        <v>12.880363658795959</v>
      </c>
      <c r="K38" s="2" cm="1">
        <f t="array" ref="K38">VEGAGREEK($B38,100,0.01,K$23,0.2)</f>
        <v>15.378580943041788</v>
      </c>
      <c r="L38" s="2" cm="1">
        <f t="array" ref="L38">VEGAGREEK($B38,100,0.01,L$23,0.2)</f>
        <v>17.816680549913194</v>
      </c>
      <c r="M38" s="2" cm="1">
        <f t="array" ref="M38">VEGAGREEK($B38,100,0.01,M$23,0.2)</f>
        <v>20.183931490858175</v>
      </c>
      <c r="N38" s="2" cm="1">
        <f t="array" ref="N38">VEGAGREEK($B38,100,0.01,N$23,0.2)</f>
        <v>22.476092114088743</v>
      </c>
      <c r="O38" s="2" cm="1">
        <f t="array" ref="O38">VEGAGREEK($B38,100,0.01,O$23,0.2)</f>
        <v>24.692629078756443</v>
      </c>
      <c r="P38" s="2" cm="1">
        <f t="array" ref="P38">VEGAGREEK($B38,100,0.01,P$23,0.2)</f>
        <v>26.835095328542575</v>
      </c>
      <c r="Q38" s="2" cm="1">
        <f t="array" ref="Q38">VEGAGREEK($B38,100,0.01,Q$23,0.2)</f>
        <v>28.90617419813999</v>
      </c>
      <c r="R38" s="2" cm="1">
        <f t="array" ref="R38">VEGAGREEK($B38,100,0.01,R$23,0.2)</f>
        <v>30.90911237292207</v>
      </c>
      <c r="S38" s="2" cm="1">
        <f t="array" ref="S38">VEGAGREEK($B38,100,0.01,S$23,0.2)</f>
        <v>32.847383278668474</v>
      </c>
      <c r="T38" s="2" cm="1">
        <f t="array" ref="T38">VEGAGREEK($B38,100,0.01,T$23,0.2)</f>
        <v>34.724488813374215</v>
      </c>
      <c r="U38" s="2" cm="1">
        <f t="array" ref="U38">VEGAGREEK($B38,100,0.01,U$23,0.2)</f>
        <v>36.543844981469341</v>
      </c>
      <c r="V38" s="2" cm="1">
        <f t="array" ref="V38">VEGAGREEK($B38,100,0.01,V$23,0.2)</f>
        <v>38.30871874473663</v>
      </c>
      <c r="W38" s="2" cm="1">
        <f t="array" ref="W38">VEGAGREEK($B38,100,0.01,W$23,0.2)</f>
        <v>40.022196197018879</v>
      </c>
      <c r="X38" s="2" cm="1">
        <f t="array" ref="X38">VEGAGREEK($B38,100,0.01,X$23,0.2)</f>
        <v>41.687169817830373</v>
      </c>
      <c r="Y38" s="2" cm="1">
        <f t="array" ref="Y38">VEGAGREEK($B38,100,0.01,Y$23,0.2)</f>
        <v>43.306337201388416</v>
      </c>
      <c r="Z38" s="2" cm="1">
        <f t="array" ref="Z38">VEGAGREEK($B38,100,0.01,Z$23,0.2)</f>
        <v>44.882206512140556</v>
      </c>
      <c r="AA38" s="2" cm="1">
        <f t="array" ref="AA38">VEGAGREEK($B38,100,0.01,AA$23,0.2)</f>
        <v>46.417105693833555</v>
      </c>
      <c r="AB38" s="2" cm="1">
        <f t="array" ref="AB38">VEGAGREEK($B38,100,0.01,AB$23,0.2)</f>
        <v>47.913193574750842</v>
      </c>
      <c r="AC38" s="2" cm="1">
        <f t="array" ref="AC38">VEGAGREEK($B38,100,0.01,AC$23,0.2)</f>
        <v>49.372471717784528</v>
      </c>
      <c r="AD38" s="2" cm="1">
        <f t="array" ref="AD38">VEGAGREEK($B38,100,0.01,AD$23,0.2)</f>
        <v>50.796796313179669</v>
      </c>
      <c r="AE38" s="2" cm="1">
        <f t="array" ref="AE38">VEGAGREEK($B38,100,0.01,AE$23,0.2)</f>
        <v>52.187889698261245</v>
      </c>
      <c r="AF38" s="2" cm="1">
        <f t="array" ref="AF38">VEGAGREEK($B38,100,0.01,AF$23,0.2)</f>
        <v>53.547351271025079</v>
      </c>
      <c r="AG38" s="2" cm="1">
        <f t="array" ref="AG38">VEGAGREEK($B38,100,0.01,AG$23,0.2)</f>
        <v>54.876667680254116</v>
      </c>
      <c r="AH38" s="2" cm="1">
        <f t="array" ref="AH38">VEGAGREEK($B38,100,0.01,AH$23,0.2)</f>
        <v>56.177222247466034</v>
      </c>
      <c r="AI38" s="2" cm="1">
        <f t="array" ref="AI38">VEGAGREEK($B38,100,0.01,AI$23,0.2)</f>
        <v>57.450303620712553</v>
      </c>
      <c r="AJ38" s="2" cm="1">
        <f t="array" ref="AJ38">VEGAGREEK($B38,100,0.01,AJ$23,0.2)</f>
        <v>58.697113686876719</v>
      </c>
      <c r="AK38" s="2" cm="1">
        <f t="array" ref="AK38">VEGAGREEK($B38,100,0.01,AK$23,0.2)</f>
        <v>59.918774784064588</v>
      </c>
      <c r="AL38" s="2" cm="1">
        <f t="array" ref="AL38">VEGAGREEK($B38,100,0.01,AL$23,0.2)</f>
        <v>61.116336263151581</v>
      </c>
      <c r="AM38" s="2" cm="1">
        <f t="array" ref="AM38">VEGAGREEK($B38,100,0.01,AM$23,0.2)</f>
        <v>62.29078045027093</v>
      </c>
      <c r="AN38" s="2" cm="1">
        <f t="array" ref="AN38">VEGAGREEK($B38,100,0.01,AN$23,0.2)</f>
        <v>63.443028061826446</v>
      </c>
      <c r="AO38" s="2" cm="1">
        <f t="array" ref="AO38">VEGAGREEK($B38,100,0.01,AO$23,0.2)</f>
        <v>64.573943121653656</v>
      </c>
      <c r="AP38" s="2" cm="1">
        <f t="array" ref="AP38">VEGAGREEK($B38,100,0.01,AP$23,0.2)</f>
        <v>65.684337427013233</v>
      </c>
      <c r="AQ38" s="2" cm="1">
        <f t="array" ref="AQ38">VEGAGREEK($B38,100,0.01,AQ$23,0.2)</f>
        <v>66.774974606676494</v>
      </c>
      <c r="AR38" s="2" cm="1">
        <f t="array" ref="AR38">VEGAGREEK($B38,100,0.01,AR$23,0.2)</f>
        <v>67.846573810770479</v>
      </c>
      <c r="AS38" s="2" cm="1">
        <f t="array" ref="AS38">VEGAGREEK($B38,100,0.01,AS$23,0.2)</f>
        <v>68.899813068485301</v>
      </c>
      <c r="AT38" s="2" cm="1">
        <f t="array" ref="AT38">VEGAGREEK($B38,100,0.01,AT$23,0.2)</f>
        <v>69.935332346331975</v>
      </c>
      <c r="AU38" s="2" cm="1">
        <f t="array" ref="AU38">VEGAGREEK($B38,100,0.01,AU$23,0.2)</f>
        <v>70.953736336431177</v>
      </c>
      <c r="AV38" s="2" cm="1">
        <f t="array" ref="AV38">VEGAGREEK($B38,100,0.01,AV$23,0.2)</f>
        <v>71.955597001356821</v>
      </c>
      <c r="AW38" s="2" cm="1">
        <f t="array" ref="AW38">VEGAGREEK($B38,100,0.01,AW$23,0.2)</f>
        <v>72.941455899349208</v>
      </c>
      <c r="AX38" s="2" cm="1">
        <f t="array" ref="AX38">VEGAGREEK($B38,100,0.01,AX$23,0.2)</f>
        <v>73.91182631126172</v>
      </c>
      <c r="AY38" s="2" cm="1">
        <f t="array" ref="AY38">VEGAGREEK($B38,100,0.01,AY$23,0.2)</f>
        <v>74.867195188389132</v>
      </c>
      <c r="AZ38" s="2" cm="1">
        <f t="array" ref="AZ38">VEGAGREEK($B38,100,0.01,AZ$23,0.2)</f>
        <v>75.808024938338065</v>
      </c>
    </row>
    <row r="39" spans="1:52" x14ac:dyDescent="0.3">
      <c r="A39" s="2"/>
      <c r="B39" s="2">
        <v>135</v>
      </c>
      <c r="C39" s="2" cm="1">
        <f t="array" ref="C39">VEGAGREEK($B39,100,0.01,C$23,0.2)</f>
        <v>1.753010902314504E-4</v>
      </c>
      <c r="D39" s="2" cm="1">
        <f t="array" ref="D39">VEGAGREEK($B39,100,0.01,D$23,0.2)</f>
        <v>6.8932049054116401E-2</v>
      </c>
      <c r="E39" s="2" cm="1">
        <f t="array" ref="E39">VEGAGREEK($B39,100,0.01,E$23,0.2)</f>
        <v>0.55061531676659159</v>
      </c>
      <c r="F39" s="2" cm="1">
        <f t="array" ref="F39">VEGAGREEK($B39,100,0.01,F$23,0.2)</f>
        <v>1.6227966445448343</v>
      </c>
      <c r="G39" s="2" cm="1">
        <f t="array" ref="G39">VEGAGREEK($B39,100,0.01,G$23,0.2)</f>
        <v>3.1819367439192572</v>
      </c>
      <c r="H39" s="2" cm="1">
        <f t="array" ref="H39">VEGAGREEK($B39,100,0.01,H$23,0.2)</f>
        <v>5.0671947233936754</v>
      </c>
      <c r="I39" s="2" cm="1">
        <f t="array" ref="I39">VEGAGREEK($B39,100,0.01,I$23,0.2)</f>
        <v>7.1476357882319839</v>
      </c>
      <c r="J39" s="2" cm="1">
        <f t="array" ref="J39">VEGAGREEK($B39,100,0.01,J$23,0.2)</f>
        <v>9.3320554875542943</v>
      </c>
      <c r="K39" s="2" cm="1">
        <f t="array" ref="K39">VEGAGREEK($B39,100,0.01,K$23,0.2)</f>
        <v>11.560345928134989</v>
      </c>
      <c r="L39" s="2" cm="1">
        <f t="array" ref="L39">VEGAGREEK($B39,100,0.01,L$23,0.2)</f>
        <v>13.793855243276576</v>
      </c>
      <c r="M39" s="2" cm="1">
        <f t="array" ref="M39">VEGAGREEK($B39,100,0.01,M$23,0.2)</f>
        <v>16.008140328869402</v>
      </c>
      <c r="N39" s="2" cm="1">
        <f t="array" ref="N39">VEGAGREEK($B39,100,0.01,N$23,0.2)</f>
        <v>18.188049590770667</v>
      </c>
      <c r="O39" s="2" cm="1">
        <f t="array" ref="O39">VEGAGREEK($B39,100,0.01,O$23,0.2)</f>
        <v>20.324494709306865</v>
      </c>
      <c r="P39" s="2" cm="1">
        <f t="array" ref="P39">VEGAGREEK($B39,100,0.01,P$23,0.2)</f>
        <v>22.412348432190452</v>
      </c>
      <c r="Q39" s="2" cm="1">
        <f t="array" ref="Q39">VEGAGREEK($B39,100,0.01,Q$23,0.2)</f>
        <v>24.449073010843861</v>
      </c>
      <c r="R39" s="2" cm="1">
        <f t="array" ref="R39">VEGAGREEK($B39,100,0.01,R$23,0.2)</f>
        <v>26.433820053981218</v>
      </c>
      <c r="S39" s="2" cm="1">
        <f t="array" ref="S39">VEGAGREEK($B39,100,0.01,S$23,0.2)</f>
        <v>28.36683561661167</v>
      </c>
      <c r="T39" s="2" cm="1">
        <f t="array" ref="T39">VEGAGREEK($B39,100,0.01,T$23,0.2)</f>
        <v>30.249064412959363</v>
      </c>
      <c r="U39" s="2" cm="1">
        <f t="array" ref="U39">VEGAGREEK($B39,100,0.01,U$23,0.2)</f>
        <v>32.081885105682971</v>
      </c>
      <c r="V39" s="2" cm="1">
        <f t="array" ref="V39">VEGAGREEK($B39,100,0.01,V$23,0.2)</f>
        <v>33.866932678137182</v>
      </c>
      <c r="W39" s="2" cm="1">
        <f t="array" ref="W39">VEGAGREEK($B39,100,0.01,W$23,0.2)</f>
        <v>35.605979169844161</v>
      </c>
      <c r="X39" s="2" cm="1">
        <f t="array" ref="X39">VEGAGREEK($B39,100,0.01,X$23,0.2)</f>
        <v>37.300853834240748</v>
      </c>
      <c r="Y39" s="2" cm="1">
        <f t="array" ref="Y39">VEGAGREEK($B39,100,0.01,Y$23,0.2)</f>
        <v>38.953390101254008</v>
      </c>
      <c r="Z39" s="2" cm="1">
        <f t="array" ref="Z39">VEGAGREEK($B39,100,0.01,Z$23,0.2)</f>
        <v>40.565390859516484</v>
      </c>
      <c r="AA39" s="2" cm="1">
        <f t="array" ref="AA39">VEGAGREEK($B39,100,0.01,AA$23,0.2)</f>
        <v>42.138606301885602</v>
      </c>
      <c r="AB39" s="2" cm="1">
        <f t="array" ref="AB39">VEGAGREEK($B39,100,0.01,AB$23,0.2)</f>
        <v>43.674720398427667</v>
      </c>
      <c r="AC39" s="2" cm="1">
        <f t="array" ref="AC39">VEGAGREEK($B39,100,0.01,AC$23,0.2)</f>
        <v>45.175343287290623</v>
      </c>
      <c r="AD39" s="2" cm="1">
        <f t="array" ref="AD39">VEGAGREEK($B39,100,0.01,AD$23,0.2)</f>
        <v>46.642007707350174</v>
      </c>
      <c r="AE39" s="2" cm="1">
        <f t="array" ref="AE39">VEGAGREEK($B39,100,0.01,AE$23,0.2)</f>
        <v>48.076168167697915</v>
      </c>
      <c r="AF39" s="2" cm="1">
        <f t="array" ref="AF39">VEGAGREEK($B39,100,0.01,AF$23,0.2)</f>
        <v>49.479201943433772</v>
      </c>
      <c r="AG39" s="2" cm="1">
        <f t="array" ref="AG39">VEGAGREEK($B39,100,0.01,AG$23,0.2)</f>
        <v>50.852411261374968</v>
      </c>
      <c r="AH39" s="2" cm="1">
        <f t="array" ref="AH39">VEGAGREEK($B39,100,0.01,AH$23,0.2)</f>
        <v>52.197026230979326</v>
      </c>
      <c r="AI39" s="2" cm="1">
        <f t="array" ref="AI39">VEGAGREEK($B39,100,0.01,AI$23,0.2)</f>
        <v>53.514208210471146</v>
      </c>
      <c r="AJ39" s="2" cm="1">
        <f t="array" ref="AJ39">VEGAGREEK($B39,100,0.01,AJ$23,0.2)</f>
        <v>54.805053393177936</v>
      </c>
      <c r="AK39" s="2" cm="1">
        <f t="array" ref="AK39">VEGAGREEK($B39,100,0.01,AK$23,0.2)</f>
        <v>56.070596466317895</v>
      </c>
      <c r="AL39" s="2" cm="1">
        <f t="array" ref="AL39">VEGAGREEK($B39,100,0.01,AL$23,0.2)</f>
        <v>57.311814242129543</v>
      </c>
      <c r="AM39" s="2" cm="1">
        <f t="array" ref="AM39">VEGAGREEK($B39,100,0.01,AM$23,0.2)</f>
        <v>58.529629195024206</v>
      </c>
      <c r="AN39" s="2" cm="1">
        <f t="array" ref="AN39">VEGAGREEK($B39,100,0.01,AN$23,0.2)</f>
        <v>59.724912862370608</v>
      </c>
      <c r="AO39" s="2" cm="1">
        <f t="array" ref="AO39">VEGAGREEK($B39,100,0.01,AO$23,0.2)</f>
        <v>60.898489083414468</v>
      </c>
      <c r="AP39" s="2" cm="1">
        <f t="array" ref="AP39">VEGAGREEK($B39,100,0.01,AP$23,0.2)</f>
        <v>62.051137062691957</v>
      </c>
      <c r="AQ39" s="2" cm="1">
        <f t="array" ref="AQ39">VEGAGREEK($B39,100,0.01,AQ$23,0.2)</f>
        <v>63.183594252544523</v>
      </c>
      <c r="AR39" s="2" cm="1">
        <f t="array" ref="AR39">VEGAGREEK($B39,100,0.01,AR$23,0.2)</f>
        <v>64.29655905499844</v>
      </c>
      <c r="AS39" s="2" cm="1">
        <f t="array" ref="AS39">VEGAGREEK($B39,100,0.01,AS$23,0.2)</f>
        <v>65.390693347072656</v>
      </c>
      <c r="AT39" s="2" cm="1">
        <f t="array" ref="AT39">VEGAGREEK($B39,100,0.01,AT$23,0.2)</f>
        <v>66.466624836049775</v>
      </c>
      <c r="AU39" s="2" cm="1">
        <f t="array" ref="AU39">VEGAGREEK($B39,100,0.01,AU$23,0.2)</f>
        <v>67.524949252764927</v>
      </c>
      <c r="AV39" s="2" cm="1">
        <f t="array" ref="AV39">VEGAGREEK($B39,100,0.01,AV$23,0.2)</f>
        <v>68.566232391820677</v>
      </c>
      <c r="AW39" s="2" cm="1">
        <f t="array" ref="AW39">VEGAGREEK($B39,100,0.01,AW$23,0.2)</f>
        <v>69.591012008011148</v>
      </c>
      <c r="AX39" s="2" cm="1">
        <f t="array" ref="AX39">VEGAGREEK($B39,100,0.01,AX$23,0.2)</f>
        <v>70.599799578292362</v>
      </c>
      <c r="AY39" s="2" cm="1">
        <f t="array" ref="AY39">VEGAGREEK($B39,100,0.01,AY$23,0.2)</f>
        <v>71.593081938462191</v>
      </c>
      <c r="AZ39" s="2" cm="1">
        <f t="array" ref="AZ39">VEGAGREEK($B39,100,0.01,AZ$23,0.2)</f>
        <v>72.571322803396555</v>
      </c>
    </row>
    <row r="40" spans="1:52" x14ac:dyDescent="0.3">
      <c r="A40" s="2"/>
      <c r="B40" s="2">
        <v>140</v>
      </c>
      <c r="C40" s="2" cm="1">
        <f t="array" ref="C40">VEGAGREEK($B40,100,0.01,C$23,0.2)</f>
        <v>9.7937749170318685E-6</v>
      </c>
      <c r="D40" s="2" cm="1">
        <f t="array" ref="D40">VEGAGREEK($B40,100,0.01,D$23,0.2)</f>
        <v>1.6367344465552196E-2</v>
      </c>
      <c r="E40" s="2" cm="1">
        <f t="array" ref="E40">VEGAGREEK($B40,100,0.01,E$23,0.2)</f>
        <v>0.21177230646577411</v>
      </c>
      <c r="F40" s="2" cm="1">
        <f t="array" ref="F40">VEGAGREEK($B40,100,0.01,F$23,0.2)</f>
        <v>0.79435914841497812</v>
      </c>
      <c r="G40" s="2" cm="1">
        <f t="array" ref="G40">VEGAGREEK($B40,100,0.01,G$23,0.2)</f>
        <v>1.8000455519786431</v>
      </c>
      <c r="H40" s="2" cm="1">
        <f t="array" ref="H40">VEGAGREEK($B40,100,0.01,H$23,0.2)</f>
        <v>3.1568381504252208</v>
      </c>
      <c r="I40" s="2" cm="1">
        <f t="array" ref="I40">VEGAGREEK($B40,100,0.01,I$23,0.2)</f>
        <v>4.7705729750376964</v>
      </c>
      <c r="J40" s="2" cm="1">
        <f t="array" ref="J40">VEGAGREEK($B40,100,0.01,J$23,0.2)</f>
        <v>6.5588544899120951</v>
      </c>
      <c r="K40" s="2" cm="1">
        <f t="array" ref="K40">VEGAGREEK($B40,100,0.01,K$23,0.2)</f>
        <v>8.4581782621465393</v>
      </c>
      <c r="L40" s="2" cm="1">
        <f t="array" ref="L40">VEGAGREEK($B40,100,0.01,L$23,0.2)</f>
        <v>10.422116521119738</v>
      </c>
      <c r="M40" s="2" cm="1">
        <f t="array" ref="M40">VEGAGREEK($B40,100,0.01,M$23,0.2)</f>
        <v>12.417565045458458</v>
      </c>
      <c r="N40" s="2" cm="1">
        <f t="array" ref="N40">VEGAGREEK($B40,100,0.01,N$23,0.2)</f>
        <v>14.421245640944534</v>
      </c>
      <c r="O40" s="2" cm="1">
        <f t="array" ref="O40">VEGAGREEK($B40,100,0.01,O$23,0.2)</f>
        <v>16.416958628038874</v>
      </c>
      <c r="P40" s="2" cm="1">
        <f t="array" ref="P40">VEGAGREEK($B40,100,0.01,P$23,0.2)</f>
        <v>18.393556616204599</v>
      </c>
      <c r="Q40" s="2" cm="1">
        <f t="array" ref="Q40">VEGAGREEK($B40,100,0.01,Q$23,0.2)</f>
        <v>20.343488444324425</v>
      </c>
      <c r="R40" s="2" cm="1">
        <f t="array" ref="R40">VEGAGREEK($B40,100,0.01,R$23,0.2)</f>
        <v>22.261762977384244</v>
      </c>
      <c r="S40" s="2" cm="1">
        <f t="array" ref="S40">VEGAGREEK($B40,100,0.01,S$23,0.2)</f>
        <v>24.145213125081817</v>
      </c>
      <c r="T40" s="2" cm="1">
        <f t="array" ref="T40">VEGAGREEK($B40,100,0.01,T$23,0.2)</f>
        <v>25.99197209659723</v>
      </c>
      <c r="U40" s="2" cm="1">
        <f t="array" ref="U40">VEGAGREEK($B40,100,0.01,U$23,0.2)</f>
        <v>27.801099292447692</v>
      </c>
      <c r="V40" s="2" cm="1">
        <f t="array" ref="V40">VEGAGREEK($B40,100,0.01,V$23,0.2)</f>
        <v>29.572311895113678</v>
      </c>
      <c r="W40" s="2" cm="1">
        <f t="array" ref="W40">VEGAGREEK($B40,100,0.01,W$23,0.2)</f>
        <v>31.305791437848995</v>
      </c>
      <c r="X40" s="2" cm="1">
        <f t="array" ref="X40">VEGAGREEK($B40,100,0.01,X$23,0.2)</f>
        <v>33.002043846719118</v>
      </c>
      <c r="Y40" s="2" cm="1">
        <f t="array" ref="Y40">VEGAGREEK($B40,100,0.01,Y$23,0.2)</f>
        <v>34.661797842173847</v>
      </c>
      <c r="Z40" s="2" cm="1">
        <f t="array" ref="Z40">VEGAGREEK($B40,100,0.01,Z$23,0.2)</f>
        <v>36.285931020250494</v>
      </c>
      <c r="AA40" s="2" cm="1">
        <f t="array" ref="AA40">VEGAGREEK($B40,100,0.01,AA$23,0.2)</f>
        <v>37.875416019840181</v>
      </c>
      <c r="AB40" s="2" cm="1">
        <f t="array" ref="AB40">VEGAGREEK($B40,100,0.01,AB$23,0.2)</f>
        <v>39.431281341928958</v>
      </c>
      <c r="AC40" s="2" cm="1">
        <f t="array" ref="AC40">VEGAGREEK($B40,100,0.01,AC$23,0.2)</f>
        <v>40.95458290692337</v>
      </c>
      <c r="AD40" s="2" cm="1">
        <f t="array" ref="AD40">VEGAGREEK($B40,100,0.01,AD$23,0.2)</f>
        <v>42.44638351336944</v>
      </c>
      <c r="AE40" s="2" cm="1">
        <f t="array" ref="AE40">VEGAGREEK($B40,100,0.01,AE$23,0.2)</f>
        <v>43.907738129798695</v>
      </c>
      <c r="AF40" s="2" cm="1">
        <f t="array" ref="AF40">VEGAGREEK($B40,100,0.01,AF$23,0.2)</f>
        <v>45.339683503257277</v>
      </c>
      <c r="AG40" s="2" cm="1">
        <f t="array" ref="AG40">VEGAGREEK($B40,100,0.01,AG$23,0.2)</f>
        <v>46.743230966930106</v>
      </c>
      <c r="AH40" s="2" cm="1">
        <f t="array" ref="AH40">VEGAGREEK($B40,100,0.01,AH$23,0.2)</f>
        <v>48.119361619371112</v>
      </c>
      <c r="AI40" s="2" cm="1">
        <f t="array" ref="AI40">VEGAGREEK($B40,100,0.01,AI$23,0.2)</f>
        <v>49.469023260104109</v>
      </c>
      <c r="AJ40" s="2" cm="1">
        <f t="array" ref="AJ40">VEGAGREEK($B40,100,0.01,AJ$23,0.2)</f>
        <v>50.793128622528876</v>
      </c>
      <c r="AK40" s="2" cm="1">
        <f t="array" ref="AK40">VEGAGREEK($B40,100,0.01,AK$23,0.2)</f>
        <v>52.092554560576538</v>
      </c>
      <c r="AL40" s="2" cm="1">
        <f t="array" ref="AL40">VEGAGREEK($B40,100,0.01,AL$23,0.2)</f>
        <v>53.368141931408168</v>
      </c>
      <c r="AM40" s="2" cm="1">
        <f t="array" ref="AM40">VEGAGREEK($B40,100,0.01,AM$23,0.2)</f>
        <v>54.620695980541889</v>
      </c>
      <c r="AN40" s="2" cm="1">
        <f t="array" ref="AN40">VEGAGREEK($B40,100,0.01,AN$23,0.2)</f>
        <v>55.850987083835541</v>
      </c>
      <c r="AO40" s="2" cm="1">
        <f t="array" ref="AO40">VEGAGREEK($B40,100,0.01,AO$23,0.2)</f>
        <v>57.059751736891819</v>
      </c>
      <c r="AP40" s="2" cm="1">
        <f t="array" ref="AP40">VEGAGREEK($B40,100,0.01,AP$23,0.2)</f>
        <v>58.247693709726128</v>
      </c>
      <c r="AQ40" s="2" cm="1">
        <f t="array" ref="AQ40">VEGAGREEK($B40,100,0.01,AQ$23,0.2)</f>
        <v>59.41548530517462</v>
      </c>
      <c r="AR40" s="2" cm="1">
        <f t="array" ref="AR40">VEGAGREEK($B40,100,0.01,AR$23,0.2)</f>
        <v>60.563768675168973</v>
      </c>
      <c r="AS40" s="2" cm="1">
        <f t="array" ref="AS40">VEGAGREEK($B40,100,0.01,AS$23,0.2)</f>
        <v>61.693157160889612</v>
      </c>
      <c r="AT40" s="2" cm="1">
        <f t="array" ref="AT40">VEGAGREEK($B40,100,0.01,AT$23,0.2)</f>
        <v>62.804236631847168</v>
      </c>
      <c r="AU40" s="2" cm="1">
        <f t="array" ref="AU40">VEGAGREEK($B40,100,0.01,AU$23,0.2)</f>
        <v>63.89756680581182</v>
      </c>
      <c r="AV40" s="2" cm="1">
        <f t="array" ref="AV40">VEGAGREEK($B40,100,0.01,AV$23,0.2)</f>
        <v>64.973682536737357</v>
      </c>
      <c r="AW40" s="2" cm="1">
        <f t="array" ref="AW40">VEGAGREEK($B40,100,0.01,AW$23,0.2)</f>
        <v>66.03309506178843</v>
      </c>
      <c r="AX40" s="2" cm="1">
        <f t="array" ref="AX40">VEGAGREEK($B40,100,0.01,AX$23,0.2)</f>
        <v>67.076293201585344</v>
      </c>
      <c r="AY40" s="2" cm="1">
        <f t="array" ref="AY40">VEGAGREEK($B40,100,0.01,AY$23,0.2)</f>
        <v>68.103744510043043</v>
      </c>
      <c r="AZ40" s="2" cm="1">
        <f t="array" ref="AZ40">VEGAGREEK($B40,100,0.01,AZ$23,0.2)</f>
        <v>69.115896371880396</v>
      </c>
    </row>
    <row r="41" spans="1:52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</row>
    <row r="42" spans="1:52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</row>
    <row r="43" spans="1:52" x14ac:dyDescent="0.3">
      <c r="A43" s="2" t="s">
        <v>15</v>
      </c>
      <c r="B43" s="2"/>
      <c r="C43" s="2" t="s">
        <v>12</v>
      </c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</row>
    <row r="44" spans="1:52" x14ac:dyDescent="0.3">
      <c r="A44" s="2"/>
      <c r="B44" s="2"/>
      <c r="C44" s="2">
        <v>0.1</v>
      </c>
      <c r="D44" s="2">
        <v>0.2</v>
      </c>
      <c r="E44" s="2">
        <v>0.3</v>
      </c>
      <c r="F44" s="2">
        <v>0.4</v>
      </c>
      <c r="G44" s="2">
        <v>0.5</v>
      </c>
      <c r="H44" s="2">
        <v>0.6</v>
      </c>
      <c r="I44" s="2">
        <v>0.7</v>
      </c>
      <c r="J44" s="2">
        <v>0.8</v>
      </c>
      <c r="K44" s="2">
        <v>0.9</v>
      </c>
      <c r="L44" s="2">
        <v>1</v>
      </c>
      <c r="M44" s="2">
        <v>1.1000000000000001</v>
      </c>
      <c r="N44" s="2">
        <v>1.2</v>
      </c>
      <c r="O44" s="2">
        <v>1.3</v>
      </c>
      <c r="P44" s="2">
        <v>1.4</v>
      </c>
      <c r="Q44" s="2">
        <v>1.5</v>
      </c>
      <c r="R44" s="2">
        <v>1.6</v>
      </c>
      <c r="S44" s="2">
        <v>1.7</v>
      </c>
      <c r="T44" s="2">
        <v>1.8</v>
      </c>
      <c r="U44" s="2">
        <v>1.9</v>
      </c>
      <c r="V44" s="2">
        <v>2</v>
      </c>
      <c r="W44" s="2">
        <v>2.1</v>
      </c>
      <c r="X44" s="2">
        <v>2.2000000000000002</v>
      </c>
      <c r="Y44" s="2">
        <v>2.2999999999999998</v>
      </c>
      <c r="Z44" s="2">
        <v>2.4</v>
      </c>
      <c r="AA44" s="2">
        <v>2.5</v>
      </c>
      <c r="AB44" s="2">
        <v>2.6</v>
      </c>
      <c r="AC44" s="2">
        <v>2.7</v>
      </c>
      <c r="AD44" s="2">
        <v>2.8</v>
      </c>
      <c r="AE44" s="2">
        <v>2.9</v>
      </c>
      <c r="AF44" s="2">
        <v>3</v>
      </c>
      <c r="AG44" s="2">
        <v>3.1</v>
      </c>
      <c r="AH44" s="2">
        <v>3.2</v>
      </c>
      <c r="AI44" s="2">
        <v>3.3</v>
      </c>
      <c r="AJ44" s="2">
        <v>3.4</v>
      </c>
      <c r="AK44" s="2">
        <v>3.5</v>
      </c>
      <c r="AL44" s="2">
        <v>3.6</v>
      </c>
      <c r="AM44" s="2">
        <v>3.7</v>
      </c>
      <c r="AN44" s="2">
        <v>3.8</v>
      </c>
      <c r="AO44" s="2">
        <v>3.9</v>
      </c>
      <c r="AP44" s="2">
        <v>4</v>
      </c>
      <c r="AQ44" s="2">
        <v>4.0999999999999996</v>
      </c>
      <c r="AR44" s="2">
        <v>4.2</v>
      </c>
      <c r="AS44" s="2">
        <v>4.3</v>
      </c>
      <c r="AT44" s="2">
        <v>4.4000000000000004</v>
      </c>
      <c r="AU44" s="2">
        <v>4.5</v>
      </c>
      <c r="AV44" s="2">
        <v>4.5999999999999996</v>
      </c>
      <c r="AW44" s="2">
        <v>4.7</v>
      </c>
      <c r="AX44" s="2">
        <v>4.8</v>
      </c>
      <c r="AY44" s="2">
        <v>4.9000000000000004</v>
      </c>
      <c r="AZ44" s="2">
        <v>5</v>
      </c>
    </row>
    <row r="45" spans="1:52" x14ac:dyDescent="0.3">
      <c r="A45" s="2" t="s">
        <v>11</v>
      </c>
      <c r="B45" s="2">
        <v>60</v>
      </c>
      <c r="C45" s="2" cm="1">
        <f t="array" ref="C45">VEGAGREEK($B45,100,0.01,C$44,0.4)</f>
        <v>2.8927681053429895E-3</v>
      </c>
      <c r="D45" s="2" cm="1">
        <f t="array" ref="D45">VEGAGREEK($B45,100,0.01,D$44,0.4)</f>
        <v>0.24068468973762946</v>
      </c>
      <c r="E45" s="2" cm="1">
        <f t="array" ref="E45">VEGAGREEK($B45,100,0.01,E$44,0.4)</f>
        <v>1.1445493023792699</v>
      </c>
      <c r="F45" s="2" cm="1">
        <f t="array" ref="F45">VEGAGREEK($B45,100,0.01,F$44,0.4)</f>
        <v>2.6009046105173712</v>
      </c>
      <c r="G45" s="2" cm="1">
        <f t="array" ref="G45">VEGAGREEK($B45,100,0.01,G$44,0.4)</f>
        <v>4.3606581170885557</v>
      </c>
      <c r="H45" s="2" cm="1">
        <f t="array" ref="H45">VEGAGREEK($B45,100,0.01,H$44,0.4)</f>
        <v>6.2530413035552028</v>
      </c>
      <c r="I45" s="2" cm="1">
        <f t="array" ref="I45">VEGAGREEK($B45,100,0.01,I$44,0.4)</f>
        <v>8.180603506862747</v>
      </c>
      <c r="J45" s="2" cm="1">
        <f t="array" ref="J45">VEGAGREEK($B45,100,0.01,J$44,0.4)</f>
        <v>10.090715910465395</v>
      </c>
      <c r="K45" s="2" cm="1">
        <f t="array" ref="K45">VEGAGREEK($B45,100,0.01,K$44,0.4)</f>
        <v>11.955990902775312</v>
      </c>
      <c r="L45" s="2" cm="1">
        <f t="array" ref="L45">VEGAGREEK($B45,100,0.01,L$44,0.4)</f>
        <v>13.76303859788765</v>
      </c>
      <c r="M45" s="2" cm="1">
        <f t="array" ref="M45">VEGAGREEK($B45,100,0.01,M$44,0.4)</f>
        <v>15.506231241512264</v>
      </c>
      <c r="N45" s="2" cm="1">
        <f t="array" ref="N45">VEGAGREEK($B45,100,0.01,N$44,0.4)</f>
        <v>17.184239103030748</v>
      </c>
      <c r="O45" s="2" cm="1">
        <f t="array" ref="O45">VEGAGREEK($B45,100,0.01,O$44,0.4)</f>
        <v>18.798083731151003</v>
      </c>
      <c r="P45" s="2" cm="1">
        <f t="array" ref="P45">VEGAGREEK($B45,100,0.01,P$44,0.4)</f>
        <v>20.350030559998647</v>
      </c>
      <c r="Q45" s="2" cm="1">
        <f t="array" ref="Q45">VEGAGREEK($B45,100,0.01,Q$44,0.4)</f>
        <v>21.842953512525479</v>
      </c>
      <c r="R45" s="2" cm="1">
        <f t="array" ref="R45">VEGAGREEK($B45,100,0.01,R$44,0.4)</f>
        <v>23.279969571720645</v>
      </c>
      <c r="S45" s="2" cm="1">
        <f t="array" ref="S45">VEGAGREEK($B45,100,0.01,S$44,0.4)</f>
        <v>24.664230109540355</v>
      </c>
      <c r="T45" s="2" cm="1">
        <f t="array" ref="T45">VEGAGREEK($B45,100,0.01,T$44,0.4)</f>
        <v>25.998804321336614</v>
      </c>
      <c r="U45" s="2" cm="1">
        <f t="array" ref="U45">VEGAGREEK($B45,100,0.01,U$44,0.4)</f>
        <v>27.286617190518637</v>
      </c>
      <c r="V45" s="2" cm="1">
        <f t="array" ref="V45">VEGAGREEK($B45,100,0.01,V$44,0.4)</f>
        <v>28.530419807145872</v>
      </c>
      <c r="W45" s="2" cm="1">
        <f t="array" ref="W45">VEGAGREEK($B45,100,0.01,W$44,0.4)</f>
        <v>29.732778785273464</v>
      </c>
      <c r="X45" s="2" cm="1">
        <f t="array" ref="X45">VEGAGREEK($B45,100,0.01,X$44,0.4)</f>
        <v>30.896076779677227</v>
      </c>
      <c r="Y45" s="2" cm="1">
        <f t="array" ref="Y45">VEGAGREEK($B45,100,0.01,Y$44,0.4)</f>
        <v>32.022519245176319</v>
      </c>
      <c r="Z45" s="2" cm="1">
        <f t="array" ref="Z45">VEGAGREEK($B45,100,0.01,Z$44,0.4)</f>
        <v>33.114144484711616</v>
      </c>
      <c r="AA45" s="2" cm="1">
        <f t="array" ref="AA45">VEGAGREEK($B45,100,0.01,AA$44,0.4)</f>
        <v>34.17283519656327</v>
      </c>
      <c r="AB45" s="2" cm="1">
        <f t="array" ref="AB45">VEGAGREEK($B45,100,0.01,AB$44,0.4)</f>
        <v>35.200330448908943</v>
      </c>
      <c r="AC45" s="2" cm="1">
        <f t="array" ref="AC45">VEGAGREEK($B45,100,0.01,AC$44,0.4)</f>
        <v>36.198237454655093</v>
      </c>
      <c r="AD45" s="2" cm="1">
        <f t="array" ref="AD45">VEGAGREEK($B45,100,0.01,AD$44,0.4)</f>
        <v>37.168042795400233</v>
      </c>
      <c r="AE45" s="2" cm="1">
        <f t="array" ref="AE45">VEGAGREEK($B45,100,0.01,AE$44,0.4)</f>
        <v>38.111122914083509</v>
      </c>
      <c r="AF45" s="2" cm="1">
        <f t="array" ref="AF45">VEGAGREEK($B45,100,0.01,AF$44,0.4)</f>
        <v>39.028753800546461</v>
      </c>
      <c r="AG45" s="2" cm="1">
        <f t="array" ref="AG45">VEGAGREEK($B45,100,0.01,AG$44,0.4)</f>
        <v>39.922119857324525</v>
      </c>
      <c r="AH45" s="2" cm="1">
        <f t="array" ref="AH45">VEGAGREEK($B45,100,0.01,AH$44,0.4)</f>
        <v>40.792321969846839</v>
      </c>
      <c r="AI45" s="2" cm="1">
        <f t="array" ref="AI45">VEGAGREEK($B45,100,0.01,AI$44,0.4)</f>
        <v>41.640384825580547</v>
      </c>
      <c r="AJ45" s="2" cm="1">
        <f t="array" ref="AJ45">VEGAGREEK($B45,100,0.01,AJ$44,0.4)</f>
        <v>42.467263536697857</v>
      </c>
      <c r="AK45" s="2" cm="1">
        <f t="array" ref="AK45">VEGAGREEK($B45,100,0.01,AK$44,0.4)</f>
        <v>43.273849624522306</v>
      </c>
      <c r="AL45" s="2" cm="1">
        <f t="array" ref="AL45">VEGAGREEK($B45,100,0.01,AL$44,0.4)</f>
        <v>44.060976423851962</v>
      </c>
      <c r="AM45" s="2" cm="1">
        <f t="array" ref="AM45">VEGAGREEK($B45,100,0.01,AM$44,0.4)</f>
        <v>44.829423962873925</v>
      </c>
      <c r="AN45" s="2" cm="1">
        <f t="array" ref="AN45">VEGAGREEK($B45,100,0.01,AN$44,0.4)</f>
        <v>45.579923370801723</v>
      </c>
      <c r="AO45" s="2" cm="1">
        <f t="array" ref="AO45">VEGAGREEK($B45,100,0.01,AO$44,0.4)</f>
        <v>46.313160861227267</v>
      </c>
      <c r="AP45" s="2" cm="1">
        <f t="array" ref="AP45">VEGAGREEK($B45,100,0.01,AP$44,0.4)</f>
        <v>47.029781334880965</v>
      </c>
      <c r="AQ45" s="2" cm="1">
        <f t="array" ref="AQ45">VEGAGREEK($B45,100,0.01,AQ$44,0.4)</f>
        <v>47.730391641275148</v>
      </c>
      <c r="AR45" s="2" cm="1">
        <f t="array" ref="AR45">VEGAGREEK($B45,100,0.01,AR$44,0.4)</f>
        <v>48.415563534704113</v>
      </c>
      <c r="AS45" s="2" cm="1">
        <f t="array" ref="AS45">VEGAGREEK($B45,100,0.01,AS$44,0.4)</f>
        <v>49.085836356359287</v>
      </c>
      <c r="AT45" s="2" cm="1">
        <f t="array" ref="AT45">VEGAGREEK($B45,100,0.01,AT$44,0.4)</f>
        <v>49.741719470921844</v>
      </c>
      <c r="AU45" s="2" cm="1">
        <f t="array" ref="AU45">VEGAGREEK($B45,100,0.01,AU$44,0.4)</f>
        <v>50.383694482919374</v>
      </c>
      <c r="AV45" s="2" cm="1">
        <f t="array" ref="AV45">VEGAGREEK($B45,100,0.01,AV$44,0.4)</f>
        <v>51.012217255371269</v>
      </c>
      <c r="AW45" s="2" cm="1">
        <f t="array" ref="AW45">VEGAGREEK($B45,100,0.01,AW$44,0.4)</f>
        <v>51.627719750776635</v>
      </c>
      <c r="AX45" s="2" cm="1">
        <f t="array" ref="AX45">VEGAGREEK($B45,100,0.01,AX$44,0.4)</f>
        <v>52.23061171229908</v>
      </c>
      <c r="AY45" s="2" cm="1">
        <f t="array" ref="AY45">VEGAGREEK($B45,100,0.01,AY$44,0.4)</f>
        <v>52.82128220104763</v>
      </c>
      <c r="AZ45" s="2" cm="1">
        <f t="array" ref="AZ45">VEGAGREEK($B45,100,0.01,AZ$44,0.4)</f>
        <v>53.400101003619127</v>
      </c>
    </row>
    <row r="46" spans="1:52" x14ac:dyDescent="0.3">
      <c r="A46" s="2"/>
      <c r="B46" s="2">
        <v>65</v>
      </c>
      <c r="C46" s="2" cm="1">
        <f t="array" ref="C46">VEGAGREEK($B46,100,0.01,C$44,0.4)</f>
        <v>3.1579576064734875E-2</v>
      </c>
      <c r="D46" s="2" cm="1">
        <f t="array" ref="D46">VEGAGREEK($B46,100,0.01,D$44,0.4)</f>
        <v>0.80928038345433906</v>
      </c>
      <c r="E46" s="2" cm="1">
        <f t="array" ref="E46">VEGAGREEK($B46,100,0.01,E$44,0.4)</f>
        <v>2.5989884194033275</v>
      </c>
      <c r="F46" s="2" cm="1">
        <f t="array" ref="F46">VEGAGREEK($B46,100,0.01,F$44,0.4)</f>
        <v>4.8534874326461397</v>
      </c>
      <c r="G46" s="2" cm="1">
        <f t="array" ref="G46">VEGAGREEK($B46,100,0.01,G$44,0.4)</f>
        <v>7.2333138746273917</v>
      </c>
      <c r="H46" s="2" cm="1">
        <f t="array" ref="H46">VEGAGREEK($B46,100,0.01,H$44,0.4)</f>
        <v>9.5891569679737607</v>
      </c>
      <c r="I46" s="2" cm="1">
        <f t="array" ref="I46">VEGAGREEK($B46,100,0.01,I$44,0.4)</f>
        <v>11.860966723037398</v>
      </c>
      <c r="J46" s="2" cm="1">
        <f t="array" ref="J46">VEGAGREEK($B46,100,0.01,J$44,0.4)</f>
        <v>14.027844163030693</v>
      </c>
      <c r="K46" s="2" cm="1">
        <f t="array" ref="K46">VEGAGREEK($B46,100,0.01,K$44,0.4)</f>
        <v>16.085990332727391</v>
      </c>
      <c r="L46" s="2" cm="1">
        <f t="array" ref="L46">VEGAGREEK($B46,100,0.01,L$44,0.4)</f>
        <v>18.038946672761909</v>
      </c>
      <c r="M46" s="2" cm="1">
        <f t="array" ref="M46">VEGAGREEK($B46,100,0.01,M$44,0.4)</f>
        <v>19.893177390891516</v>
      </c>
      <c r="N46" s="2" cm="1">
        <f t="array" ref="N46">VEGAGREEK($B46,100,0.01,N$44,0.4)</f>
        <v>21.656041890009046</v>
      </c>
      <c r="O46" s="2" cm="1">
        <f t="array" ref="O46">VEGAGREEK($B46,100,0.01,O$44,0.4)</f>
        <v>23.334871052607813</v>
      </c>
      <c r="P46" s="2" cm="1">
        <f t="array" ref="P46">VEGAGREEK($B46,100,0.01,P$44,0.4)</f>
        <v>24.936566080038947</v>
      </c>
      <c r="Q46" s="2" cm="1">
        <f t="array" ref="Q46">VEGAGREEK($B46,100,0.01,Q$44,0.4)</f>
        <v>26.467447880717664</v>
      </c>
      <c r="R46" s="2" cm="1">
        <f t="array" ref="R46">VEGAGREEK($B46,100,0.01,R$44,0.4)</f>
        <v>27.933226034316547</v>
      </c>
      <c r="S46" s="2" cm="1">
        <f t="array" ref="S46">VEGAGREEK($B46,100,0.01,S$44,0.4)</f>
        <v>29.339022962937957</v>
      </c>
      <c r="T46" s="2" cm="1">
        <f t="array" ref="T46">VEGAGREEK($B46,100,0.01,T$44,0.4)</f>
        <v>30.689421345015912</v>
      </c>
      <c r="U46" s="2" cm="1">
        <f t="array" ref="U46">VEGAGREEK($B46,100,0.01,U$44,0.4)</f>
        <v>31.988518950030333</v>
      </c>
      <c r="V46" s="2" cm="1">
        <f t="array" ref="V46">VEGAGREEK($B46,100,0.01,V$44,0.4)</f>
        <v>33.239983248380398</v>
      </c>
      <c r="W46" s="2" cm="1">
        <f t="array" ref="W46">VEGAGREEK($B46,100,0.01,W$44,0.4)</f>
        <v>34.447102327226915</v>
      </c>
      <c r="X46" s="2" cm="1">
        <f t="array" ref="X46">VEGAGREEK($B46,100,0.01,X$44,0.4)</f>
        <v>35.612830771753401</v>
      </c>
      <c r="Y46" s="2" cm="1">
        <f t="array" ref="Y46">VEGAGREEK($B46,100,0.01,Y$44,0.4)</f>
        <v>36.739830236962867</v>
      </c>
      <c r="Z46" s="2" cm="1">
        <f t="array" ref="Z46">VEGAGREEK($B46,100,0.01,Z$44,0.4)</f>
        <v>37.830504945110668</v>
      </c>
      <c r="AA46" s="2" cm="1">
        <f t="array" ref="AA46">VEGAGREEK($B46,100,0.01,AA$44,0.4)</f>
        <v>38.887032563777872</v>
      </c>
      <c r="AB46" s="2" cm="1">
        <f t="array" ref="AB46">VEGAGREEK($B46,100,0.01,AB$44,0.4)</f>
        <v>39.911390990104557</v>
      </c>
      <c r="AC46" s="2" cm="1">
        <f t="array" ref="AC46">VEGAGREEK($B46,100,0.01,AC$44,0.4)</f>
        <v>40.905381562810902</v>
      </c>
      <c r="AD46" s="2" cm="1">
        <f t="array" ref="AD46">VEGAGREEK($B46,100,0.01,AD$44,0.4)</f>
        <v>41.870649185266466</v>
      </c>
      <c r="AE46" s="2" cm="1">
        <f t="array" ref="AE46">VEGAGREEK($B46,100,0.01,AE$44,0.4)</f>
        <v>42.808699791070595</v>
      </c>
      <c r="AF46" s="2" cm="1">
        <f t="array" ref="AF46">VEGAGREEK($B46,100,0.01,AF$44,0.4)</f>
        <v>43.720915529194016</v>
      </c>
      <c r="AG46" s="2" cm="1">
        <f t="array" ref="AG46">VEGAGREEK($B46,100,0.01,AG$44,0.4)</f>
        <v>44.608567993976749</v>
      </c>
      <c r="AH46" s="2" cm="1">
        <f t="array" ref="AH46">VEGAGREEK($B46,100,0.01,AH$44,0.4)</f>
        <v>45.472829778475315</v>
      </c>
      <c r="AI46" s="2" cm="1">
        <f t="array" ref="AI46">VEGAGREEK($B46,100,0.01,AI$44,0.4)</f>
        <v>46.314784588531438</v>
      </c>
      <c r="AJ46" s="2" cm="1">
        <f t="array" ref="AJ46">VEGAGREEK($B46,100,0.01,AJ$44,0.4)</f>
        <v>47.135436119424597</v>
      </c>
      <c r="AK46" s="2" cm="1">
        <f t="array" ref="AK46">VEGAGREEK($B46,100,0.01,AK$44,0.4)</f>
        <v>47.93571586663446</v>
      </c>
      <c r="AL46" s="2" cm="1">
        <f t="array" ref="AL46">VEGAGREEK($B46,100,0.01,AL$44,0.4)</f>
        <v>48.716490016489963</v>
      </c>
      <c r="AM46" s="2" cm="1">
        <f t="array" ref="AM46">VEGAGREEK($B46,100,0.01,AM$44,0.4)</f>
        <v>49.4785655407102</v>
      </c>
      <c r="AN46" s="2" cm="1">
        <f t="array" ref="AN46">VEGAGREEK($B46,100,0.01,AN$44,0.4)</f>
        <v>50.222695600470097</v>
      </c>
      <c r="AO46" s="2" cm="1">
        <f t="array" ref="AO46">VEGAGREEK($B46,100,0.01,AO$44,0.4)</f>
        <v>50.949584350131573</v>
      </c>
      <c r="AP46" s="2" cm="1">
        <f t="array" ref="AP46">VEGAGREEK($B46,100,0.01,AP$44,0.4)</f>
        <v>51.659891217713842</v>
      </c>
      <c r="AQ46" s="2" cm="1">
        <f t="array" ref="AQ46">VEGAGREEK($B46,100,0.01,AQ$44,0.4)</f>
        <v>52.354234728147119</v>
      </c>
      <c r="AR46" s="2" cm="1">
        <f t="array" ref="AR46">VEGAGREEK($B46,100,0.01,AR$44,0.4)</f>
        <v>53.033195926031198</v>
      </c>
      <c r="AS46" s="2" cm="1">
        <f t="array" ref="AS46">VEGAGREEK($B46,100,0.01,AS$44,0.4)</f>
        <v>53.697321446727621</v>
      </c>
      <c r="AT46" s="2" cm="1">
        <f t="array" ref="AT46">VEGAGREEK($B46,100,0.01,AT$44,0.4)</f>
        <v>54.347126277920594</v>
      </c>
      <c r="AU46" s="2" cm="1">
        <f t="array" ref="AU46">VEGAGREEK($B46,100,0.01,AU$44,0.4)</f>
        <v>54.983096248091599</v>
      </c>
      <c r="AV46" s="2" cm="1">
        <f t="array" ref="AV46">VEGAGREEK($B46,100,0.01,AV$44,0.4)</f>
        <v>55.605690273507442</v>
      </c>
      <c r="AW46" s="2" cm="1">
        <f t="array" ref="AW46">VEGAGREEK($B46,100,0.01,AW$44,0.4)</f>
        <v>56.215342391184421</v>
      </c>
      <c r="AX46" s="2" cm="1">
        <f t="array" ref="AX46">VEGAGREEK($B46,100,0.01,AX$44,0.4)</f>
        <v>56.812463601752469</v>
      </c>
      <c r="AY46" s="2" cm="1">
        <f t="array" ref="AY46">VEGAGREEK($B46,100,0.01,AY$44,0.4)</f>
        <v>57.397443543108118</v>
      </c>
      <c r="AZ46" s="2" cm="1">
        <f t="array" ref="AZ46">VEGAGREEK($B46,100,0.01,AZ$44,0.4)</f>
        <v>57.970652013136316</v>
      </c>
    </row>
    <row r="47" spans="1:52" x14ac:dyDescent="0.3">
      <c r="A47" s="2"/>
      <c r="B47" s="2">
        <v>70</v>
      </c>
      <c r="C47" s="2" cm="1">
        <f t="array" ref="C47">VEGAGREEK($B47,100,0.01,C$44,0.4)</f>
        <v>0.20206432933194751</v>
      </c>
      <c r="D47" s="2" cm="1">
        <f t="array" ref="D47">VEGAGREEK($B47,100,0.01,D$44,0.4)</f>
        <v>2.0805640593227528</v>
      </c>
      <c r="E47" s="2" cm="1">
        <f t="array" ref="E47">VEGAGREEK($B47,100,0.01,E$44,0.4)</f>
        <v>4.9304436135104535</v>
      </c>
      <c r="F47" s="2" cm="1">
        <f t="array" ref="F47">VEGAGREEK($B47,100,0.01,F$44,0.4)</f>
        <v>7.9092508197023887</v>
      </c>
      <c r="G47" s="2" cm="1">
        <f t="array" ref="G47">VEGAGREEK($B47,100,0.01,G$44,0.4)</f>
        <v>10.760157334795643</v>
      </c>
      <c r="H47" s="2" cm="1">
        <f t="array" ref="H47">VEGAGREEK($B47,100,0.01,H$44,0.4)</f>
        <v>13.423372846849714</v>
      </c>
      <c r="I47" s="2" cm="1">
        <f t="array" ref="I47">VEGAGREEK($B47,100,0.01,I$44,0.4)</f>
        <v>15.89805917536523</v>
      </c>
      <c r="J47" s="2" cm="1">
        <f t="array" ref="J47">VEGAGREEK($B47,100,0.01,J$44,0.4)</f>
        <v>18.20002780509374</v>
      </c>
      <c r="K47" s="2" cm="1">
        <f t="array" ref="K47">VEGAGREEK($B47,100,0.01,K$44,0.4)</f>
        <v>20.348335364106937</v>
      </c>
      <c r="L47" s="2" cm="1">
        <f t="array" ref="L47">VEGAGREEK($B47,100,0.01,L$44,0.4)</f>
        <v>22.361051898798774</v>
      </c>
      <c r="M47" s="2" cm="1">
        <f t="array" ref="M47">VEGAGREEK($B47,100,0.01,M$44,0.4)</f>
        <v>24.254101290874463</v>
      </c>
      <c r="N47" s="2" cm="1">
        <f t="array" ref="N47">VEGAGREEK($B47,100,0.01,N$44,0.4)</f>
        <v>26.041146158135668</v>
      </c>
      <c r="O47" s="2" cm="1">
        <f t="array" ref="O47">VEGAGREEK($B47,100,0.01,O$44,0.4)</f>
        <v>27.733806305794864</v>
      </c>
      <c r="P47" s="2" cm="1">
        <f t="array" ref="P47">VEGAGREEK($B47,100,0.01,P$44,0.4)</f>
        <v>29.341955800699488</v>
      </c>
      <c r="Q47" s="2" cm="1">
        <f t="array" ref="Q47">VEGAGREEK($B47,100,0.01,Q$44,0.4)</f>
        <v>30.874009690355525</v>
      </c>
      <c r="R47" s="2" cm="1">
        <f t="array" ref="R47">VEGAGREEK($B47,100,0.01,R$44,0.4)</f>
        <v>32.337173336677232</v>
      </c>
      <c r="S47" s="2" cm="1">
        <f t="array" ref="S47">VEGAGREEK($B47,100,0.01,S$44,0.4)</f>
        <v>33.73765026199797</v>
      </c>
      <c r="T47" s="2" cm="1">
        <f t="array" ref="T47">VEGAGREEK($B47,100,0.01,T$44,0.4)</f>
        <v>35.080812300599455</v>
      </c>
      <c r="U47" s="2" cm="1">
        <f t="array" ref="U47">VEGAGREEK($B47,100,0.01,U$44,0.4)</f>
        <v>36.371337943871012</v>
      </c>
      <c r="V47" s="2" cm="1">
        <f t="array" ref="V47">VEGAGREEK($B47,100,0.01,V$44,0.4)</f>
        <v>37.613324708478778</v>
      </c>
      <c r="W47" s="2" cm="1">
        <f t="array" ref="W47">VEGAGREEK($B47,100,0.01,W$44,0.4)</f>
        <v>38.810380596978696</v>
      </c>
      <c r="X47" s="2" cm="1">
        <f t="array" ref="X47">VEGAGREEK($B47,100,0.01,X$44,0.4)</f>
        <v>39.965698826039919</v>
      </c>
      <c r="Y47" s="2" cm="1">
        <f t="array" ref="Y47">VEGAGREEK($B47,100,0.01,Y$44,0.4)</f>
        <v>41.082119174402251</v>
      </c>
      <c r="Z47" s="2" cm="1">
        <f t="array" ref="Z47">VEGAGREEK($B47,100,0.01,Z$44,0.4)</f>
        <v>42.162178610247601</v>
      </c>
      <c r="AA47" s="2" cm="1">
        <f t="array" ref="AA47">VEGAGREEK($B47,100,0.01,AA$44,0.4)</f>
        <v>43.208153298565492</v>
      </c>
      <c r="AB47" s="2" cm="1">
        <f t="array" ref="AB47">VEGAGREEK($B47,100,0.01,AB$44,0.4)</f>
        <v>44.222093646664973</v>
      </c>
      <c r="AC47" s="2" cm="1">
        <f t="array" ref="AC47">VEGAGREEK($B47,100,0.01,AC$44,0.4)</f>
        <v>45.205853699211886</v>
      </c>
      <c r="AD47" s="2" cm="1">
        <f t="array" ref="AD47">VEGAGREEK($B47,100,0.01,AD$44,0.4)</f>
        <v>46.161115923367333</v>
      </c>
      <c r="AE47" s="2" cm="1">
        <f t="array" ref="AE47">VEGAGREEK($B47,100,0.01,AE$44,0.4)</f>
        <v>47.089412213176651</v>
      </c>
      <c r="AF47" s="2" cm="1">
        <f t="array" ref="AF47">VEGAGREEK($B47,100,0.01,AF$44,0.4)</f>
        <v>47.992141776978457</v>
      </c>
      <c r="AG47" s="2" cm="1">
        <f t="array" ref="AG47">VEGAGREEK($B47,100,0.01,AG$44,0.4)</f>
        <v>48.870586441834917</v>
      </c>
      <c r="AH47" s="2" cm="1">
        <f t="array" ref="AH47">VEGAGREEK($B47,100,0.01,AH$44,0.4)</f>
        <v>49.725923806754125</v>
      </c>
      <c r="AI47" s="2" cm="1">
        <f t="array" ref="AI47">VEGAGREEK($B47,100,0.01,AI$44,0.4)</f>
        <v>50.559238595583267</v>
      </c>
      <c r="AJ47" s="2" cm="1">
        <f t="array" ref="AJ47">VEGAGREEK($B47,100,0.01,AJ$44,0.4)</f>
        <v>51.371532496141192</v>
      </c>
      <c r="AK47" s="2" cm="1">
        <f t="array" ref="AK47">VEGAGREEK($B47,100,0.01,AK$44,0.4)</f>
        <v>52.163732720785546</v>
      </c>
      <c r="AL47" s="2" cm="1">
        <f t="array" ref="AL47">VEGAGREEK($B47,100,0.01,AL$44,0.4)</f>
        <v>52.936699482369569</v>
      </c>
      <c r="AM47" s="2" cm="1">
        <f t="array" ref="AM47">VEGAGREEK($B47,100,0.01,AM$44,0.4)</f>
        <v>53.691232546278478</v>
      </c>
      <c r="AN47" s="2" cm="1">
        <f t="array" ref="AN47">VEGAGREEK($B47,100,0.01,AN$44,0.4)</f>
        <v>54.428076992274185</v>
      </c>
      <c r="AO47" s="2" cm="1">
        <f t="array" ref="AO47">VEGAGREEK($B47,100,0.01,AO$44,0.4)</f>
        <v>55.147928297923521</v>
      </c>
      <c r="AP47" s="2" cm="1">
        <f t="array" ref="AP47">VEGAGREEK($B47,100,0.01,AP$44,0.4)</f>
        <v>55.851436837426988</v>
      </c>
      <c r="AQ47" s="2" cm="1">
        <f t="array" ref="AQ47">VEGAGREEK($B47,100,0.01,AQ$44,0.4)</f>
        <v>56.539211874910485</v>
      </c>
      <c r="AR47" s="2" cm="1">
        <f t="array" ref="AR47">VEGAGREEK($B47,100,0.01,AR$44,0.4)</f>
        <v>57.211825119067299</v>
      </c>
      <c r="AS47" s="2" cm="1">
        <f t="array" ref="AS47">VEGAGREEK($B47,100,0.01,AS$44,0.4)</f>
        <v>57.869813895949584</v>
      </c>
      <c r="AT47" s="2" cm="1">
        <f t="array" ref="AT47">VEGAGREEK($B47,100,0.01,AT$44,0.4)</f>
        <v>58.513683988315982</v>
      </c>
      <c r="AU47" s="2" cm="1">
        <f t="array" ref="AU47">VEGAGREEK($B47,100,0.01,AU$44,0.4)</f>
        <v>59.143912182932027</v>
      </c>
      <c r="AV47" s="2" cm="1">
        <f t="array" ref="AV47">VEGAGREEK($B47,100,0.01,AV$44,0.4)</f>
        <v>59.760948561344811</v>
      </c>
      <c r="AW47" s="2" cm="1">
        <f t="array" ref="AW47">VEGAGREEK($B47,100,0.01,AW$44,0.4)</f>
        <v>60.365218564707995</v>
      </c>
      <c r="AX47" s="2" cm="1">
        <f t="array" ref="AX47">VEGAGREEK($B47,100,0.01,AX$44,0.4)</f>
        <v>60.957124859060379</v>
      </c>
      <c r="AY47" s="2" cm="1">
        <f t="array" ref="AY47">VEGAGREEK($B47,100,0.01,AY$44,0.4)</f>
        <v>61.537049023923601</v>
      </c>
      <c r="AZ47" s="2" cm="1">
        <f t="array" ref="AZ47">VEGAGREEK($B47,100,0.01,AZ$44,0.4)</f>
        <v>62.105353084079425</v>
      </c>
    </row>
    <row r="48" spans="1:52" x14ac:dyDescent="0.3">
      <c r="A48" s="2"/>
      <c r="B48" s="2">
        <v>75</v>
      </c>
      <c r="C48" s="2" cm="1">
        <f t="array" ref="C48">VEGAGREEK($B48,100,0.01,C$44,0.4)</f>
        <v>0.83549282953431669</v>
      </c>
      <c r="D48" s="2" cm="1">
        <f t="array" ref="D48">VEGAGREEK($B48,100,0.01,D$44,0.4)</f>
        <v>4.2949892755009333</v>
      </c>
      <c r="E48" s="2" cm="1">
        <f t="array" ref="E48">VEGAGREEK($B48,100,0.01,E$44,0.4)</f>
        <v>8.0743882386319257</v>
      </c>
      <c r="F48" s="2" cm="1">
        <f t="array" ref="F48">VEGAGREEK($B48,100,0.01,F$44,0.4)</f>
        <v>11.536665460683977</v>
      </c>
      <c r="G48" s="2" cm="1">
        <f t="array" ref="G48">VEGAGREEK($B48,100,0.01,G$44,0.4)</f>
        <v>14.641863859578905</v>
      </c>
      <c r="H48" s="2" cm="1">
        <f t="array" ref="H48">VEGAGREEK($B48,100,0.01,H$44,0.4)</f>
        <v>17.439254838188226</v>
      </c>
      <c r="I48" s="2" cm="1">
        <f t="array" ref="I48">VEGAGREEK($B48,100,0.01,I$44,0.4)</f>
        <v>19.9822801148397</v>
      </c>
      <c r="J48" s="2" cm="1">
        <f t="array" ref="J48">VEGAGREEK($B48,100,0.01,J$44,0.4)</f>
        <v>22.315107435720602</v>
      </c>
      <c r="K48" s="2" cm="1">
        <f t="array" ref="K48">VEGAGREEK($B48,100,0.01,K$44,0.4)</f>
        <v>24.472370399729815</v>
      </c>
      <c r="L48" s="2" cm="1">
        <f t="array" ref="L48">VEGAGREEK($B48,100,0.01,L$44,0.4)</f>
        <v>26.481071633792659</v>
      </c>
      <c r="M48" s="2" cm="1">
        <f t="array" ref="M48">VEGAGREEK($B48,100,0.01,M$44,0.4)</f>
        <v>28.362438458300513</v>
      </c>
      <c r="N48" s="2" cm="1">
        <f t="array" ref="N48">VEGAGREEK($B48,100,0.01,N$44,0.4)</f>
        <v>30.133368705406117</v>
      </c>
      <c r="O48" s="2" cm="1">
        <f t="array" ref="O48">VEGAGREEK($B48,100,0.01,O$44,0.4)</f>
        <v>31.807495747300962</v>
      </c>
      <c r="P48" s="2" cm="1">
        <f t="array" ref="P48">VEGAGREEK($B48,100,0.01,P$44,0.4)</f>
        <v>33.395963708317908</v>
      </c>
      <c r="Q48" s="2" cm="1">
        <f t="array" ref="Q48">VEGAGREEK($B48,100,0.01,Q$44,0.4)</f>
        <v>34.907993832372455</v>
      </c>
      <c r="R48" s="2" cm="1">
        <f t="array" ref="R48">VEGAGREEK($B48,100,0.01,R$44,0.4)</f>
        <v>36.351302363970291</v>
      </c>
      <c r="S48" s="2" cm="1">
        <f t="array" ref="S48">VEGAGREEK($B48,100,0.01,S$44,0.4)</f>
        <v>37.732412637809986</v>
      </c>
      <c r="T48" s="2" cm="1">
        <f t="array" ref="T48">VEGAGREEK($B48,100,0.01,T$44,0.4)</f>
        <v>39.056891149041135</v>
      </c>
      <c r="U48" s="2" cm="1">
        <f t="array" ref="U48">VEGAGREEK($B48,100,0.01,U$44,0.4)</f>
        <v>40.329528380829103</v>
      </c>
      <c r="V48" s="2" cm="1">
        <f t="array" ref="V48">VEGAGREEK($B48,100,0.01,V$44,0.4)</f>
        <v>41.554478995813469</v>
      </c>
      <c r="W48" s="2" cm="1">
        <f t="array" ref="W48">VEGAGREEK($B48,100,0.01,W$44,0.4)</f>
        <v>42.73537176694466</v>
      </c>
      <c r="X48" s="2" cm="1">
        <f t="array" ref="X48">VEGAGREEK($B48,100,0.01,X$44,0.4)</f>
        <v>43.87539670315789</v>
      </c>
      <c r="Y48" s="2" cm="1">
        <f t="array" ref="Y48">VEGAGREEK($B48,100,0.01,Y$44,0.4)</f>
        <v>44.977374790930526</v>
      </c>
      <c r="Z48" s="2" cm="1">
        <f t="array" ref="Z48">VEGAGREEK($B48,100,0.01,Z$44,0.4)</f>
        <v>46.043814339878026</v>
      </c>
      <c r="AA48" s="2" cm="1">
        <f t="array" ref="AA48">VEGAGREEK($B48,100,0.01,AA$44,0.4)</f>
        <v>47.076956899791398</v>
      </c>
      <c r="AB48" s="2" cm="1">
        <f t="array" ref="AB48">VEGAGREEK($B48,100,0.01,AB$44,0.4)</f>
        <v>48.07881498105295</v>
      </c>
      <c r="AC48" s="2" cm="1">
        <f t="array" ref="AC48">VEGAGREEK($B48,100,0.01,AC$44,0.4)</f>
        <v>49.051203274533712</v>
      </c>
      <c r="AD48" s="2" cm="1">
        <f t="array" ref="AD48">VEGAGREEK($B48,100,0.01,AD$44,0.4)</f>
        <v>49.995764672483503</v>
      </c>
      <c r="AE48" s="2" cm="1">
        <f t="array" ref="AE48">VEGAGREEK($B48,100,0.01,AE$44,0.4)</f>
        <v>50.913992098347862</v>
      </c>
      <c r="AF48" s="2" cm="1">
        <f t="array" ref="AF48">VEGAGREEK($B48,100,0.01,AF$44,0.4)</f>
        <v>51.807246932882791</v>
      </c>
      <c r="AG48" s="2" cm="1">
        <f t="array" ref="AG48">VEGAGREEK($B48,100,0.01,AG$44,0.4)</f>
        <v>52.676774656685822</v>
      </c>
      <c r="AH48" s="2" cm="1">
        <f t="array" ref="AH48">VEGAGREEK($B48,100,0.01,AH$44,0.4)</f>
        <v>53.523718201314885</v>
      </c>
      <c r="AI48" s="2" cm="1">
        <f t="array" ref="AI48">VEGAGREEK($B48,100,0.01,AI$44,0.4)</f>
        <v>54.349129402469472</v>
      </c>
      <c r="AJ48" s="2" cm="1">
        <f t="array" ref="AJ48">VEGAGREEK($B48,100,0.01,AJ$44,0.4)</f>
        <v>55.153978871970928</v>
      </c>
      <c r="AK48" s="2" cm="1">
        <f t="array" ref="AK48">VEGAGREEK($B48,100,0.01,AK$44,0.4)</f>
        <v>55.939164545167685</v>
      </c>
      <c r="AL48" s="2" cm="1">
        <f t="array" ref="AL48">VEGAGREEK($B48,100,0.01,AL$44,0.4)</f>
        <v>56.705519112968695</v>
      </c>
      <c r="AM48" s="2" cm="1">
        <f t="array" ref="AM48">VEGAGREEK($B48,100,0.01,AM$44,0.4)</f>
        <v>57.453816510044106</v>
      </c>
      <c r="AN48" s="2" cm="1">
        <f t="array" ref="AN48">VEGAGREEK($B48,100,0.01,AN$44,0.4)</f>
        <v>58.184777600626461</v>
      </c>
      <c r="AO48" s="2" cm="1">
        <f t="array" ref="AO48">VEGAGREEK($B48,100,0.01,AO$44,0.4)</f>
        <v>58.899075179135785</v>
      </c>
      <c r="AP48" s="2" cm="1">
        <f t="array" ref="AP48">VEGAGREEK($B48,100,0.01,AP$44,0.4)</f>
        <v>59.597338383269907</v>
      </c>
      <c r="AQ48" s="2" cm="1">
        <f t="array" ref="AQ48">VEGAGREEK($B48,100,0.01,AQ$44,0.4)</f>
        <v>60.28015660127636</v>
      </c>
      <c r="AR48" s="2" cm="1">
        <f t="array" ref="AR48">VEGAGREEK($B48,100,0.01,AR$44,0.4)</f>
        <v>60.948082942103042</v>
      </c>
      <c r="AS48" s="2" cm="1">
        <f t="array" ref="AS48">VEGAGREEK($B48,100,0.01,AS$44,0.4)</f>
        <v>61.60163732642738</v>
      </c>
      <c r="AT48" s="2" cm="1">
        <f t="array" ref="AT48">VEGAGREEK($B48,100,0.01,AT$44,0.4)</f>
        <v>62.241309247734584</v>
      </c>
      <c r="AU48" s="2" cm="1">
        <f t="array" ref="AU48">VEGAGREEK($B48,100,0.01,AU$44,0.4)</f>
        <v>62.867560245291088</v>
      </c>
      <c r="AV48" s="2" cm="1">
        <f t="array" ref="AV48">VEGAGREEK($B48,100,0.01,AV$44,0.4)</f>
        <v>63.480826124761869</v>
      </c>
      <c r="AW48" s="2" cm="1">
        <f t="array" ref="AW48">VEGAGREEK($B48,100,0.01,AW$44,0.4)</f>
        <v>64.081518957118035</v>
      </c>
      <c r="AX48" s="2" cm="1">
        <f t="array" ref="AX48">VEGAGREEK($B48,100,0.01,AX$44,0.4)</f>
        <v>64.670028882199261</v>
      </c>
      <c r="AY48" s="2" cm="1">
        <f t="array" ref="AY48">VEGAGREEK($B48,100,0.01,AY$44,0.4)</f>
        <v>65.246725739684294</v>
      </c>
      <c r="AZ48" s="2" cm="1">
        <f t="array" ref="AZ48">VEGAGREEK($B48,100,0.01,AZ$44,0.4)</f>
        <v>65.811960547170045</v>
      </c>
    </row>
    <row r="49" spans="1:52" x14ac:dyDescent="0.3">
      <c r="A49" s="2"/>
      <c r="B49" s="2">
        <v>80</v>
      </c>
      <c r="C49" s="2" cm="1">
        <f t="array" ref="C49">VEGAGREEK($B49,100,0.01,C$44,0.4)</f>
        <v>2.4078877530459213</v>
      </c>
      <c r="D49" s="2" cm="1">
        <f t="array" ref="D49">VEGAGREEK($B49,100,0.01,D$44,0.4)</f>
        <v>7.3950331037818353</v>
      </c>
      <c r="E49" s="2" cm="1">
        <f t="array" ref="E49">VEGAGREEK($B49,100,0.01,E$44,0.4)</f>
        <v>11.70889313537883</v>
      </c>
      <c r="F49" s="2" cm="1">
        <f t="array" ref="F49">VEGAGREEK($B49,100,0.01,F$44,0.4)</f>
        <v>15.353259903420463</v>
      </c>
      <c r="G49" s="2" cm="1">
        <f t="array" ref="G49">VEGAGREEK($B49,100,0.01,G$44,0.4)</f>
        <v>18.507387574429892</v>
      </c>
      <c r="H49" s="2" cm="1">
        <f t="array" ref="H49">VEGAGREEK($B49,100,0.01,H$44,0.4)</f>
        <v>21.299152086954301</v>
      </c>
      <c r="I49" s="2" cm="1">
        <f t="array" ref="I49">VEGAGREEK($B49,100,0.01,I$44,0.4)</f>
        <v>23.813669151626357</v>
      </c>
      <c r="J49" s="2" cm="1">
        <f t="array" ref="J49">VEGAGREEK($B49,100,0.01,J$44,0.4)</f>
        <v>26.109010728180412</v>
      </c>
      <c r="K49" s="2" cm="1">
        <f t="array" ref="K49">VEGAGREEK($B49,100,0.01,K$44,0.4)</f>
        <v>28.226248013400539</v>
      </c>
      <c r="L49" s="2" cm="1">
        <f t="array" ref="L49">VEGAGREEK($B49,100,0.01,L$44,0.4)</f>
        <v>30.19542989780826</v>
      </c>
      <c r="M49" s="2" cm="1">
        <f t="array" ref="M49">VEGAGREEK($B49,100,0.01,M$44,0.4)</f>
        <v>32.039200740799409</v>
      </c>
      <c r="N49" s="2" cm="1">
        <f t="array" ref="N49">VEGAGREEK($B49,100,0.01,N$44,0.4)</f>
        <v>33.775062717981797</v>
      </c>
      <c r="O49" s="2" cm="1">
        <f t="array" ref="O49">VEGAGREEK($B49,100,0.01,O$44,0.4)</f>
        <v>35.416839985197164</v>
      </c>
      <c r="P49" s="2" cm="1">
        <f t="array" ref="P49">VEGAGREEK($B49,100,0.01,P$44,0.4)</f>
        <v>36.975657058853102</v>
      </c>
      <c r="Q49" s="2" cm="1">
        <f t="array" ref="Q49">VEGAGREEK($B49,100,0.01,Q$44,0.4)</f>
        <v>38.460611657944334</v>
      </c>
      <c r="R49" s="2" cm="1">
        <f t="array" ref="R49">VEGAGREEK($B49,100,0.01,R$44,0.4)</f>
        <v>39.879249409115658</v>
      </c>
      <c r="S49" s="2" cm="1">
        <f t="array" ref="S49">VEGAGREEK($B49,100,0.01,S$44,0.4)</f>
        <v>41.237906449979171</v>
      </c>
      <c r="T49" s="2" cm="1">
        <f t="array" ref="T49">VEGAGREEK($B49,100,0.01,T$44,0.4)</f>
        <v>42.541961733169224</v>
      </c>
      <c r="U49" s="2" cm="1">
        <f t="array" ref="U49">VEGAGREEK($B49,100,0.01,U$44,0.4)</f>
        <v>43.796026207536613</v>
      </c>
      <c r="V49" s="2" cm="1">
        <f t="array" ref="V49">VEGAGREEK($B49,100,0.01,V$44,0.4)</f>
        <v>45.004086976349235</v>
      </c>
      <c r="W49" s="2" cm="1">
        <f t="array" ref="W49">VEGAGREEK($B49,100,0.01,W$44,0.4)</f>
        <v>46.169618754127413</v>
      </c>
      <c r="X49" s="2" cm="1">
        <f t="array" ref="X49">VEGAGREEK($B49,100,0.01,X$44,0.4)</f>
        <v>47.295671178426439</v>
      </c>
      <c r="Y49" s="2" cm="1">
        <f t="array" ref="Y49">VEGAGREEK($B49,100,0.01,Y$44,0.4)</f>
        <v>48.384938026441326</v>
      </c>
      <c r="Z49" s="2" cm="1">
        <f t="array" ref="Z49">VEGAGREEK($B49,100,0.01,Z$44,0.4)</f>
        <v>49.439812685076603</v>
      </c>
      <c r="AA49" s="2" cm="1">
        <f t="array" ref="AA49">VEGAGREEK($B49,100,0.01,AA$44,0.4)</f>
        <v>50.462433047664696</v>
      </c>
      <c r="AB49" s="2" cm="1">
        <f t="array" ref="AB49">VEGAGREEK($B49,100,0.01,AB$44,0.4)</f>
        <v>51.454718184956789</v>
      </c>
      <c r="AC49" s="2" cm="1">
        <f t="array" ref="AC49">VEGAGREEK($B49,100,0.01,AC$44,0.4)</f>
        <v>52.418398549410902</v>
      </c>
      <c r="AD49" s="2" cm="1">
        <f t="array" ref="AD49">VEGAGREEK($B49,100,0.01,AD$44,0.4)</f>
        <v>53.355041046291994</v>
      </c>
      <c r="AE49" s="2" cm="1">
        <f t="array" ref="AE49">VEGAGREEK($B49,100,0.01,AE$44,0.4)</f>
        <v>54.26606999352105</v>
      </c>
      <c r="AF49" s="2" cm="1">
        <f t="array" ref="AF49">VEGAGREEK($B49,100,0.01,AF$44,0.4)</f>
        <v>55.152784761332143</v>
      </c>
      <c r="AG49" s="2" cm="1">
        <f t="array" ref="AG49">VEGAGREEK($B49,100,0.01,AG$44,0.4)</f>
        <v>56.016374709818493</v>
      </c>
      <c r="AH49" s="2" cm="1">
        <f t="array" ref="AH49">VEGAGREEK($B49,100,0.01,AH$44,0.4)</f>
        <v>56.857931911511486</v>
      </c>
      <c r="AI49" s="2" cm="1">
        <f t="array" ref="AI49">VEGAGREEK($B49,100,0.01,AI$44,0.4)</f>
        <v>57.678462046067338</v>
      </c>
      <c r="AJ49" s="2" cm="1">
        <f t="array" ref="AJ49">VEGAGREEK($B49,100,0.01,AJ$44,0.4)</f>
        <v>58.47889377696854</v>
      </c>
      <c r="AK49" s="2" cm="1">
        <f t="array" ref="AK49">VEGAGREEK($B49,100,0.01,AK$44,0.4)</f>
        <v>59.260086860138038</v>
      </c>
      <c r="AL49" s="2" cm="1">
        <f t="array" ref="AL49">VEGAGREEK($B49,100,0.01,AL$44,0.4)</f>
        <v>60.022839187327662</v>
      </c>
      <c r="AM49" s="2" cm="1">
        <f t="array" ref="AM49">VEGAGREEK($B49,100,0.01,AM$44,0.4)</f>
        <v>60.767892930000038</v>
      </c>
      <c r="AN49" s="2" cm="1">
        <f t="array" ref="AN49">VEGAGREEK($B49,100,0.01,AN$44,0.4)</f>
        <v>61.49593991988759</v>
      </c>
      <c r="AO49" s="2" cm="1">
        <f t="array" ref="AO49">VEGAGREEK($B49,100,0.01,AO$44,0.4)</f>
        <v>62.207626378770101</v>
      </c>
      <c r="AP49" s="2" cm="1">
        <f t="array" ref="AP49">VEGAGREEK($B49,100,0.01,AP$44,0.4)</f>
        <v>62.903557090968519</v>
      </c>
      <c r="AQ49" s="2" cm="1">
        <f t="array" ref="AQ49">VEGAGREEK($B49,100,0.01,AQ$44,0.4)</f>
        <v>63.584299096623539</v>
      </c>
      <c r="AR49" s="2" cm="1">
        <f t="array" ref="AR49">VEGAGREEK($B49,100,0.01,AR$44,0.4)</f>
        <v>64.250384971254533</v>
      </c>
      <c r="AS49" s="2" cm="1">
        <f t="array" ref="AS49">VEGAGREEK($B49,100,0.01,AS$44,0.4)</f>
        <v>64.902315746796205</v>
      </c>
      <c r="AT49" s="2" cm="1">
        <f t="array" ref="AT49">VEGAGREEK($B49,100,0.01,AT$44,0.4)</f>
        <v>65.540563520832009</v>
      </c>
      <c r="AU49" s="2" cm="1">
        <f t="array" ref="AU49">VEGAGREEK($B49,100,0.01,AU$44,0.4)</f>
        <v>66.165573793728328</v>
      </c>
      <c r="AV49" s="2" cm="1">
        <f t="array" ref="AV49">VEGAGREEK($B49,100,0.01,AV$44,0.4)</f>
        <v>66.777767567545681</v>
      </c>
      <c r="AW49" s="2" cm="1">
        <f t="array" ref="AW49">VEGAGREEK($B49,100,0.01,AW$44,0.4)</f>
        <v>67.377543235736326</v>
      </c>
      <c r="AX49" s="2" cm="1">
        <f t="array" ref="AX49">VEGAGREEK($B49,100,0.01,AX$44,0.4)</f>
        <v>67.965278288560569</v>
      </c>
      <c r="AY49" s="2" cm="1">
        <f t="array" ref="AY49">VEGAGREEK($B49,100,0.01,AY$44,0.4)</f>
        <v>68.541330855721469</v>
      </c>
      <c r="AZ49" s="2" cm="1">
        <f t="array" ref="AZ49">VEGAGREEK($B49,100,0.01,AZ$44,0.4)</f>
        <v>69.1060411048188</v>
      </c>
    </row>
    <row r="50" spans="1:52" x14ac:dyDescent="0.3">
      <c r="A50" s="2"/>
      <c r="B50" s="2">
        <v>85</v>
      </c>
      <c r="C50" s="2" cm="1">
        <f t="array" ref="C50">VEGAGREEK($B50,100,0.01,C$44,0.4)</f>
        <v>5.134170275900745</v>
      </c>
      <c r="D50" s="2" cm="1">
        <f t="array" ref="D50">VEGAGREEK($B50,100,0.01,D$44,0.4)</f>
        <v>10.942500947877125</v>
      </c>
      <c r="E50" s="2" cm="1">
        <f t="array" ref="E50">VEGAGREEK($B50,100,0.01,E$44,0.4)</f>
        <v>15.339332431372213</v>
      </c>
      <c r="F50" s="2" cm="1">
        <f t="array" ref="F50">VEGAGREEK($B50,100,0.01,F$44,0.4)</f>
        <v>18.925540539125503</v>
      </c>
      <c r="G50" s="2" cm="1">
        <f t="array" ref="G50">VEGAGREEK($B50,100,0.01,G$44,0.4)</f>
        <v>21.995156401845318</v>
      </c>
      <c r="H50" s="2" cm="1">
        <f t="array" ref="H50">VEGAGREEK($B50,100,0.01,H$44,0.4)</f>
        <v>24.703988619723042</v>
      </c>
      <c r="I50" s="2" cm="1">
        <f t="array" ref="I50">VEGAGREEK($B50,100,0.01,I$44,0.4)</f>
        <v>27.144131940822945</v>
      </c>
      <c r="J50" s="2" cm="1">
        <f t="array" ref="J50">VEGAGREEK($B50,100,0.01,J$44,0.4)</f>
        <v>29.374718763790028</v>
      </c>
      <c r="K50" s="2" cm="1">
        <f t="array" ref="K50">VEGAGREEK($B50,100,0.01,K$44,0.4)</f>
        <v>31.436146164635336</v>
      </c>
      <c r="L50" s="2" cm="1">
        <f t="array" ref="L50">VEGAGREEK($B50,100,0.01,L$44,0.4)</f>
        <v>33.357357525510125</v>
      </c>
      <c r="M50" s="2" cm="1">
        <f t="array" ref="M50">VEGAGREEK($B50,100,0.01,M$44,0.4)</f>
        <v>35.15988235463594</v>
      </c>
      <c r="N50" s="2" cm="1">
        <f t="array" ref="N50">VEGAGREEK($B50,100,0.01,N$44,0.4)</f>
        <v>36.860226662026854</v>
      </c>
      <c r="O50" s="2" cm="1">
        <f t="array" ref="O50">VEGAGREEK($B50,100,0.01,O$44,0.4)</f>
        <v>38.471363191913127</v>
      </c>
      <c r="P50" s="2" cm="1">
        <f t="array" ref="P50">VEGAGREEK($B50,100,0.01,P$44,0.4)</f>
        <v>40.003701365920556</v>
      </c>
      <c r="Q50" s="2" cm="1">
        <f t="array" ref="Q50">VEGAGREEK($B50,100,0.01,Q$44,0.4)</f>
        <v>41.465741767872892</v>
      </c>
      <c r="R50" s="2" cm="1">
        <f t="array" ref="R50">VEGAGREEK($B50,100,0.01,R$44,0.4)</f>
        <v>42.864531492169675</v>
      </c>
      <c r="S50" s="2" cm="1">
        <f t="array" ref="S50">VEGAGREEK($B50,100,0.01,S$44,0.4)</f>
        <v>44.205989381938892</v>
      </c>
      <c r="T50" s="2" cm="1">
        <f t="array" ref="T50">VEGAGREEK($B50,100,0.01,T$44,0.4)</f>
        <v>45.49514369229307</v>
      </c>
      <c r="U50" s="2" cm="1">
        <f t="array" ref="U50">VEGAGREEK($B50,100,0.01,U$44,0.4)</f>
        <v>46.736309261500161</v>
      </c>
      <c r="V50" s="2" cm="1">
        <f t="array" ref="V50">VEGAGREEK($B50,100,0.01,V$44,0.4)</f>
        <v>47.933221934900843</v>
      </c>
      <c r="W50" s="2" cm="1">
        <f t="array" ref="W50">VEGAGREEK($B50,100,0.01,W$44,0.4)</f>
        <v>49.089142165521103</v>
      </c>
      <c r="X50" s="2" cm="1">
        <f t="array" ref="X50">VEGAGREEK($B50,100,0.01,X$44,0.4)</f>
        <v>50.206935985772468</v>
      </c>
      <c r="Y50" s="2" cm="1">
        <f t="array" ref="Y50">VEGAGREEK($B50,100,0.01,Y$44,0.4)</f>
        <v>51.289139095798916</v>
      </c>
      <c r="Z50" s="2" cm="1">
        <f t="array" ref="Z50">VEGAGREEK($B50,100,0.01,Z$44,0.4)</f>
        <v>52.338008170427976</v>
      </c>
      <c r="AA50" s="2" cm="1">
        <f t="array" ref="AA50">VEGAGREEK($B50,100,0.01,AA$44,0.4)</f>
        <v>53.355562361479031</v>
      </c>
      <c r="AB50" s="2" cm="1">
        <f t="array" ref="AB50">VEGAGREEK($B50,100,0.01,AB$44,0.4)</f>
        <v>54.343617187925879</v>
      </c>
      <c r="AC50" s="2" cm="1">
        <f t="array" ref="AC50">VEGAGREEK($B50,100,0.01,AC$44,0.4)</f>
        <v>55.303812450790197</v>
      </c>
      <c r="AD50" s="2" cm="1">
        <f t="array" ref="AD50">VEGAGREEK($B50,100,0.01,AD$44,0.4)</f>
        <v>56.237635410082063</v>
      </c>
      <c r="AE50" s="2" cm="1">
        <f t="array" ref="AE50">VEGAGREEK($B50,100,0.01,AE$44,0.4)</f>
        <v>57.146440169805331</v>
      </c>
      <c r="AF50" s="2" cm="1">
        <f t="array" ref="AF50">VEGAGREEK($B50,100,0.01,AF$44,0.4)</f>
        <v>58.03146400197808</v>
      </c>
      <c r="AG50" s="2" cm="1">
        <f t="array" ref="AG50">VEGAGREEK($B50,100,0.01,AG$44,0.4)</f>
        <v>58.893841179971247</v>
      </c>
      <c r="AH50" s="2" cm="1">
        <f t="array" ref="AH50">VEGAGREEK($B50,100,0.01,AH$44,0.4)</f>
        <v>59.734614770167433</v>
      </c>
      <c r="AI50" s="2" cm="1">
        <f t="array" ref="AI50">VEGAGREEK($B50,100,0.01,AI$44,0.4)</f>
        <v>60.554746738426189</v>
      </c>
      <c r="AJ50" s="2" cm="1">
        <f t="array" ref="AJ50">VEGAGREEK($B50,100,0.01,AJ$44,0.4)</f>
        <v>61.355126656617799</v>
      </c>
      <c r="AK50" s="2" cm="1">
        <f t="array" ref="AK50">VEGAGREEK($B50,100,0.01,AK$44,0.4)</f>
        <v>62.136579239173955</v>
      </c>
      <c r="AL50" s="2" cm="1">
        <f t="array" ref="AL50">VEGAGREEK($B50,100,0.01,AL$44,0.4)</f>
        <v>62.899870896293571</v>
      </c>
      <c r="AM50" s="2" cm="1">
        <f t="array" ref="AM50">VEGAGREEK($B50,100,0.01,AM$44,0.4)</f>
        <v>63.645715456269791</v>
      </c>
      <c r="AN50" s="2" cm="1">
        <f t="array" ref="AN50">VEGAGREEK($B50,100,0.01,AN$44,0.4)</f>
        <v>64.374779182246783</v>
      </c>
      <c r="AO50" s="2" cm="1">
        <f t="array" ref="AO50">VEGAGREEK($B50,100,0.01,AO$44,0.4)</f>
        <v>65.087685186985823</v>
      </c>
      <c r="AP50" s="2" cm="1">
        <f t="array" ref="AP50">VEGAGREEK($B50,100,0.01,AP$44,0.4)</f>
        <v>65.785017331721633</v>
      </c>
      <c r="AQ50" s="2" cm="1">
        <f t="array" ref="AQ50">VEGAGREEK($B50,100,0.01,AQ$44,0.4)</f>
        <v>66.467323681014705</v>
      </c>
      <c r="AR50" s="2" cm="1">
        <f t="array" ref="AR50">VEGAGREEK($B50,100,0.01,AR$44,0.4)</f>
        <v>67.135119573954626</v>
      </c>
      <c r="AS50" s="2" cm="1">
        <f t="array" ref="AS50">VEGAGREEK($B50,100,0.01,AS$44,0.4)</f>
        <v>67.788890362606736</v>
      </c>
      <c r="AT50" s="2" cm="1">
        <f t="array" ref="AT50">VEGAGREEK($B50,100,0.01,AT$44,0.4)</f>
        <v>68.429093860803746</v>
      </c>
      <c r="AU50" s="2" cm="1">
        <f t="array" ref="AU50">VEGAGREEK($B50,100,0.01,AU$44,0.4)</f>
        <v>69.05616253993486</v>
      </c>
      <c r="AV50" s="2" cm="1">
        <f t="array" ref="AV50">VEGAGREEK($B50,100,0.01,AV$44,0.4)</f>
        <v>69.670505503026845</v>
      </c>
      <c r="AW50" s="2" cm="1">
        <f t="array" ref="AW50">VEGAGREEK($B50,100,0.01,AW$44,0.4)</f>
        <v>70.272510263934166</v>
      </c>
      <c r="AX50" s="2" cm="1">
        <f t="array" ref="AX50">VEGAGREEK($B50,100,0.01,AX$44,0.4)</f>
        <v>70.862544354703005</v>
      </c>
      <c r="AY50" s="2" cm="1">
        <f t="array" ref="AY50">VEGAGREEK($B50,100,0.01,AY$44,0.4)</f>
        <v>71.440956781014194</v>
      </c>
      <c r="AZ50" s="2" cm="1">
        <f t="array" ref="AZ50">VEGAGREEK($B50,100,0.01,AZ$44,0.4)</f>
        <v>72.008079342938387</v>
      </c>
    </row>
    <row r="51" spans="1:52" x14ac:dyDescent="0.3">
      <c r="A51" s="2"/>
      <c r="B51" s="2">
        <v>90</v>
      </c>
      <c r="C51" s="2" cm="1">
        <f t="array" ref="C51">VEGAGREEK($B51,100,0.01,C$44,0.4)</f>
        <v>8.4944366298322418</v>
      </c>
      <c r="D51" s="2" cm="1">
        <f t="array" ref="D51">VEGAGREEK($B51,100,0.01,D$44,0.4)</f>
        <v>14.252101551775413</v>
      </c>
      <c r="E51" s="2" cm="1">
        <f t="array" ref="E51">VEGAGREEK($B51,100,0.01,E$44,0.4)</f>
        <v>18.447383471164414</v>
      </c>
      <c r="F51" s="2" cm="1">
        <f t="array" ref="F51">VEGAGREEK($B51,100,0.01,F$44,0.4)</f>
        <v>21.870545174578989</v>
      </c>
      <c r="G51" s="2" cm="1">
        <f t="array" ref="G51">VEGAGREEK($B51,100,0.01,G$44,0.4)</f>
        <v>24.816936606915263</v>
      </c>
      <c r="H51" s="2" cm="1">
        <f t="array" ref="H51">VEGAGREEK($B51,100,0.01,H$44,0.4)</f>
        <v>27.43224782739415</v>
      </c>
      <c r="I51" s="2" cm="1">
        <f t="array" ref="I51">VEGAGREEK($B51,100,0.01,I$44,0.4)</f>
        <v>29.800432044816137</v>
      </c>
      <c r="J51" s="2" cm="1">
        <f t="array" ref="J51">VEGAGREEK($B51,100,0.01,J$44,0.4)</f>
        <v>31.974925006217802</v>
      </c>
      <c r="K51" s="2" cm="1">
        <f t="array" ref="K51">VEGAGREEK($B51,100,0.01,K$44,0.4)</f>
        <v>33.992174693873302</v>
      </c>
      <c r="L51" s="2" cm="1">
        <f t="array" ref="L51">VEGAGREEK($B51,100,0.01,L$44,0.4)</f>
        <v>35.878341321405102</v>
      </c>
      <c r="M51" s="2" cm="1">
        <f t="array" ref="M51">VEGAGREEK($B51,100,0.01,M$44,0.4)</f>
        <v>37.652949635765637</v>
      </c>
      <c r="N51" s="2" cm="1">
        <f t="array" ref="N51">VEGAGREEK($B51,100,0.01,N$44,0.4)</f>
        <v>39.331029915490014</v>
      </c>
      <c r="O51" s="2" cm="1">
        <f t="array" ref="O51">VEGAGREEK($B51,100,0.01,O$44,0.4)</f>
        <v>40.924446648821679</v>
      </c>
      <c r="P51" s="2" cm="1">
        <f t="array" ref="P51">VEGAGREEK($B51,100,0.01,P$44,0.4)</f>
        <v>42.442761869395639</v>
      </c>
      <c r="Q51" s="2" cm="1">
        <f t="array" ref="Q51">VEGAGREEK($B51,100,0.01,Q$44,0.4)</f>
        <v>43.893817769266356</v>
      </c>
      <c r="R51" s="2" cm="1">
        <f t="array" ref="R51">VEGAGREEK($B51,100,0.01,R$44,0.4)</f>
        <v>45.284142548105933</v>
      </c>
      <c r="S51" s="2" cm="1">
        <f t="array" ref="S51">VEGAGREEK($B51,100,0.01,S$44,0.4)</f>
        <v>46.61924086583744</v>
      </c>
      <c r="T51" s="2" cm="1">
        <f t="array" ref="T51">VEGAGREEK($B51,100,0.01,T$44,0.4)</f>
        <v>47.903806600046799</v>
      </c>
      <c r="U51" s="2" cm="1">
        <f t="array" ref="U51">VEGAGREEK($B51,100,0.01,U$44,0.4)</f>
        <v>49.141881877509476</v>
      </c>
      <c r="V51" s="2" cm="1">
        <f t="array" ref="V51">VEGAGREEK($B51,100,0.01,V$44,0.4)</f>
        <v>50.336978078576884</v>
      </c>
      <c r="W51" s="2" cm="1">
        <f t="array" ref="W51">VEGAGREEK($B51,100,0.01,W$44,0.4)</f>
        <v>51.492169367626978</v>
      </c>
      <c r="X51" s="2" cm="1">
        <f t="array" ref="X51">VEGAGREEK($B51,100,0.01,X$44,0.4)</f>
        <v>52.610166008918682</v>
      </c>
      <c r="Y51" s="2" cm="1">
        <f t="array" ref="Y51">VEGAGREEK($B51,100,0.01,Y$44,0.4)</f>
        <v>53.69337256473662</v>
      </c>
      <c r="Z51" s="2" cm="1">
        <f t="array" ref="Z51">VEGAGREEK($B51,100,0.01,Z$44,0.4)</f>
        <v>54.743934620698305</v>
      </c>
      <c r="AA51" s="2" cm="1">
        <f t="array" ref="AA51">VEGAGREEK($B51,100,0.01,AA$44,0.4)</f>
        <v>55.763776688197723</v>
      </c>
      <c r="AB51" s="2" cm="1">
        <f t="array" ref="AB51">VEGAGREEK($B51,100,0.01,AB$44,0.4)</f>
        <v>56.754633239706891</v>
      </c>
      <c r="AC51" s="2" cm="1">
        <f t="array" ref="AC51">VEGAGREEK($B51,100,0.01,AC$44,0.4)</f>
        <v>57.718074340103414</v>
      </c>
      <c r="AD51" s="2" cm="1">
        <f t="array" ref="AD51">VEGAGREEK($B51,100,0.01,AD$44,0.4)</f>
        <v>58.655526982419126</v>
      </c>
      <c r="AE51" s="2" cm="1">
        <f t="array" ref="AE51">VEGAGREEK($B51,100,0.01,AE$44,0.4)</f>
        <v>59.568292977311899</v>
      </c>
      <c r="AF51" s="2" cm="1">
        <f t="array" ref="AF51">VEGAGREEK($B51,100,0.01,AF$44,0.4)</f>
        <v>60.457564053925466</v>
      </c>
      <c r="AG51" s="2" cm="1">
        <f t="array" ref="AG51">VEGAGREEK($B51,100,0.01,AG$44,0.4)</f>
        <v>61.324434686386915</v>
      </c>
      <c r="AH51" s="2" cm="1">
        <f t="array" ref="AH51">VEGAGREEK($B51,100,0.01,AH$44,0.4)</f>
        <v>62.169913051693918</v>
      </c>
      <c r="AI51" s="2" cm="1">
        <f t="array" ref="AI51">VEGAGREEK($B51,100,0.01,AI$44,0.4)</f>
        <v>62.994930441832658</v>
      </c>
      <c r="AJ51" s="2" cm="1">
        <f t="array" ref="AJ51">VEGAGREEK($B51,100,0.01,AJ$44,0.4)</f>
        <v>63.800349389012347</v>
      </c>
      <c r="AK51" s="2" cm="1">
        <f t="array" ref="AK51">VEGAGREEK($B51,100,0.01,AK$44,0.4)</f>
        <v>64.586970713137561</v>
      </c>
      <c r="AL51" s="2" cm="1">
        <f t="array" ref="AL51">VEGAGREEK($B51,100,0.01,AL$44,0.4)</f>
        <v>65.355539661598442</v>
      </c>
      <c r="AM51" s="2" cm="1">
        <f t="array" ref="AM51">VEGAGREEK($B51,100,0.01,AM$44,0.4)</f>
        <v>66.106751280595773</v>
      </c>
      <c r="AN51" s="2" cm="1">
        <f t="array" ref="AN51">VEGAGREEK($B51,100,0.01,AN$44,0.4)</f>
        <v>66.841255132644051</v>
      </c>
      <c r="AO51" s="2" cm="1">
        <f t="array" ref="AO51">VEGAGREEK($B51,100,0.01,AO$44,0.4)</f>
        <v>67.559659455196339</v>
      </c>
      <c r="AP51" s="2" cm="1">
        <f t="array" ref="AP51">VEGAGREEK($B51,100,0.01,AP$44,0.4)</f>
        <v>68.262534839442424</v>
      </c>
      <c r="AQ51" s="2" cm="1">
        <f t="array" ref="AQ51">VEGAGREEK($B51,100,0.01,AQ$44,0.4)</f>
        <v>68.950417495433527</v>
      </c>
      <c r="AR51" s="2" cm="1">
        <f t="array" ref="AR51">VEGAGREEK($B51,100,0.01,AR$44,0.4)</f>
        <v>69.623812159158618</v>
      </c>
      <c r="AS51" s="2" cm="1">
        <f t="array" ref="AS51">VEGAGREEK($B51,100,0.01,AS$44,0.4)</f>
        <v>70.283194688557188</v>
      </c>
      <c r="AT51" s="2" cm="1">
        <f t="array" ref="AT51">VEGAGREEK($B51,100,0.01,AT$44,0.4)</f>
        <v>70.929014388327474</v>
      </c>
      <c r="AU51" s="2" cm="1">
        <f t="array" ref="AU51">VEGAGREEK($B51,100,0.01,AU$44,0.4)</f>
        <v>71.561696097480961</v>
      </c>
      <c r="AV51" s="2" cm="1">
        <f t="array" ref="AV51">VEGAGREEK($B51,100,0.01,AV$44,0.4)</f>
        <v>72.181642068676851</v>
      </c>
      <c r="AW51" s="2" cm="1">
        <f t="array" ref="AW51">VEGAGREEK($B51,100,0.01,AW$44,0.4)</f>
        <v>72.789233664254525</v>
      </c>
      <c r="AX51" s="2" cm="1">
        <f t="array" ref="AX51">VEGAGREEK($B51,100,0.01,AX$44,0.4)</f>
        <v>73.384832890429337</v>
      </c>
      <c r="AY51" s="2" cm="1">
        <f t="array" ref="AY51">VEGAGREEK($B51,100,0.01,AY$44,0.4)</f>
        <v>73.968783788201165</v>
      </c>
      <c r="AZ51" s="2" cm="1">
        <f t="array" ref="AZ51">VEGAGREEK($B51,100,0.01,AZ$44,0.4)</f>
        <v>74.541413697061415</v>
      </c>
    </row>
    <row r="52" spans="1:52" x14ac:dyDescent="0.3">
      <c r="A52" s="2"/>
      <c r="B52" s="2">
        <v>95</v>
      </c>
      <c r="C52" s="2" cm="1">
        <f t="array" ref="C52">VEGAGREEK($B52,100,0.01,C$44,0.4)</f>
        <v>11.333333220096822</v>
      </c>
      <c r="D52" s="2" cm="1">
        <f t="array" ref="D52">VEGAGREEK($B52,100,0.01,D$44,0.4)</f>
        <v>16.658156448356948</v>
      </c>
      <c r="E52" s="2" cm="1">
        <f t="array" ref="E52">VEGAGREEK($B52,100,0.01,E$44,0.4)</f>
        <v>20.631198346871798</v>
      </c>
      <c r="F52" s="2" cm="1">
        <f t="array" ref="F52">VEGAGREEK($B52,100,0.01,F$44,0.4)</f>
        <v>23.926000796598561</v>
      </c>
      <c r="G52" s="2" cm="1">
        <f t="array" ref="G52">VEGAGREEK($B52,100,0.01,G$44,0.4)</f>
        <v>26.792372355390583</v>
      </c>
      <c r="H52" s="2" cm="1">
        <f t="array" ref="H52">VEGAGREEK($B52,100,0.01,H$44,0.4)</f>
        <v>29.355719189201128</v>
      </c>
      <c r="I52" s="2" cm="1">
        <f t="array" ref="I52">VEGAGREEK($B52,100,0.01,I$44,0.4)</f>
        <v>31.689616425119247</v>
      </c>
      <c r="J52" s="2" cm="1">
        <f t="array" ref="J52">VEGAGREEK($B52,100,0.01,J$44,0.4)</f>
        <v>33.841630258911003</v>
      </c>
      <c r="K52" s="2" cm="1">
        <f t="array" ref="K52">VEGAGREEK($B52,100,0.01,K$44,0.4)</f>
        <v>35.844635012777559</v>
      </c>
      <c r="L52" s="2" cm="1">
        <f t="array" ref="L52">VEGAGREEK($B52,100,0.01,L$44,0.4)</f>
        <v>37.72248950106286</v>
      </c>
      <c r="M52" s="2" cm="1">
        <f t="array" ref="M52">VEGAGREEK($B52,100,0.01,M$44,0.4)</f>
        <v>39.493169730960169</v>
      </c>
      <c r="N52" s="2" cm="1">
        <f t="array" ref="N52">VEGAGREEK($B52,100,0.01,N$44,0.4)</f>
        <v>41.17062625265666</v>
      </c>
      <c r="O52" s="2" cm="1">
        <f t="array" ref="O52">VEGAGREEK($B52,100,0.01,O$44,0.4)</f>
        <v>42.765948689324539</v>
      </c>
      <c r="P52" s="2" cm="1">
        <f t="array" ref="P52">VEGAGREEK($B52,100,0.01,P$44,0.4)</f>
        <v>44.288129426252439</v>
      </c>
      <c r="Q52" s="2" cm="1">
        <f t="array" ref="Q52">VEGAGREEK($B52,100,0.01,Q$44,0.4)</f>
        <v>45.744583271463739</v>
      </c>
      <c r="R52" s="2" cm="1">
        <f t="array" ref="R52">VEGAGREEK($B52,100,0.01,R$44,0.4)</f>
        <v>47.141512168282667</v>
      </c>
      <c r="S52" s="2" cm="1">
        <f t="array" ref="S52">VEGAGREEK($B52,100,0.01,S$44,0.4)</f>
        <v>48.484167977282596</v>
      </c>
      <c r="T52" s="2" cm="1">
        <f t="array" ref="T52">VEGAGREEK($B52,100,0.01,T$44,0.4)</f>
        <v>49.777046147898972</v>
      </c>
      <c r="U52" s="2" cm="1">
        <f t="array" ref="U52">VEGAGREEK($B52,100,0.01,U$44,0.4)</f>
        <v>51.024031293309726</v>
      </c>
      <c r="V52" s="2" cm="1">
        <f t="array" ref="V52">VEGAGREEK($B52,100,0.01,V$44,0.4)</f>
        <v>52.228508521509205</v>
      </c>
      <c r="W52" s="2" cm="1">
        <f t="array" ref="W52">VEGAGREEK($B52,100,0.01,W$44,0.4)</f>
        <v>53.393449891395626</v>
      </c>
      <c r="X52" s="2" cm="1">
        <f t="array" ref="X52">VEGAGREEK($B52,100,0.01,X$44,0.4)</f>
        <v>54.521482474722582</v>
      </c>
      <c r="Y52" s="2" cm="1">
        <f t="array" ref="Y52">VEGAGREEK($B52,100,0.01,Y$44,0.4)</f>
        <v>55.614942597975855</v>
      </c>
      <c r="Z52" s="2" cm="1">
        <f t="array" ref="Z52">VEGAGREEK($B52,100,0.01,Z$44,0.4)</f>
        <v>56.675919551065171</v>
      </c>
      <c r="AA52" s="2" cm="1">
        <f t="array" ref="AA52">VEGAGREEK($B52,100,0.01,AA$44,0.4)</f>
        <v>57.706291163367709</v>
      </c>
      <c r="AB52" s="2" cm="1">
        <f t="array" ref="AB52">VEGAGREEK($B52,100,0.01,AB$44,0.4)</f>
        <v>58.707753026258082</v>
      </c>
      <c r="AC52" s="2" cm="1">
        <f t="array" ref="AC52">VEGAGREEK($B52,100,0.01,AC$44,0.4)</f>
        <v>59.681842698455362</v>
      </c>
      <c r="AD52" s="2" cm="1">
        <f t="array" ref="AD52">VEGAGREEK($B52,100,0.01,AD$44,0.4)</f>
        <v>60.62995991026046</v>
      </c>
      <c r="AE52" s="2" cm="1">
        <f t="array" ref="AE52">VEGAGREEK($B52,100,0.01,AE$44,0.4)</f>
        <v>61.55338354796303</v>
      </c>
      <c r="AF52" s="2" cm="1">
        <f t="array" ref="AF52">VEGAGREEK($B52,100,0.01,AF$44,0.4)</f>
        <v>62.45328602539557</v>
      </c>
      <c r="AG52" s="2" cm="1">
        <f t="array" ref="AG52">VEGAGREEK($B52,100,0.01,AG$44,0.4)</f>
        <v>63.330745518719326</v>
      </c>
      <c r="AH52" s="2" cm="1">
        <f t="array" ref="AH52">VEGAGREEK($B52,100,0.01,AH$44,0.4)</f>
        <v>64.18675644117954</v>
      </c>
      <c r="AI52" s="2" cm="1">
        <f t="array" ref="AI52">VEGAGREEK($B52,100,0.01,AI$44,0.4)</f>
        <v>65.022238458412502</v>
      </c>
      <c r="AJ52" s="2" cm="1">
        <f t="array" ref="AJ52">VEGAGREEK($B52,100,0.01,AJ$44,0.4)</f>
        <v>65.838044285972245</v>
      </c>
      <c r="AK52" s="2" cm="1">
        <f t="array" ref="AK52">VEGAGREEK($B52,100,0.01,AK$44,0.4)</f>
        <v>66.63496646477347</v>
      </c>
      <c r="AL52" s="2" cm="1">
        <f t="array" ref="AL52">VEGAGREEK($B52,100,0.01,AL$44,0.4)</f>
        <v>67.413743273987279</v>
      </c>
      <c r="AM52" s="2" cm="1">
        <f t="array" ref="AM52">VEGAGREEK($B52,100,0.01,AM$44,0.4)</f>
        <v>68.175063912268214</v>
      </c>
      <c r="AN52" s="2" cm="1">
        <f t="array" ref="AN52">VEGAGREEK($B52,100,0.01,AN$44,0.4)</f>
        <v>68.91957305531902</v>
      </c>
      <c r="AO52" s="2" cm="1">
        <f t="array" ref="AO52">VEGAGREEK($B52,100,0.01,AO$44,0.4)</f>
        <v>69.647874879421579</v>
      </c>
      <c r="AP52" s="2" cm="1">
        <f t="array" ref="AP52">VEGAGREEK($B52,100,0.01,AP$44,0.4)</f>
        <v>70.360536625704711</v>
      </c>
      <c r="AQ52" s="2" cm="1">
        <f t="array" ref="AQ52">VEGAGREEK($B52,100,0.01,AQ$44,0.4)</f>
        <v>71.058091767834796</v>
      </c>
      <c r="AR52" s="2" cm="1">
        <f t="array" ref="AR52">VEGAGREEK($B52,100,0.01,AR$44,0.4)</f>
        <v>71.741042835932433</v>
      </c>
      <c r="AS52" s="2" cm="1">
        <f t="array" ref="AS52">VEGAGREEK($B52,100,0.01,AS$44,0.4)</f>
        <v>72.409863941391279</v>
      </c>
      <c r="AT52" s="2" cm="1">
        <f t="array" ref="AT52">VEGAGREEK($B52,100,0.01,AT$44,0.4)</f>
        <v>73.065003040560981</v>
      </c>
      <c r="AU52" s="2" cm="1">
        <f t="array" ref="AU52">VEGAGREEK($B52,100,0.01,AU$44,0.4)</f>
        <v>73.706883969679524</v>
      </c>
      <c r="AV52" s="2" cm="1">
        <f t="array" ref="AV52">VEGAGREEK($B52,100,0.01,AV$44,0.4)</f>
        <v>74.335908278790455</v>
      </c>
      <c r="AW52" s="2" cm="1">
        <f t="array" ref="AW52">VEGAGREEK($B52,100,0.01,AW$44,0.4)</f>
        <v>74.952456888483752</v>
      </c>
      <c r="AX52" s="2" cm="1">
        <f t="array" ref="AX52">VEGAGREEK($B52,100,0.01,AX$44,0.4)</f>
        <v>75.556891590022872</v>
      </c>
      <c r="AY52" s="2" cm="1">
        <f t="array" ref="AY52">VEGAGREEK($B52,100,0.01,AY$44,0.4)</f>
        <v>76.149556406652096</v>
      </c>
      <c r="AZ52" s="2" cm="1">
        <f t="array" ref="AZ52">VEGAGREEK($B52,100,0.01,AZ$44,0.4)</f>
        <v>76.730778831533073</v>
      </c>
    </row>
    <row r="53" spans="1:52" x14ac:dyDescent="0.3">
      <c r="A53" s="2"/>
      <c r="B53" s="2">
        <v>100</v>
      </c>
      <c r="C53" s="2" cm="1">
        <f t="array" ref="C53">VEGAGREEK($B53,100,0.01,C$44,0.4)</f>
        <v>12.583769595744091</v>
      </c>
      <c r="D53" s="2" cm="1">
        <f t="array" ref="D53">VEGAGREEK($B53,100,0.01,D$44,0.4)</f>
        <v>17.751148118577877</v>
      </c>
      <c r="E53" s="2" cm="1">
        <f t="array" ref="E53">VEGAGREEK($B53,100,0.01,E$44,0.4)</f>
        <v>21.685666245713325</v>
      </c>
      <c r="F53" s="2" cm="1">
        <f t="array" ref="F53">VEGAGREEK($B53,100,0.01,F$44,0.4)</f>
        <v>24.977147001014568</v>
      </c>
      <c r="G53" s="2" cm="1">
        <f t="array" ref="G53">VEGAGREEK($B53,100,0.01,G$44,0.4)</f>
        <v>27.854702761735151</v>
      </c>
      <c r="H53" s="2" cm="1">
        <f t="array" ref="H53">VEGAGREEK($B53,100,0.01,H$44,0.4)</f>
        <v>30.436158955047052</v>
      </c>
      <c r="I53" s="2" cm="1">
        <f t="array" ref="I53">VEGAGREEK($B53,100,0.01,I$44,0.4)</f>
        <v>32.791699876266655</v>
      </c>
      <c r="J53" s="2" cm="1">
        <f t="array" ref="J53">VEGAGREEK($B53,100,0.01,J$44,0.4)</f>
        <v>34.967178945798814</v>
      </c>
      <c r="K53" s="2" cm="1">
        <f t="array" ref="K53">VEGAGREEK($B53,100,0.01,K$44,0.4)</f>
        <v>36.994532999413373</v>
      </c>
      <c r="L53" s="2" cm="1">
        <f t="array" ref="L53">VEGAGREEK($B53,100,0.01,L$44,0.4)</f>
        <v>38.897078803674944</v>
      </c>
      <c r="M53" s="2" cm="1">
        <f t="array" ref="M53">VEGAGREEK($B53,100,0.01,M$44,0.4)</f>
        <v>40.692467136834303</v>
      </c>
      <c r="N53" s="2" cm="1">
        <f t="array" ref="N53">VEGAGREEK($B53,100,0.01,N$44,0.4)</f>
        <v>42.394448886575823</v>
      </c>
      <c r="O53" s="2" cm="1">
        <f t="array" ref="O53">VEGAGREEK($B53,100,0.01,O$44,0.4)</f>
        <v>44.013989871931749</v>
      </c>
      <c r="P53" s="2" cm="1">
        <f t="array" ref="P53">VEGAGREEK($B53,100,0.01,P$44,0.4)</f>
        <v>45.560006037385797</v>
      </c>
      <c r="Q53" s="2" cm="1">
        <f t="array" ref="Q53">VEGAGREEK($B53,100,0.01,Q$44,0.4)</f>
        <v>47.039866088935568</v>
      </c>
      <c r="R53" s="2" cm="1">
        <f t="array" ref="R53">VEGAGREEK($B53,100,0.01,R$44,0.4)</f>
        <v>48.45974568345509</v>
      </c>
      <c r="S53" s="2" cm="1">
        <f t="array" ref="S53">VEGAGREEK($B53,100,0.01,S$44,0.4)</f>
        <v>49.824883520030689</v>
      </c>
      <c r="T53" s="2" cm="1">
        <f t="array" ref="T53">VEGAGREEK($B53,100,0.01,T$44,0.4)</f>
        <v>51.139770656609578</v>
      </c>
      <c r="U53" s="2" cm="1">
        <f t="array" ref="U53">VEGAGREEK($B53,100,0.01,U$44,0.4)</f>
        <v>52.408293194233785</v>
      </c>
      <c r="V53" s="2" cm="1">
        <f t="array" ref="V53">VEGAGREEK($B53,100,0.01,V$44,0.4)</f>
        <v>53.633841658164222</v>
      </c>
      <c r="W53" s="2" cm="1">
        <f t="array" ref="W53">VEGAGREEK($B53,100,0.01,W$44,0.4)</f>
        <v>54.819396121197592</v>
      </c>
      <c r="X53" s="2" cm="1">
        <f t="array" ref="X53">VEGAGREEK($B53,100,0.01,X$44,0.4)</f>
        <v>55.967593345229503</v>
      </c>
      <c r="Y53" s="2" cm="1">
        <f t="array" ref="Y53">VEGAGREEK($B53,100,0.01,Y$44,0.4)</f>
        <v>57.080780382679023</v>
      </c>
      <c r="Z53" s="2" cm="1">
        <f t="array" ref="Z53">VEGAGREEK($B53,100,0.01,Z$44,0.4)</f>
        <v>58.161057837373768</v>
      </c>
      <c r="AA53" s="2" cm="1">
        <f t="array" ref="AA53">VEGAGREEK($B53,100,0.01,AA$44,0.4)</f>
        <v>59.210315126927597</v>
      </c>
      <c r="AB53" s="2" cm="1">
        <f t="array" ref="AB53">VEGAGREEK($B53,100,0.01,AB$44,0.4)</f>
        <v>60.230259485944948</v>
      </c>
      <c r="AC53" s="2" cm="1">
        <f t="array" ref="AC53">VEGAGREEK($B53,100,0.01,AC$44,0.4)</f>
        <v>61.222440018942713</v>
      </c>
      <c r="AD53" s="2" cm="1">
        <f t="array" ref="AD53">VEGAGREEK($B53,100,0.01,AD$44,0.4)</f>
        <v>62.18826779992169</v>
      </c>
      <c r="AE53" s="2" cm="1">
        <f t="array" ref="AE53">VEGAGREEK($B53,100,0.01,AE$44,0.4)</f>
        <v>63.129032786372626</v>
      </c>
      <c r="AF53" s="2" cm="1">
        <f t="array" ref="AF53">VEGAGREEK($B53,100,0.01,AF$44,0.4)</f>
        <v>64.045918145093665</v>
      </c>
      <c r="AG53" s="2" cm="1">
        <f t="array" ref="AG53">VEGAGREEK($B53,100,0.01,AG$44,0.4)</f>
        <v>64.940012459017439</v>
      </c>
      <c r="AH53" s="2" cm="1">
        <f t="array" ref="AH53">VEGAGREEK($B53,100,0.01,AH$44,0.4)</f>
        <v>65.812320186810908</v>
      </c>
      <c r="AI53" s="2" cm="1">
        <f t="array" ref="AI53">VEGAGREEK($B53,100,0.01,AI$44,0.4)</f>
        <v>66.663770672216629</v>
      </c>
      <c r="AJ53" s="2" cm="1">
        <f t="array" ref="AJ53">VEGAGREEK($B53,100,0.01,AJ$44,0.4)</f>
        <v>67.495225942164325</v>
      </c>
      <c r="AK53" s="2" cm="1">
        <f t="array" ref="AK53">VEGAGREEK($B53,100,0.01,AK$44,0.4)</f>
        <v>68.307487487416068</v>
      </c>
      <c r="AL53" s="2" cm="1">
        <f t="array" ref="AL53">VEGAGREEK($B53,100,0.01,AL$44,0.4)</f>
        <v>69.101302183860739</v>
      </c>
      <c r="AM53" s="2" cm="1">
        <f t="array" ref="AM53">VEGAGREEK($B53,100,0.01,AM$44,0.4)</f>
        <v>69.877367484291781</v>
      </c>
      <c r="AN53" s="2" cm="1">
        <f t="array" ref="AN53">VEGAGREEK($B53,100,0.01,AN$44,0.4)</f>
        <v>70.636335987905625</v>
      </c>
      <c r="AO53" s="2" cm="1">
        <f t="array" ref="AO53">VEGAGREEK($B53,100,0.01,AO$44,0.4)</f>
        <v>71.378819476585633</v>
      </c>
      <c r="AP53" s="2" cm="1">
        <f t="array" ref="AP53">VEGAGREEK($B53,100,0.01,AP$44,0.4)</f>
        <v>72.105392492329599</v>
      </c>
      <c r="AQ53" s="2" cm="1">
        <f t="array" ref="AQ53">VEGAGREEK($B53,100,0.01,AQ$44,0.4)</f>
        <v>72.816595518207379</v>
      </c>
      <c r="AR53" s="2" cm="1">
        <f t="array" ref="AR53">VEGAGREEK($B53,100,0.01,AR$44,0.4)</f>
        <v>73.512937815436686</v>
      </c>
      <c r="AS53" s="2" cm="1">
        <f t="array" ref="AS53">VEGAGREEK($B53,100,0.01,AS$44,0.4)</f>
        <v>74.194899961100546</v>
      </c>
      <c r="AT53" s="2" cm="1">
        <f t="array" ref="AT53">VEGAGREEK($B53,100,0.01,AT$44,0.4)</f>
        <v>74.862936124363728</v>
      </c>
      <c r="AU53" s="2" cm="1">
        <f t="array" ref="AU53">VEGAGREEK($B53,100,0.01,AU$44,0.4)</f>
        <v>75.51747611350234</v>
      </c>
      <c r="AV53" s="2" cm="1">
        <f t="array" ref="AV53">VEGAGREEK($B53,100,0.01,AV$44,0.4)</f>
        <v>76.158927221438574</v>
      </c>
      <c r="AW53" s="2" cm="1">
        <f t="array" ref="AW53">VEGAGREEK($B53,100,0.01,AW$44,0.4)</f>
        <v>76.787675893594241</v>
      </c>
      <c r="AX53" s="2" cm="1">
        <f t="array" ref="AX53">VEGAGREEK($B53,100,0.01,AX$44,0.4)</f>
        <v>77.404089238615299</v>
      </c>
      <c r="AY53" s="2" cm="1">
        <f t="array" ref="AY53">VEGAGREEK($B53,100,0.01,AY$44,0.4)</f>
        <v>78.00851639976122</v>
      </c>
      <c r="AZ53" s="2" cm="1">
        <f t="array" ref="AZ53">VEGAGREEK($B53,100,0.01,AZ$44,0.4)</f>
        <v>78.601289802415735</v>
      </c>
    </row>
    <row r="54" spans="1:52" x14ac:dyDescent="0.3">
      <c r="A54" s="2"/>
      <c r="B54" s="2">
        <v>105</v>
      </c>
      <c r="C54" s="2" cm="1">
        <f t="array" ref="C54">VEGAGREEK($B54,100,0.01,C$44,0.4)</f>
        <v>11.933666810600977</v>
      </c>
      <c r="D54" s="2" cm="1">
        <f t="array" ref="D54">VEGAGREEK($B54,100,0.01,D$44,0.4)</f>
        <v>17.472022573104731</v>
      </c>
      <c r="E54" s="2" cm="1">
        <f t="array" ref="E54">VEGAGREEK($B54,100,0.01,E$44,0.4)</f>
        <v>21.610958619520549</v>
      </c>
      <c r="F54" s="2" cm="1">
        <f t="array" ref="F54">VEGAGREEK($B54,100,0.01,F$44,0.4)</f>
        <v>25.045883501146896</v>
      </c>
      <c r="G54" s="2" cm="1">
        <f t="array" ref="G54">VEGAGREEK($B54,100,0.01,G$44,0.4)</f>
        <v>28.035442367865397</v>
      </c>
      <c r="H54" s="2" cm="1">
        <f t="array" ref="H54">VEGAGREEK($B54,100,0.01,H$44,0.4)</f>
        <v>30.709704243092478</v>
      </c>
      <c r="I54" s="2" cm="1">
        <f t="array" ref="I54">VEGAGREEK($B54,100,0.01,I$44,0.4)</f>
        <v>33.145069888075959</v>
      </c>
      <c r="J54" s="2" cm="1">
        <f t="array" ref="J54">VEGAGREEK($B54,100,0.01,J$44,0.4)</f>
        <v>35.390974269164168</v>
      </c>
      <c r="K54" s="2" cm="1">
        <f t="array" ref="K54">VEGAGREEK($B54,100,0.01,K$44,0.4)</f>
        <v>37.481605244204772</v>
      </c>
      <c r="L54" s="2" cm="1">
        <f t="array" ref="L54">VEGAGREEK($B54,100,0.01,L$44,0.4)</f>
        <v>39.441787441547575</v>
      </c>
      <c r="M54" s="2" cm="1">
        <f t="array" ref="M54">VEGAGREEK($B54,100,0.01,M$44,0.4)</f>
        <v>41.290232132990454</v>
      </c>
      <c r="N54" s="2" cm="1">
        <f t="array" ref="N54">VEGAGREEK($B54,100,0.01,N$44,0.4)</f>
        <v>43.041465329174834</v>
      </c>
      <c r="O54" s="2" cm="1">
        <f t="array" ref="O54">VEGAGREEK($B54,100,0.01,O$44,0.4)</f>
        <v>44.707037328108449</v>
      </c>
      <c r="P54" s="2" cm="1">
        <f t="array" ref="P54">VEGAGREEK($B54,100,0.01,P$44,0.4)</f>
        <v>46.296316293079286</v>
      </c>
      <c r="Q54" s="2" cm="1">
        <f t="array" ref="Q54">VEGAGREEK($B54,100,0.01,Q$44,0.4)</f>
        <v>47.817028464222211</v>
      </c>
      <c r="R54" s="2" cm="1">
        <f t="array" ref="R54">VEGAGREEK($B54,100,0.01,R$44,0.4)</f>
        <v>49.275637423447314</v>
      </c>
      <c r="S54" s="2" cm="1">
        <f t="array" ref="S54">VEGAGREEK($B54,100,0.01,S$44,0.4)</f>
        <v>50.677617442880084</v>
      </c>
      <c r="T54" s="2" cm="1">
        <f t="array" ref="T54">VEGAGREEK($B54,100,0.01,T$44,0.4)</f>
        <v>52.027654996793125</v>
      </c>
      <c r="U54" s="2" cm="1">
        <f t="array" ref="U54">VEGAGREEK($B54,100,0.01,U$44,0.4)</f>
        <v>53.329800264937987</v>
      </c>
      <c r="V54" s="2" cm="1">
        <f t="array" ref="V54">VEGAGREEK($B54,100,0.01,V$44,0.4)</f>
        <v>54.587583021582596</v>
      </c>
      <c r="W54" s="2" cm="1">
        <f t="array" ref="W54">VEGAGREEK($B54,100,0.01,W$44,0.4)</f>
        <v>55.804102647975142</v>
      </c>
      <c r="X54" s="2" cm="1">
        <f t="array" ref="X54">VEGAGREEK($B54,100,0.01,X$44,0.4)</f>
        <v>56.982099005994534</v>
      </c>
      <c r="Y54" s="2" cm="1">
        <f t="array" ref="Y54">VEGAGREEK($B54,100,0.01,Y$44,0.4)</f>
        <v>58.124008929471756</v>
      </c>
      <c r="Z54" s="2" cm="1">
        <f t="array" ref="Z54">VEGAGREEK($B54,100,0.01,Z$44,0.4)</f>
        <v>59.232011751881188</v>
      </c>
      <c r="AA54" s="2" cm="1">
        <f t="array" ref="AA54">VEGAGREEK($B54,100,0.01,AA$44,0.4)</f>
        <v>60.308066367684887</v>
      </c>
      <c r="AB54" s="2" cm="1">
        <f t="array" ref="AB54">VEGAGREEK($B54,100,0.01,AB$44,0.4)</f>
        <v>61.35394167849504</v>
      </c>
      <c r="AC54" s="2" cm="1">
        <f t="array" ref="AC54">VEGAGREEK($B54,100,0.01,AC$44,0.4)</f>
        <v>62.371241814714246</v>
      </c>
      <c r="AD54" s="2" cm="1">
        <f t="array" ref="AD54">VEGAGREEK($B54,100,0.01,AD$44,0.4)</f>
        <v>63.361427190195521</v>
      </c>
      <c r="AE54" s="2" cm="1">
        <f t="array" ref="AE54">VEGAGREEK($B54,100,0.01,AE$44,0.4)</f>
        <v>64.325832203200378</v>
      </c>
      <c r="AF54" s="2" cm="1">
        <f t="array" ref="AF54">VEGAGREEK($B54,100,0.01,AF$44,0.4)</f>
        <v>65.265680215575102</v>
      </c>
      <c r="AG54" s="2" cm="1">
        <f t="array" ref="AG54">VEGAGREEK($B54,100,0.01,AG$44,0.4)</f>
        <v>66.182096305853463</v>
      </c>
      <c r="AH54" s="2" cm="1">
        <f t="array" ref="AH54">VEGAGREEK($B54,100,0.01,AH$44,0.4)</f>
        <v>67.076118188596155</v>
      </c>
      <c r="AI54" s="2" cm="1">
        <f t="array" ref="AI54">VEGAGREEK($B54,100,0.01,AI$44,0.4)</f>
        <v>67.948705613007462</v>
      </c>
      <c r="AJ54" s="2" cm="1">
        <f t="array" ref="AJ54">VEGAGREEK($B54,100,0.01,AJ$44,0.4)</f>
        <v>68.800748492538503</v>
      </c>
      <c r="AK54" s="2" cm="1">
        <f t="array" ref="AK54">VEGAGREEK($B54,100,0.01,AK$44,0.4)</f>
        <v>69.633073969323405</v>
      </c>
      <c r="AL54" s="2" cm="1">
        <f t="array" ref="AL54">VEGAGREEK($B54,100,0.01,AL$44,0.4)</f>
        <v>70.446452579644131</v>
      </c>
      <c r="AM54" s="2" cm="1">
        <f t="array" ref="AM54">VEGAGREEK($B54,100,0.01,AM$44,0.4)</f>
        <v>71.241603656776263</v>
      </c>
      <c r="AN54" s="2" cm="1">
        <f t="array" ref="AN54">VEGAGREEK($B54,100,0.01,AN$44,0.4)</f>
        <v>72.019200083748288</v>
      </c>
      <c r="AO54" s="2" cm="1">
        <f t="array" ref="AO54">VEGAGREEK($B54,100,0.01,AO$44,0.4)</f>
        <v>72.779872489406017</v>
      </c>
      <c r="AP54" s="2" cm="1">
        <f t="array" ref="AP54">VEGAGREEK($B54,100,0.01,AP$44,0.4)</f>
        <v>73.524212965697188</v>
      </c>
      <c r="AQ54" s="2" cm="1">
        <f t="array" ref="AQ54">VEGAGREEK($B54,100,0.01,AQ$44,0.4)</f>
        <v>74.252778371503155</v>
      </c>
      <c r="AR54" s="2" cm="1">
        <f t="array" ref="AR54">VEGAGREEK($B54,100,0.01,AR$44,0.4)</f>
        <v>74.96609327804876</v>
      </c>
      <c r="AS54" s="2" cm="1">
        <f t="array" ref="AS54">VEGAGREEK($B54,100,0.01,AS$44,0.4)</f>
        <v>75.664652602454112</v>
      </c>
      <c r="AT54" s="2" cm="1">
        <f t="array" ref="AT54">VEGAGREEK($B54,100,0.01,AT$44,0.4)</f>
        <v>76.348923968997227</v>
      </c>
      <c r="AU54" s="2" cm="1">
        <f t="array" ref="AU54">VEGAGREEK($B54,100,0.01,AU$44,0.4)</f>
        <v>77.019349831844195</v>
      </c>
      <c r="AV54" s="2" cm="1">
        <f t="array" ref="AV54">VEGAGREEK($B54,100,0.01,AV$44,0.4)</f>
        <v>77.676349388159935</v>
      </c>
      <c r="AW54" s="2" cm="1">
        <f t="array" ref="AW54">VEGAGREEK($B54,100,0.01,AW$44,0.4)</f>
        <v>78.320320306450469</v>
      </c>
      <c r="AX54" s="2" cm="1">
        <f t="array" ref="AX54">VEGAGREEK($B54,100,0.01,AX$44,0.4)</f>
        <v>78.951640291573895</v>
      </c>
      <c r="AY54" s="2" cm="1">
        <f t="array" ref="AY54">VEGAGREEK($B54,100,0.01,AY$44,0.4)</f>
        <v>79.570668504972005</v>
      </c>
      <c r="AZ54" s="2" cm="1">
        <f t="array" ref="AZ54">VEGAGREEK($B54,100,0.01,AZ$44,0.4)</f>
        <v>80.177746856229604</v>
      </c>
    </row>
    <row r="55" spans="1:52" x14ac:dyDescent="0.3">
      <c r="A55" s="2"/>
      <c r="B55" s="2">
        <v>110</v>
      </c>
      <c r="C55" s="2" cm="1">
        <f t="array" ref="C55">VEGAGREEK($B55,100,0.01,C$44,0.4)</f>
        <v>9.8772102719814985</v>
      </c>
      <c r="D55" s="2" cm="1">
        <f t="array" ref="D55">VEGAGREEK($B55,100,0.01,D$44,0.4)</f>
        <v>16.058052314950743</v>
      </c>
      <c r="E55" s="2" cm="1">
        <f t="array" ref="E55">VEGAGREEK($B55,100,0.01,E$44,0.4)</f>
        <v>20.567751497319989</v>
      </c>
      <c r="F55" s="2" cm="1">
        <f t="array" ref="F55">VEGAGREEK($B55,100,0.01,F$44,0.4)</f>
        <v>24.25664264094442</v>
      </c>
      <c r="G55" s="2" cm="1">
        <f t="array" ref="G55">VEGAGREEK($B55,100,0.01,G$44,0.4)</f>
        <v>27.437887845326763</v>
      </c>
      <c r="H55" s="2" cm="1">
        <f t="array" ref="H55">VEGAGREEK($B55,100,0.01,H$44,0.4)</f>
        <v>30.265755333681557</v>
      </c>
      <c r="I55" s="2" cm="1">
        <f t="array" ref="I55">VEGAGREEK($B55,100,0.01,I$44,0.4)</f>
        <v>32.829251351137096</v>
      </c>
      <c r="J55" s="2" cm="1">
        <f t="array" ref="J55">VEGAGREEK($B55,100,0.01,J$44,0.4)</f>
        <v>35.18513130089962</v>
      </c>
      <c r="K55" s="2" cm="1">
        <f t="array" ref="K55">VEGAGREEK($B55,100,0.01,K$44,0.4)</f>
        <v>37.372179967358093</v>
      </c>
      <c r="L55" s="2" cm="1">
        <f t="array" ref="L55">VEGAGREEK($B55,100,0.01,L$44,0.4)</f>
        <v>39.418283682816536</v>
      </c>
      <c r="M55" s="2" cm="1">
        <f t="array" ref="M55">VEGAGREEK($B55,100,0.01,M$44,0.4)</f>
        <v>41.344288735816299</v>
      </c>
      <c r="N55" s="2" cm="1">
        <f t="array" ref="N55">VEGAGREEK($B55,100,0.01,N$44,0.4)</f>
        <v>43.166265791499981</v>
      </c>
      <c r="O55" s="2" cm="1">
        <f t="array" ref="O55">VEGAGREEK($B55,100,0.01,O$44,0.4)</f>
        <v>44.896916933155254</v>
      </c>
      <c r="P55" s="2" cm="1">
        <f t="array" ref="P55">VEGAGREEK($B55,100,0.01,P$44,0.4)</f>
        <v>46.546491077869405</v>
      </c>
      <c r="Q55" s="2" cm="1">
        <f t="array" ref="Q55">VEGAGREEK($B55,100,0.01,Q$44,0.4)</f>
        <v>48.123402498567813</v>
      </c>
      <c r="R55" s="2" cm="1">
        <f t="array" ref="R55">VEGAGREEK($B55,100,0.01,R$44,0.4)</f>
        <v>49.63466219547125</v>
      </c>
      <c r="S55" s="2" cm="1">
        <f t="array" ref="S55">VEGAGREEK($B55,100,0.01,S$44,0.4)</f>
        <v>51.086186957855041</v>
      </c>
      <c r="T55" s="2" cm="1">
        <f t="array" ref="T55">VEGAGREEK($B55,100,0.01,T$44,0.4)</f>
        <v>52.483025989387336</v>
      </c>
      <c r="U55" s="2" cm="1">
        <f t="array" ref="U55">VEGAGREEK($B55,100,0.01,U$44,0.4)</f>
        <v>53.829530471470072</v>
      </c>
      <c r="V55" s="2" cm="1">
        <f t="array" ref="V55">VEGAGREEK($B55,100,0.01,V$44,0.4)</f>
        <v>55.129482699239929</v>
      </c>
      <c r="W55" s="2" cm="1">
        <f t="array" ref="W55">VEGAGREEK($B55,100,0.01,W$44,0.4)</f>
        <v>56.386195982823757</v>
      </c>
      <c r="X55" s="2" cm="1">
        <f t="array" ref="X55">VEGAGREEK($B55,100,0.01,X$44,0.4)</f>
        <v>57.602593019813682</v>
      </c>
      <c r="Y55" s="2" cm="1">
        <f t="array" ref="Y55">VEGAGREEK($B55,100,0.01,Y$44,0.4)</f>
        <v>58.781268154017994</v>
      </c>
      <c r="Z55" s="2" cm="1">
        <f t="array" ref="Z55">VEGAGREEK($B55,100,0.01,Z$44,0.4)</f>
        <v>59.92453739603053</v>
      </c>
      <c r="AA55" s="2" cm="1">
        <f t="array" ref="AA55">VEGAGREEK($B55,100,0.01,AA$44,0.4)</f>
        <v>61.034479025481552</v>
      </c>
      <c r="AB55" s="2" cm="1">
        <f t="array" ref="AB55">VEGAGREEK($B55,100,0.01,AB$44,0.4)</f>
        <v>62.112966857609656</v>
      </c>
      <c r="AC55" s="2" cm="1">
        <f t="array" ref="AC55">VEGAGREEK($B55,100,0.01,AC$44,0.4)</f>
        <v>63.16169773337252</v>
      </c>
      <c r="AD55" s="2" cm="1">
        <f t="array" ref="AD55">VEGAGREEK($B55,100,0.01,AD$44,0.4)</f>
        <v>64.182214415044371</v>
      </c>
      <c r="AE55" s="2" cm="1">
        <f t="array" ref="AE55">VEGAGREEK($B55,100,0.01,AE$44,0.4)</f>
        <v>65.17592479354002</v>
      </c>
      <c r="AF55" s="2" cm="1">
        <f t="array" ref="AF55">VEGAGREEK($B55,100,0.01,AF$44,0.4)</f>
        <v>66.144118109648119</v>
      </c>
      <c r="AG55" s="2" cm="1">
        <f t="array" ref="AG55">VEGAGREEK($B55,100,0.01,AG$44,0.4)</f>
        <v>67.087978738551627</v>
      </c>
      <c r="AH55" s="2" cm="1">
        <f t="array" ref="AH55">VEGAGREEK($B55,100,0.01,AH$44,0.4)</f>
        <v>68.00859797134467</v>
      </c>
      <c r="AI55" s="2" cm="1">
        <f t="array" ref="AI55">VEGAGREEK($B55,100,0.01,AI$44,0.4)</f>
        <v>68.906984138813229</v>
      </c>
      <c r="AJ55" s="2" cm="1">
        <f t="array" ref="AJ55">VEGAGREEK($B55,100,0.01,AJ$44,0.4)</f>
        <v>69.78407135448937</v>
      </c>
      <c r="AK55" s="2" cm="1">
        <f t="array" ref="AK55">VEGAGREEK($B55,100,0.01,AK$44,0.4)</f>
        <v>70.640727100847769</v>
      </c>
      <c r="AL55" s="2" cm="1">
        <f t="array" ref="AL55">VEGAGREEK($B55,100,0.01,AL$44,0.4)</f>
        <v>71.477758840803276</v>
      </c>
      <c r="AM55" s="2" cm="1">
        <f t="array" ref="AM55">VEGAGREEK($B55,100,0.01,AM$44,0.4)</f>
        <v>72.295919803678643</v>
      </c>
      <c r="AN55" s="2" cm="1">
        <f t="array" ref="AN55">VEGAGREEK($B55,100,0.01,AN$44,0.4)</f>
        <v>73.095914068533773</v>
      </c>
      <c r="AO55" s="2" cm="1">
        <f t="array" ref="AO55">VEGAGREEK($B55,100,0.01,AO$44,0.4)</f>
        <v>73.878401046671442</v>
      </c>
      <c r="AP55" s="2" cm="1">
        <f t="array" ref="AP55">VEGAGREEK($B55,100,0.01,AP$44,0.4)</f>
        <v>74.643999448125811</v>
      </c>
      <c r="AQ55" s="2" cm="1">
        <f t="array" ref="AQ55">VEGAGREEK($B55,100,0.01,AQ$44,0.4)</f>
        <v>75.393290803128934</v>
      </c>
      <c r="AR55" s="2" cm="1">
        <f t="array" ref="AR55">VEGAGREEK($B55,100,0.01,AR$44,0.4)</f>
        <v>76.126822598272994</v>
      </c>
      <c r="AS55" s="2" cm="1">
        <f t="array" ref="AS55">VEGAGREEK($B55,100,0.01,AS$44,0.4)</f>
        <v>76.845111077827781</v>
      </c>
      <c r="AT55" s="2" cm="1">
        <f t="array" ref="AT55">VEGAGREEK($B55,100,0.01,AT$44,0.4)</f>
        <v>77.548643753033929</v>
      </c>
      <c r="AU55" s="2" cm="1">
        <f t="array" ref="AU55">VEGAGREEK($B55,100,0.01,AU$44,0.4)</f>
        <v>78.237881655857151</v>
      </c>
      <c r="AV55" s="2" cm="1">
        <f t="array" ref="AV55">VEGAGREEK($B55,100,0.01,AV$44,0.4)</f>
        <v>78.913261368413913</v>
      </c>
      <c r="AW55" s="2" cm="1">
        <f t="array" ref="AW55">VEGAGREEK($B55,100,0.01,AW$44,0.4)</f>
        <v>79.575196854863051</v>
      </c>
      <c r="AX55" s="2" cm="1">
        <f t="array" ref="AX55">VEGAGREEK($B55,100,0.01,AX$44,0.4)</f>
        <v>80.224081118851018</v>
      </c>
      <c r="AY55" s="2" cm="1">
        <f t="array" ref="AY55">VEGAGREEK($B55,100,0.01,AY$44,0.4)</f>
        <v>80.860287706468625</v>
      </c>
      <c r="AZ55" s="2" cm="1">
        <f t="array" ref="AZ55">VEGAGREEK($B55,100,0.01,AZ$44,0.4)</f>
        <v>81.484172072029821</v>
      </c>
    </row>
    <row r="56" spans="1:52" x14ac:dyDescent="0.3">
      <c r="A56" s="2"/>
      <c r="B56" s="2">
        <v>115</v>
      </c>
      <c r="C56" s="2" cm="1">
        <f t="array" ref="C56">VEGAGREEK($B56,100,0.01,C$44,0.4)</f>
        <v>7.2654841723580086</v>
      </c>
      <c r="D56" s="2" cm="1">
        <f t="array" ref="D56">VEGAGREEK($B56,100,0.01,D$44,0.4)</f>
        <v>13.906921460113452</v>
      </c>
      <c r="E56" s="2" cm="1">
        <f t="array" ref="E56">VEGAGREEK($B56,100,0.01,E$44,0.4)</f>
        <v>18.808792151653375</v>
      </c>
      <c r="F56" s="2" cm="1">
        <f t="array" ref="F56">VEGAGREEK($B56,100,0.01,F$44,0.4)</f>
        <v>22.794116284131551</v>
      </c>
      <c r="G56" s="2" cm="1">
        <f t="array" ref="G56">VEGAGREEK($B56,100,0.01,G$44,0.4)</f>
        <v>26.20797906686466</v>
      </c>
      <c r="H56" s="2" cm="1">
        <f t="array" ref="H56">VEGAGREEK($B56,100,0.01,H$44,0.4)</f>
        <v>29.225474097755537</v>
      </c>
      <c r="I56" s="2" cm="1">
        <f t="array" ref="I56">VEGAGREEK($B56,100,0.01,I$44,0.4)</f>
        <v>31.948288126945037</v>
      </c>
      <c r="J56" s="2" cm="1">
        <f t="array" ref="J56">VEGAGREEK($B56,100,0.01,J$44,0.4)</f>
        <v>34.441195140751269</v>
      </c>
      <c r="K56" s="2" cm="1">
        <f t="array" ref="K56">VEGAGREEK($B56,100,0.01,K$44,0.4)</f>
        <v>36.748289756038972</v>
      </c>
      <c r="L56" s="2" cm="1">
        <f t="array" ref="L56">VEGAGREEK($B56,100,0.01,L$44,0.4)</f>
        <v>38.901123264284735</v>
      </c>
      <c r="M56" s="2" cm="1">
        <f t="array" ref="M56">VEGAGREEK($B56,100,0.01,M$44,0.4)</f>
        <v>40.923162674780045</v>
      </c>
      <c r="N56" s="2" cm="1">
        <f t="array" ref="N56">VEGAGREEK($B56,100,0.01,N$44,0.4)</f>
        <v>42.83240963126422</v>
      </c>
      <c r="O56" s="2" cm="1">
        <f t="array" ref="O56">VEGAGREEK($B56,100,0.01,O$44,0.4)</f>
        <v>44.643025667014797</v>
      </c>
      <c r="P56" s="2" cm="1">
        <f t="array" ref="P56">VEGAGREEK($B56,100,0.01,P$44,0.4)</f>
        <v>46.366387082938871</v>
      </c>
      <c r="Q56" s="2" cm="1">
        <f t="array" ref="Q56">VEGAGREEK($B56,100,0.01,Q$44,0.4)</f>
        <v>48.011795589947226</v>
      </c>
      <c r="R56" s="2" cm="1">
        <f t="array" ref="R56">VEGAGREEK($B56,100,0.01,R$44,0.4)</f>
        <v>49.586972314062592</v>
      </c>
      <c r="S56" s="2" cm="1">
        <f t="array" ref="S56">VEGAGREEK($B56,100,0.01,S$44,0.4)</f>
        <v>51.098410539479985</v>
      </c>
      <c r="T56" s="2" cm="1">
        <f t="array" ref="T56">VEGAGREEK($B56,100,0.01,T$44,0.4)</f>
        <v>52.551633489140258</v>
      </c>
      <c r="U56" s="2" cm="1">
        <f t="array" ref="U56">VEGAGREEK($B56,100,0.01,U$44,0.4)</f>
        <v>53.951386556591181</v>
      </c>
      <c r="V56" s="2" cm="1">
        <f t="array" ref="V56">VEGAGREEK($B56,100,0.01,V$44,0.4)</f>
        <v>55.301783231776056</v>
      </c>
      <c r="W56" s="2" cm="1">
        <f t="array" ref="W56">VEGAGREEK($B56,100,0.01,W$44,0.4)</f>
        <v>56.606417638184659</v>
      </c>
      <c r="X56" s="2" cm="1">
        <f t="array" ref="X56">VEGAGREEK($B56,100,0.01,X$44,0.4)</f>
        <v>57.868452553088723</v>
      </c>
      <c r="Y56" s="2" cm="1">
        <f t="array" ref="Y56">VEGAGREEK($B56,100,0.01,Y$44,0.4)</f>
        <v>59.090689129410279</v>
      </c>
      <c r="Z56" s="2" cm="1">
        <f t="array" ref="Z56">VEGAGREEK($B56,100,0.01,Z$44,0.4)</f>
        <v>60.275622758513428</v>
      </c>
      <c r="AA56" s="2" cm="1">
        <f t="array" ref="AA56">VEGAGREEK($B56,100,0.01,AA$44,0.4)</f>
        <v>61.425488295788476</v>
      </c>
      <c r="AB56" s="2" cm="1">
        <f t="array" ref="AB56">VEGAGREEK($B56,100,0.01,AB$44,0.4)</f>
        <v>62.542297022622222</v>
      </c>
      <c r="AC56" s="2" cm="1">
        <f t="array" ref="AC56">VEGAGREEK($B56,100,0.01,AC$44,0.4)</f>
        <v>63.627867117438612</v>
      </c>
      <c r="AD56" s="2" cm="1">
        <f t="array" ref="AD56">VEGAGREEK($B56,100,0.01,AD$44,0.4)</f>
        <v>64.683848976350106</v>
      </c>
      <c r="AE56" s="2" cm="1">
        <f t="array" ref="AE56">VEGAGREEK($B56,100,0.01,AE$44,0.4)</f>
        <v>65.711746408856996</v>
      </c>
      <c r="AF56" s="2" cm="1">
        <f t="array" ref="AF56">VEGAGREEK($B56,100,0.01,AF$44,0.4)</f>
        <v>66.712934501331432</v>
      </c>
      <c r="AG56" s="2" cm="1">
        <f t="array" ref="AG56">VEGAGREEK($B56,100,0.01,AG$44,0.4)</f>
        <v>67.688674767148228</v>
      </c>
      <c r="AH56" s="2" cm="1">
        <f t="array" ref="AH56">VEGAGREEK($B56,100,0.01,AH$44,0.4)</f>
        <v>68.640128070984517</v>
      </c>
      <c r="AI56" s="2" cm="1">
        <f t="array" ref="AI56">VEGAGREEK($B56,100,0.01,AI$44,0.4)</f>
        <v>69.568365714595018</v>
      </c>
      <c r="AJ56" s="2" cm="1">
        <f t="array" ref="AJ56">VEGAGREEK($B56,100,0.01,AJ$44,0.4)</f>
        <v>70.474378994181791</v>
      </c>
      <c r="AK56" s="2" cm="1">
        <f t="array" ref="AK56">VEGAGREEK($B56,100,0.01,AK$44,0.4)</f>
        <v>71.359087479501397</v>
      </c>
      <c r="AL56" s="2" cm="1">
        <f t="array" ref="AL56">VEGAGREEK($B56,100,0.01,AL$44,0.4)</f>
        <v>72.223346217868524</v>
      </c>
      <c r="AM56" s="2" cm="1">
        <f t="array" ref="AM56">VEGAGREEK($B56,100,0.01,AM$44,0.4)</f>
        <v>73.067952029123262</v>
      </c>
      <c r="AN56" s="2" cm="1">
        <f t="array" ref="AN56">VEGAGREEK($B56,100,0.01,AN$44,0.4)</f>
        <v>73.893649028136281</v>
      </c>
      <c r="AO56" s="2" cm="1">
        <f t="array" ref="AO56">VEGAGREEK($B56,100,0.01,AO$44,0.4)</f>
        <v>74.701133487814033</v>
      </c>
      <c r="AP56" s="2" cm="1">
        <f t="array" ref="AP56">VEGAGREEK($B56,100,0.01,AP$44,0.4)</f>
        <v>75.491058136541611</v>
      </c>
      <c r="AQ56" s="2" cm="1">
        <f t="array" ref="AQ56">VEGAGREEK($B56,100,0.01,AQ$44,0.4)</f>
        <v>76.264035968580487</v>
      </c>
      <c r="AR56" s="2" cm="1">
        <f t="array" ref="AR56">VEGAGREEK($B56,100,0.01,AR$44,0.4)</f>
        <v>77.020643633364955</v>
      </c>
      <c r="AS56" s="2" cm="1">
        <f t="array" ref="AS56">VEGAGREEK($B56,100,0.01,AS$44,0.4)</f>
        <v>77.761424459336538</v>
      </c>
      <c r="AT56" s="2" cm="1">
        <f t="array" ref="AT56">VEGAGREEK($B56,100,0.01,AT$44,0.4)</f>
        <v>78.486891159465443</v>
      </c>
      <c r="AU56" s="2" cm="1">
        <f t="array" ref="AU56">VEGAGREEK($B56,100,0.01,AU$44,0.4)</f>
        <v>79.197528258577023</v>
      </c>
      <c r="AV56" s="2" cm="1">
        <f t="array" ref="AV56">VEGAGREEK($B56,100,0.01,AV$44,0.4)</f>
        <v>79.89379427675614</v>
      </c>
      <c r="AW56" s="2" cm="1">
        <f t="array" ref="AW56">VEGAGREEK($B56,100,0.01,AW$44,0.4)</f>
        <v>80.576123698214857</v>
      </c>
      <c r="AX56" s="2" cm="1">
        <f t="array" ref="AX56">VEGAGREEK($B56,100,0.01,AX$44,0.4)</f>
        <v>81.244928750912166</v>
      </c>
      <c r="AY56" s="2" cm="1">
        <f t="array" ref="AY56">VEGAGREEK($B56,100,0.01,AY$44,0.4)</f>
        <v>81.900601018760028</v>
      </c>
      <c r="AZ56" s="2" cm="1">
        <f t="array" ref="AZ56">VEGAGREEK($B56,100,0.01,AZ$44,0.4)</f>
        <v>82.543512905331781</v>
      </c>
    </row>
    <row r="57" spans="1:52" x14ac:dyDescent="0.3">
      <c r="A57" s="2"/>
      <c r="B57" s="2">
        <v>120</v>
      </c>
      <c r="C57" s="2" cm="1">
        <f t="array" ref="C57">VEGAGREEK($B57,100,0.01,C$44,0.4)</f>
        <v>4.8229587951362767</v>
      </c>
      <c r="D57" s="2" cm="1">
        <f t="array" ref="D57">VEGAGREEK($B57,100,0.01,D$44,0.4)</f>
        <v>11.436647677127302</v>
      </c>
      <c r="E57" s="2" cm="1">
        <f t="array" ref="E57">VEGAGREEK($B57,100,0.01,E$44,0.4)</f>
        <v>16.612496308107495</v>
      </c>
      <c r="F57" s="2" cm="1">
        <f t="array" ref="F57">VEGAGREEK($B57,100,0.01,F$44,0.4)</f>
        <v>20.864110522403433</v>
      </c>
      <c r="G57" s="2" cm="1">
        <f t="array" ref="G57">VEGAGREEK($B57,100,0.01,G$44,0.4)</f>
        <v>24.508262501418276</v>
      </c>
      <c r="H57" s="2" cm="1">
        <f t="array" ref="H57">VEGAGREEK($B57,100,0.01,H$44,0.4)</f>
        <v>27.723100869393718</v>
      </c>
      <c r="I57" s="2" cm="1">
        <f t="array" ref="I57">VEGAGREEK($B57,100,0.01,I$44,0.4)</f>
        <v>30.616623727634558</v>
      </c>
      <c r="J57" s="2" cm="1">
        <f t="array" ref="J57">VEGAGREEK($B57,100,0.01,J$44,0.4)</f>
        <v>33.259063477807061</v>
      </c>
      <c r="K57" s="2" cm="1">
        <f t="array" ref="K57">VEGAGREEK($B57,100,0.01,K$44,0.4)</f>
        <v>35.698731861949753</v>
      </c>
      <c r="L57" s="2" cm="1">
        <f t="array" ref="L57">VEGAGREEK($B57,100,0.01,L$44,0.4)</f>
        <v>37.970374601063519</v>
      </c>
      <c r="M57" s="2" cm="1">
        <f t="array" ref="M57">VEGAGREEK($B57,100,0.01,M$44,0.4)</f>
        <v>40.099889887124895</v>
      </c>
      <c r="N57" s="2" cm="1">
        <f t="array" ref="N57">VEGAGREEK($B57,100,0.01,N$44,0.4)</f>
        <v>42.107152412813178</v>
      </c>
      <c r="O57" s="2" cm="1">
        <f t="array" ref="O57">VEGAGREEK($B57,100,0.01,O$44,0.4)</f>
        <v>44.007787432715858</v>
      </c>
      <c r="P57" s="2" cm="1">
        <f t="array" ref="P57">VEGAGREEK($B57,100,0.01,P$44,0.4)</f>
        <v>45.814331475984204</v>
      </c>
      <c r="Q57" s="2" cm="1">
        <f t="array" ref="Q57">VEGAGREEK($B57,100,0.01,Q$44,0.4)</f>
        <v>47.537018385652864</v>
      </c>
      <c r="R57" s="2" cm="1">
        <f t="array" ref="R57">VEGAGREEK($B57,100,0.01,R$44,0.4)</f>
        <v>49.184327562277737</v>
      </c>
      <c r="S57" s="2" cm="1">
        <f t="array" ref="S57">VEGAGREEK($B57,100,0.01,S$44,0.4)</f>
        <v>50.763376225189226</v>
      </c>
      <c r="T57" s="2" cm="1">
        <f t="array" ref="T57">VEGAGREEK($B57,100,0.01,T$44,0.4)</f>
        <v>52.280206380417688</v>
      </c>
      <c r="U57" s="2" cm="1">
        <f t="array" ref="U57">VEGAGREEK($B57,100,0.01,U$44,0.4)</f>
        <v>53.739998902770758</v>
      </c>
      <c r="V57" s="2" cm="1">
        <f t="array" ref="V57">VEGAGREEK($B57,100,0.01,V$44,0.4)</f>
        <v>55.147236032559775</v>
      </c>
      <c r="W57" s="2" cm="1">
        <f t="array" ref="W57">VEGAGREEK($B57,100,0.01,W$44,0.4)</f>
        <v>56.505826634797664</v>
      </c>
      <c r="X57" s="2" cm="1">
        <f t="array" ref="X57">VEGAGREEK($B57,100,0.01,X$44,0.4)</f>
        <v>57.819204099250499</v>
      </c>
      <c r="Y57" s="2" cm="1">
        <f t="array" ref="Y57">VEGAGREEK($B57,100,0.01,Y$44,0.4)</f>
        <v>59.090403817415194</v>
      </c>
      <c r="Z57" s="2" cm="1">
        <f t="array" ref="Z57">VEGAGREEK($B57,100,0.01,Z$44,0.4)</f>
        <v>60.322125193598787</v>
      </c>
      <c r="AA57" s="2" cm="1">
        <f t="array" ref="AA57">VEGAGREEK($B57,100,0.01,AA$44,0.4)</f>
        <v>61.516781790309459</v>
      </c>
      <c r="AB57" s="2" cm="1">
        <f t="array" ref="AB57">VEGAGREEK($B57,100,0.01,AB$44,0.4)</f>
        <v>62.676542261158936</v>
      </c>
      <c r="AC57" s="2" cm="1">
        <f t="array" ref="AC57">VEGAGREEK($B57,100,0.01,AC$44,0.4)</f>
        <v>63.803364052871849</v>
      </c>
      <c r="AD57" s="2" cm="1">
        <f t="array" ref="AD57">VEGAGREEK($B57,100,0.01,AD$44,0.4)</f>
        <v>64.899021374654808</v>
      </c>
      <c r="AE57" s="2" cm="1">
        <f t="array" ref="AE57">VEGAGREEK($B57,100,0.01,AE$44,0.4)</f>
        <v>65.965128580589436</v>
      </c>
      <c r="AF57" s="2" cm="1">
        <f t="array" ref="AF57">VEGAGREEK($B57,100,0.01,AF$44,0.4)</f>
        <v>67.003159850283097</v>
      </c>
      <c r="AG57" s="2" cm="1">
        <f t="array" ref="AG57">VEGAGREEK($B57,100,0.01,AG$44,0.4)</f>
        <v>68.014465858419129</v>
      </c>
      <c r="AH57" s="2" cm="1">
        <f t="array" ref="AH57">VEGAGREEK($B57,100,0.01,AH$44,0.4)</f>
        <v>69.000287976888913</v>
      </c>
      <c r="AI57" s="2" cm="1">
        <f t="array" ref="AI57">VEGAGREEK($B57,100,0.01,AI$44,0.4)</f>
        <v>69.961770441089215</v>
      </c>
      <c r="AJ57" s="2" cm="1">
        <f t="array" ref="AJ57">VEGAGREEK($B57,100,0.01,AJ$44,0.4)</f>
        <v>70.899970825666642</v>
      </c>
      <c r="AK57" s="2" cm="1">
        <f t="array" ref="AK57">VEGAGREEK($B57,100,0.01,AK$44,0.4)</f>
        <v>71.815869107969121</v>
      </c>
      <c r="AL57" s="2" cm="1">
        <f t="array" ref="AL57">VEGAGREEK($B57,100,0.01,AL$44,0.4)</f>
        <v>72.710375544992104</v>
      </c>
      <c r="AM57" s="2" cm="1">
        <f t="array" ref="AM57">VEGAGREEK($B57,100,0.01,AM$44,0.4)</f>
        <v>73.584337548210698</v>
      </c>
      <c r="AN57" s="2" cm="1">
        <f t="array" ref="AN57">VEGAGREEK($B57,100,0.01,AN$44,0.4)</f>
        <v>74.438545707796209</v>
      </c>
      <c r="AO57" s="2" cm="1">
        <f t="array" ref="AO57">VEGAGREEK($B57,100,0.01,AO$44,0.4)</f>
        <v>75.273739091402845</v>
      </c>
      <c r="AP57" s="2" cm="1">
        <f t="array" ref="AP57">VEGAGREEK($B57,100,0.01,AP$44,0.4)</f>
        <v>76.090609921525228</v>
      </c>
      <c r="AQ57" s="2" cm="1">
        <f t="array" ref="AQ57">VEGAGREEK($B57,100,0.01,AQ$44,0.4)</f>
        <v>76.889807718269765</v>
      </c>
      <c r="AR57" s="2" cm="1">
        <f t="array" ref="AR57">VEGAGREEK($B57,100,0.01,AR$44,0.4)</f>
        <v>77.671942980406541</v>
      </c>
      <c r="AS57" s="2" cm="1">
        <f t="array" ref="AS57">VEGAGREEK($B57,100,0.01,AS$44,0.4)</f>
        <v>78.437590466120824</v>
      </c>
      <c r="AT57" s="2" cm="1">
        <f t="array" ref="AT57">VEGAGREEK($B57,100,0.01,AT$44,0.4)</f>
        <v>79.187292125462122</v>
      </c>
      <c r="AU57" s="2" cm="1">
        <f t="array" ref="AU57">VEGAGREEK($B57,100,0.01,AU$44,0.4)</f>
        <v>79.921559728691165</v>
      </c>
      <c r="AV57" s="2" cm="1">
        <f t="array" ref="AV57">VEGAGREEK($B57,100,0.01,AV$44,0.4)</f>
        <v>80.640877228250631</v>
      </c>
      <c r="AW57" s="2" cm="1">
        <f t="array" ref="AW57">VEGAGREEK($B57,100,0.01,AW$44,0.4)</f>
        <v>81.34570288667409</v>
      </c>
      <c r="AX57" s="2" cm="1">
        <f t="array" ref="AX57">VEGAGREEK($B57,100,0.01,AX$44,0.4)</f>
        <v>82.036471198217896</v>
      </c>
      <c r="AY57" s="2" cm="1">
        <f t="array" ref="AY57">VEGAGREEK($B57,100,0.01,AY$44,0.4)</f>
        <v>82.713594628182776</v>
      </c>
      <c r="AZ57" s="2" cm="1">
        <f t="array" ref="AZ57">VEGAGREEK($B57,100,0.01,AZ$44,0.4)</f>
        <v>83.377465190670122</v>
      </c>
    </row>
    <row r="58" spans="1:52" x14ac:dyDescent="0.3">
      <c r="A58" s="2"/>
      <c r="B58" s="2">
        <v>125</v>
      </c>
      <c r="C58" s="2" cm="1">
        <f t="array" ref="C58">VEGAGREEK($B58,100,0.01,C$44,0.4)</f>
        <v>2.927065892975504</v>
      </c>
      <c r="D58" s="2" cm="1">
        <f t="array" ref="D58">VEGAGREEK($B58,100,0.01,D$44,0.4)</f>
        <v>8.9895175338315649</v>
      </c>
      <c r="E58" s="2" cm="1">
        <f t="array" ref="E58">VEGAGREEK($B58,100,0.01,E$44,0.4)</f>
        <v>14.233513043831982</v>
      </c>
      <c r="F58" s="2" cm="1">
        <f t="array" ref="F58">VEGAGREEK($B58,100,0.01,F$44,0.4)</f>
        <v>18.663662104864478</v>
      </c>
      <c r="G58" s="2" cm="1">
        <f t="array" ref="G58">VEGAGREEK($B58,100,0.01,G$44,0.4)</f>
        <v>22.497868876431504</v>
      </c>
      <c r="H58" s="2" cm="1">
        <f t="array" ref="H58">VEGAGREEK($B58,100,0.01,H$44,0.4)</f>
        <v>25.891581343091385</v>
      </c>
      <c r="I58" s="2" cm="1">
        <f t="array" ref="I58">VEGAGREEK($B58,100,0.01,I$44,0.4)</f>
        <v>28.948267489692707</v>
      </c>
      <c r="J58" s="2" cm="1">
        <f t="array" ref="J58">VEGAGREEK($B58,100,0.01,J$44,0.4)</f>
        <v>31.738520495864236</v>
      </c>
      <c r="K58" s="2" cm="1">
        <f t="array" ref="K58">VEGAGREEK($B58,100,0.01,K$44,0.4)</f>
        <v>34.312267148740581</v>
      </c>
      <c r="L58" s="2" cm="1">
        <f t="array" ref="L58">VEGAGREEK($B58,100,0.01,L$44,0.4)</f>
        <v>36.706035348119421</v>
      </c>
      <c r="M58" s="2" cm="1">
        <f t="array" ref="M58">VEGAGREEK($B58,100,0.01,M$44,0.4)</f>
        <v>38.947351930321069</v>
      </c>
      <c r="N58" s="2" cm="1">
        <f t="array" ref="N58">VEGAGREEK($B58,100,0.01,N$44,0.4)</f>
        <v>41.057492812883503</v>
      </c>
      <c r="O58" s="2" cm="1">
        <f t="array" ref="O58">VEGAGREEK($B58,100,0.01,O$44,0.4)</f>
        <v>43.05326285517458</v>
      </c>
      <c r="P58" s="2" cm="1">
        <f t="array" ref="P58">VEGAGREEK($B58,100,0.01,P$44,0.4)</f>
        <v>44.948185192777075</v>
      </c>
      <c r="Q58" s="2" cm="1">
        <f t="array" ref="Q58">VEGAGREEK($B58,100,0.01,Q$44,0.4)</f>
        <v>46.7533191547397</v>
      </c>
      <c r="R58" s="2" cm="1">
        <f t="array" ref="R58">VEGAGREEK($B58,100,0.01,R$44,0.4)</f>
        <v>48.477837322452586</v>
      </c>
      <c r="S58" s="2" cm="1">
        <f t="array" ref="S58">VEGAGREEK($B58,100,0.01,S$44,0.4)</f>
        <v>50.129442003581076</v>
      </c>
      <c r="T58" s="2" cm="1">
        <f t="array" ref="T58">VEGAGREEK($B58,100,0.01,T$44,0.4)</f>
        <v>51.7146719368085</v>
      </c>
      <c r="U58" s="2" cm="1">
        <f t="array" ref="U58">VEGAGREEK($B58,100,0.01,U$44,0.4)</f>
        <v>53.239132263445264</v>
      </c>
      <c r="V58" s="2" cm="1">
        <f t="array" ref="V58">VEGAGREEK($B58,100,0.01,V$44,0.4)</f>
        <v>54.707669768385081</v>
      </c>
      <c r="W58" s="2" cm="1">
        <f t="array" ref="W58">VEGAGREEK($B58,100,0.01,W$44,0.4)</f>
        <v>56.124508368771686</v>
      </c>
      <c r="X58" s="2" cm="1">
        <f t="array" ref="X58">VEGAGREEK($B58,100,0.01,X$44,0.4)</f>
        <v>57.493355251562889</v>
      </c>
      <c r="Y58" s="2" cm="1">
        <f t="array" ref="Y58">VEGAGREEK($B58,100,0.01,Y$44,0.4)</f>
        <v>58.817485014314549</v>
      </c>
      <c r="Z58" s="2" cm="1">
        <f t="array" ref="Z58">VEGAGREEK($B58,100,0.01,Z$44,0.4)</f>
        <v>60.099807095462083</v>
      </c>
      <c r="AA58" s="2" cm="1">
        <f t="array" ref="AA58">VEGAGREEK($B58,100,0.01,AA$44,0.4)</f>
        <v>61.342920351471392</v>
      </c>
      <c r="AB58" s="2" cm="1">
        <f t="array" ref="AB58">VEGAGREEK($B58,100,0.01,AB$44,0.4)</f>
        <v>62.549157634667054</v>
      </c>
      <c r="AC58" s="2" cm="1">
        <f t="array" ref="AC58">VEGAGREEK($B58,100,0.01,AC$44,0.4)</f>
        <v>63.720622510035781</v>
      </c>
      <c r="AD58" s="2" cm="1">
        <f t="array" ref="AD58">VEGAGREEK($B58,100,0.01,AD$44,0.4)</f>
        <v>64.85921973204664</v>
      </c>
      <c r="AE58" s="2" cm="1">
        <f t="array" ref="AE58">VEGAGREEK($B58,100,0.01,AE$44,0.4)</f>
        <v>65.966680723770324</v>
      </c>
      <c r="AF58" s="2" cm="1">
        <f t="array" ref="AF58">VEGAGREEK($B58,100,0.01,AF$44,0.4)</f>
        <v>67.044585019921314</v>
      </c>
      <c r="AG58" s="2" cm="1">
        <f t="array" ref="AG58">VEGAGREEK($B58,100,0.01,AG$44,0.4)</f>
        <v>68.09437842517174</v>
      </c>
      <c r="AH58" s="2" cm="1">
        <f t="array" ref="AH58">VEGAGREEK($B58,100,0.01,AH$44,0.4)</f>
        <v>69.117388479916798</v>
      </c>
      <c r="AI58" s="2" cm="1">
        <f t="array" ref="AI58">VEGAGREEK($B58,100,0.01,AI$44,0.4)</f>
        <v>70.114837704025717</v>
      </c>
      <c r="AJ58" s="2" cm="1">
        <f t="array" ref="AJ58">VEGAGREEK($B58,100,0.01,AJ$44,0.4)</f>
        <v>71.08785499530623</v>
      </c>
      <c r="AK58" s="2" cm="1">
        <f t="array" ref="AK58">VEGAGREEK($B58,100,0.01,AK$44,0.4)</f>
        <v>72.037485486462359</v>
      </c>
      <c r="AL58" s="2" cm="1">
        <f t="array" ref="AL58">VEGAGREEK($B58,100,0.01,AL$44,0.4)</f>
        <v>72.964699107147212</v>
      </c>
      <c r="AM58" s="2" cm="1">
        <f t="array" ref="AM58">VEGAGREEK($B58,100,0.01,AM$44,0.4)</f>
        <v>73.870398052561669</v>
      </c>
      <c r="AN58" s="2" cm="1">
        <f t="array" ref="AN58">VEGAGREEK($B58,100,0.01,AN$44,0.4)</f>
        <v>74.75542332414571</v>
      </c>
      <c r="AO58" s="2" cm="1">
        <f t="array" ref="AO58">VEGAGREEK($B58,100,0.01,AO$44,0.4)</f>
        <v>75.620560479169797</v>
      </c>
      <c r="AP58" s="2" cm="1">
        <f t="array" ref="AP58">VEGAGREEK($B58,100,0.01,AP$44,0.4)</f>
        <v>76.466544702883454</v>
      </c>
      <c r="AQ58" s="2" cm="1">
        <f t="array" ref="AQ58">VEGAGREEK($B58,100,0.01,AQ$44,0.4)</f>
        <v>77.294065298122149</v>
      </c>
      <c r="AR58" s="2" cm="1">
        <f t="array" ref="AR58">VEGAGREEK($B58,100,0.01,AR$44,0.4)</f>
        <v>78.103769671990435</v>
      </c>
      <c r="AS58" s="2" cm="1">
        <f t="array" ref="AS58">VEGAGREEK($B58,100,0.01,AS$44,0.4)</f>
        <v>78.896266886719488</v>
      </c>
      <c r="AT58" s="2" cm="1">
        <f t="array" ref="AT58">VEGAGREEK($B58,100,0.01,AT$44,0.4)</f>
        <v>79.672130831492041</v>
      </c>
      <c r="AU58" s="2" cm="1">
        <f t="array" ref="AU58">VEGAGREEK($B58,100,0.01,AU$44,0.4)</f>
        <v>80.431903063499092</v>
      </c>
      <c r="AV58" s="2" cm="1">
        <f t="array" ref="AV58">VEGAGREEK($B58,100,0.01,AV$44,0.4)</f>
        <v>81.176095359409061</v>
      </c>
      <c r="AW58" s="2" cm="1">
        <f t="array" ref="AW58">VEGAGREEK($B58,100,0.01,AW$44,0.4)</f>
        <v>81.905192012513695</v>
      </c>
      <c r="AX58" s="2" cm="1">
        <f t="array" ref="AX58">VEGAGREEK($B58,100,0.01,AX$44,0.4)</f>
        <v>82.619651905858717</v>
      </c>
      <c r="AY58" s="2" cm="1">
        <f t="array" ref="AY58">VEGAGREEK($B58,100,0.01,AY$44,0.4)</f>
        <v>83.31991038749463</v>
      </c>
      <c r="AZ58" s="2" cm="1">
        <f t="array" ref="AZ58">VEGAGREEK($B58,100,0.01,AZ$44,0.4)</f>
        <v>84.006380970459119</v>
      </c>
    </row>
    <row r="59" spans="1:52" x14ac:dyDescent="0.3">
      <c r="A59" s="2"/>
      <c r="B59" s="2">
        <v>130</v>
      </c>
      <c r="C59" s="2" cm="1">
        <f t="array" ref="C59">VEGAGREEK($B59,100,0.01,C$44,0.4)</f>
        <v>1.6423008974442086</v>
      </c>
      <c r="D59" s="2" cm="1">
        <f t="array" ref="D59">VEGAGREEK($B59,100,0.01,D$44,0.4)</f>
        <v>6.7916069221664861</v>
      </c>
      <c r="E59" s="2" cm="1">
        <f t="array" ref="E59">VEGAGREEK($B59,100,0.01,E$44,0.4)</f>
        <v>11.87463414495628</v>
      </c>
      <c r="F59" s="2" cm="1">
        <f t="array" ref="F59">VEGAGREEK($B59,100,0.01,F$44,0.4)</f>
        <v>16.362173195400537</v>
      </c>
      <c r="G59" s="2" cm="1">
        <f t="array" ref="G59">VEGAGREEK($B59,100,0.01,G$44,0.4)</f>
        <v>20.319222979334732</v>
      </c>
      <c r="H59" s="2" cm="1">
        <f t="array" ref="H59">VEGAGREEK($B59,100,0.01,H$44,0.4)</f>
        <v>23.852762619826304</v>
      </c>
      <c r="I59" s="2" cm="1">
        <f t="array" ref="I59">VEGAGREEK($B59,100,0.01,I$44,0.4)</f>
        <v>27.049287285975709</v>
      </c>
      <c r="J59" s="2" cm="1">
        <f t="array" ref="J59">VEGAGREEK($B59,100,0.01,J$44,0.4)</f>
        <v>29.973315295591224</v>
      </c>
      <c r="K59" s="2" cm="1">
        <f t="array" ref="K59">VEGAGREEK($B59,100,0.01,K$44,0.4)</f>
        <v>32.672837288510749</v>
      </c>
      <c r="L59" s="2" cm="1">
        <f t="array" ref="L59">VEGAGREEK($B59,100,0.01,L$44,0.4)</f>
        <v>35.184094538062276</v>
      </c>
      <c r="M59" s="2" cm="1">
        <f t="array" ref="M59">VEGAGREEK($B59,100,0.01,M$44,0.4)</f>
        <v>37.534982337543376</v>
      </c>
      <c r="N59" s="2" cm="1">
        <f t="array" ref="N59">VEGAGREEK($B59,100,0.01,N$44,0.4)</f>
        <v>39.747381529295993</v>
      </c>
      <c r="O59" s="2" cm="1">
        <f t="array" ref="O59">VEGAGREEK($B59,100,0.01,O$44,0.4)</f>
        <v>41.838757934862258</v>
      </c>
      <c r="P59" s="2" cm="1">
        <f t="array" ref="P59">VEGAGREEK($B59,100,0.01,P$44,0.4)</f>
        <v>43.823274915116322</v>
      </c>
      <c r="Q59" s="2" cm="1">
        <f t="array" ref="Q59">VEGAGREEK($B59,100,0.01,Q$44,0.4)</f>
        <v>45.712581090462876</v>
      </c>
      <c r="R59" s="2" cm="1">
        <f t="array" ref="R59">VEGAGREEK($B59,100,0.01,R$44,0.4)</f>
        <v>47.516378376648248</v>
      </c>
      <c r="S59" s="2" cm="1">
        <f t="array" ref="S59">VEGAGREEK($B59,100,0.01,S$44,0.4)</f>
        <v>49.242838909105124</v>
      </c>
      <c r="T59" s="2" cm="1">
        <f t="array" ref="T59">VEGAGREEK($B59,100,0.01,T$44,0.4)</f>
        <v>50.898916168745849</v>
      </c>
      <c r="U59" s="2" cm="1">
        <f t="array" ref="U59">VEGAGREEK($B59,100,0.01,U$44,0.4)</f>
        <v>52.490580743496757</v>
      </c>
      <c r="V59" s="2" cm="1">
        <f t="array" ref="V59">VEGAGREEK($B59,100,0.01,V$44,0.4)</f>
        <v>54.023001518031116</v>
      </c>
      <c r="W59" s="2" cm="1">
        <f t="array" ref="W59">VEGAGREEK($B59,100,0.01,W$44,0.4)</f>
        <v>55.500686737281079</v>
      </c>
      <c r="X59" s="2" cm="1">
        <f t="array" ref="X59">VEGAGREEK($B59,100,0.01,X$44,0.4)</f>
        <v>56.92759514226703</v>
      </c>
      <c r="Y59" s="2" cm="1">
        <f t="array" ref="Y59">VEGAGREEK($B59,100,0.01,Y$44,0.4)</f>
        <v>58.307224488303468</v>
      </c>
      <c r="Z59" s="2" cm="1">
        <f t="array" ref="Z59">VEGAGREEK($B59,100,0.01,Z$44,0.4)</f>
        <v>59.642682760144446</v>
      </c>
      <c r="AA59" s="2" cm="1">
        <f t="array" ref="AA59">VEGAGREEK($B59,100,0.01,AA$44,0.4)</f>
        <v>60.93674599938344</v>
      </c>
      <c r="AB59" s="2" cm="1">
        <f t="array" ref="AB59">VEGAGREEK($B59,100,0.01,AB$44,0.4)</f>
        <v>62.191905664406001</v>
      </c>
      <c r="AC59" s="2" cm="1">
        <f t="array" ref="AC59">VEGAGREEK($B59,100,0.01,AC$44,0.4)</f>
        <v>63.410407726241644</v>
      </c>
      <c r="AD59" s="2" cm="1">
        <f t="array" ref="AD59">VEGAGREEK($B59,100,0.01,AD$44,0.4)</f>
        <v>64.594285180646807</v>
      </c>
      <c r="AE59" s="2" cm="1">
        <f t="array" ref="AE59">VEGAGREEK($B59,100,0.01,AE$44,0.4)</f>
        <v>65.74538527077145</v>
      </c>
      <c r="AF59" s="2" cm="1">
        <f t="array" ref="AF59">VEGAGREEK($B59,100,0.01,AF$44,0.4)</f>
        <v>66.865392426806622</v>
      </c>
      <c r="AG59" s="2" cm="1">
        <f t="array" ref="AG59">VEGAGREEK($B59,100,0.01,AG$44,0.4)</f>
        <v>67.955847711990572</v>
      </c>
      <c r="AH59" s="2" cm="1">
        <f t="array" ref="AH59">VEGAGREEK($B59,100,0.01,AH$44,0.4)</f>
        <v>69.018165399224316</v>
      </c>
      <c r="AI59" s="2" cm="1">
        <f t="array" ref="AI59">VEGAGREEK($B59,100,0.01,AI$44,0.4)</f>
        <v>70.05364717577315</v>
      </c>
      <c r="AJ59" s="2" cm="1">
        <f t="array" ref="AJ59">VEGAGREEK($B59,100,0.01,AJ$44,0.4)</f>
        <v>71.063494375378596</v>
      </c>
      <c r="AK59" s="2" cm="1">
        <f t="array" ref="AK59">VEGAGREEK($B59,100,0.01,AK$44,0.4)</f>
        <v>72.048818560505609</v>
      </c>
      <c r="AL59" s="2" cm="1">
        <f t="array" ref="AL59">VEGAGREEK($B59,100,0.01,AL$44,0.4)</f>
        <v>73.010650717223328</v>
      </c>
      <c r="AM59" s="2" cm="1">
        <f t="array" ref="AM59">VEGAGREEK($B59,100,0.01,AM$44,0.4)</f>
        <v>73.94994927752532</v>
      </c>
      <c r="AN59" s="2" cm="1">
        <f t="array" ref="AN59">VEGAGREEK($B59,100,0.01,AN$44,0.4)</f>
        <v>74.867607145878253</v>
      </c>
      <c r="AO59" s="2" cm="1">
        <f t="array" ref="AO59">VEGAGREEK($B59,100,0.01,AO$44,0.4)</f>
        <v>75.764457876289683</v>
      </c>
      <c r="AP59" s="2" cm="1">
        <f t="array" ref="AP59">VEGAGREEK($B59,100,0.01,AP$44,0.4)</f>
        <v>76.641281121570543</v>
      </c>
      <c r="AQ59" s="2" cm="1">
        <f t="array" ref="AQ59">VEGAGREEK($B59,100,0.01,AQ$44,0.4)</f>
        <v>77.498807456491491</v>
      </c>
      <c r="AR59" s="2" cm="1">
        <f t="array" ref="AR59">VEGAGREEK($B59,100,0.01,AR$44,0.4)</f>
        <v>78.337722660227769</v>
      </c>
      <c r="AS59" s="2" cm="1">
        <f t="array" ref="AS59">VEGAGREEK($B59,100,0.01,AS$44,0.4)</f>
        <v>79.15867153011439</v>
      </c>
      <c r="AT59" s="2" cm="1">
        <f t="array" ref="AT59">VEGAGREEK($B59,100,0.01,AT$44,0.4)</f>
        <v>79.962261287711016</v>
      </c>
      <c r="AU59" s="2" cm="1">
        <f t="array" ref="AU59">VEGAGREEK($B59,100,0.01,AU$44,0.4)</f>
        <v>80.74906462904508</v>
      </c>
      <c r="AV59" s="2" cm="1">
        <f t="array" ref="AV59">VEGAGREEK($B59,100,0.01,AV$44,0.4)</f>
        <v>81.519622463309588</v>
      </c>
      <c r="AW59" s="2" cm="1">
        <f t="array" ref="AW59">VEGAGREEK($B59,100,0.01,AW$44,0.4)</f>
        <v>82.274446377945694</v>
      </c>
      <c r="AX59" s="2" cm="1">
        <f t="array" ref="AX59">VEGAGREEK($B59,100,0.01,AX$44,0.4)</f>
        <v>83.01402086272094</v>
      </c>
      <c r="AY59" s="2" cm="1">
        <f t="array" ref="AY59">VEGAGREEK($B59,100,0.01,AY$44,0.4)</f>
        <v>83.73880532093051</v>
      </c>
      <c r="AZ59" s="2" cm="1">
        <f t="array" ref="AZ59">VEGAGREEK($B59,100,0.01,AZ$44,0.4)</f>
        <v>84.449235892062759</v>
      </c>
    </row>
    <row r="60" spans="1:52" x14ac:dyDescent="0.3">
      <c r="A60" s="2"/>
      <c r="B60" s="2">
        <v>135</v>
      </c>
      <c r="C60" s="2" cm="1">
        <f t="array" ref="C60">VEGAGREEK($B60,100,0.01,C$44,0.4)</f>
        <v>0.86005594904440918</v>
      </c>
      <c r="D60" s="2" cm="1">
        <f t="array" ref="D60">VEGAGREEK($B60,100,0.01,D$44,0.4)</f>
        <v>4.9555850358503886</v>
      </c>
      <c r="E60" s="2" cm="1">
        <f t="array" ref="E60">VEGAGREEK($B60,100,0.01,E$44,0.4)</f>
        <v>9.6774016730275054</v>
      </c>
      <c r="F60" s="2" cm="1">
        <f t="array" ref="F60">VEGAGREEK($B60,100,0.01,F$44,0.4)</f>
        <v>14.092485097095231</v>
      </c>
      <c r="G60" s="2" cm="1">
        <f t="array" ref="G60">VEGAGREEK($B60,100,0.01,G$44,0.4)</f>
        <v>18.090831837703746</v>
      </c>
      <c r="H60" s="2" cm="1">
        <f t="array" ref="H60">VEGAGREEK($B60,100,0.01,H$44,0.4)</f>
        <v>21.711676246545228</v>
      </c>
      <c r="I60" s="2" cm="1">
        <f t="array" ref="I60">VEGAGREEK($B60,100,0.01,I$44,0.4)</f>
        <v>25.013239596266622</v>
      </c>
      <c r="J60" s="2" cm="1">
        <f t="array" ref="J60">VEGAGREEK($B60,100,0.01,J$44,0.4)</f>
        <v>28.047456627327282</v>
      </c>
      <c r="K60" s="2" cm="1">
        <f t="array" ref="K60">VEGAGREEK($B60,100,0.01,K$44,0.4)</f>
        <v>30.856516667148139</v>
      </c>
      <c r="L60" s="2" cm="1">
        <f t="array" ref="L60">VEGAGREEK($B60,100,0.01,L$44,0.4)</f>
        <v>33.473991593287863</v>
      </c>
      <c r="M60" s="2" cm="1">
        <f t="array" ref="M60">VEGAGREEK($B60,100,0.01,M$44,0.4)</f>
        <v>35.926623418149347</v>
      </c>
      <c r="N60" s="2" cm="1">
        <f t="array" ref="N60">VEGAGREEK($B60,100,0.01,N$44,0.4)</f>
        <v>38.235895079938921</v>
      </c>
      <c r="O60" s="2" cm="1">
        <f t="array" ref="O60">VEGAGREEK($B60,100,0.01,O$44,0.4)</f>
        <v>40.419254160865577</v>
      </c>
      <c r="P60" s="2" cm="1">
        <f t="array" ref="P60">VEGAGREEK($B60,100,0.01,P$44,0.4)</f>
        <v>42.491033175105372</v>
      </c>
      <c r="Q60" s="2" cm="1">
        <f t="array" ref="Q60">VEGAGREEK($B60,100,0.01,Q$44,0.4)</f>
        <v>44.463136503305584</v>
      </c>
      <c r="R60" s="2" cm="1">
        <f t="array" ref="R60">VEGAGREEK($B60,100,0.01,R$44,0.4)</f>
        <v>46.345554967615222</v>
      </c>
      <c r="S60" s="2" cm="1">
        <f t="array" ref="S60">VEGAGREEK($B60,100,0.01,S$44,0.4)</f>
        <v>48.146754480009704</v>
      </c>
      <c r="T60" s="2" cm="1">
        <f t="array" ref="T60">VEGAGREEK($B60,100,0.01,T$44,0.4)</f>
        <v>49.873972573614836</v>
      </c>
      <c r="U60" s="2" cm="1">
        <f t="array" ref="U60">VEGAGREEK($B60,100,0.01,U$44,0.4)</f>
        <v>51.533447096659195</v>
      </c>
      <c r="V60" s="2" cm="1">
        <f t="array" ref="V60">VEGAGREEK($B60,100,0.01,V$44,0.4)</f>
        <v>53.130594489893262</v>
      </c>
      <c r="W60" s="2" cm="1">
        <f t="array" ref="W60">VEGAGREEK($B60,100,0.01,W$44,0.4)</f>
        <v>54.670150212271388</v>
      </c>
      <c r="X60" s="2" cm="1">
        <f t="array" ref="X60">VEGAGREEK($B60,100,0.01,X$44,0.4)</f>
        <v>56.156280451058066</v>
      </c>
      <c r="Y60" s="2" cm="1">
        <f t="array" ref="Y60">VEGAGREEK($B60,100,0.01,Y$44,0.4)</f>
        <v>57.59267182250376</v>
      </c>
      <c r="Z60" s="2" cm="1">
        <f t="array" ref="Z60">VEGAGREEK($B60,100,0.01,Z$44,0.4)</f>
        <v>58.982604034757536</v>
      </c>
      <c r="AA60" s="2" cm="1">
        <f t="array" ref="AA60">VEGAGREEK($B60,100,0.01,AA$44,0.4)</f>
        <v>60.329009235851984</v>
      </c>
      <c r="AB60" s="2" cm="1">
        <f t="array" ref="AB60">VEGAGREEK($B60,100,0.01,AB$44,0.4)</f>
        <v>61.634520861925871</v>
      </c>
      <c r="AC60" s="2" cm="1">
        <f t="array" ref="AC60">VEGAGREEK($B60,100,0.01,AC$44,0.4)</f>
        <v>62.901514134752233</v>
      </c>
      <c r="AD60" s="2" cm="1">
        <f t="array" ref="AD60">VEGAGREEK($B60,100,0.01,AD$44,0.4)</f>
        <v>64.132139864115729</v>
      </c>
      <c r="AE60" s="2" cm="1">
        <f t="array" ref="AE60">VEGAGREEK($B60,100,0.01,AE$44,0.4)</f>
        <v>65.328352841485909</v>
      </c>
      <c r="AF60" s="2" cm="1">
        <f t="array" ref="AF60">VEGAGREEK($B60,100,0.01,AF$44,0.4)</f>
        <v>66.491935832885545</v>
      </c>
      <c r="AG60" s="2" cm="1">
        <f t="array" ref="AG60">VEGAGREEK($B60,100,0.01,AG$44,0.4)</f>
        <v>67.624519966806147</v>
      </c>
      <c r="AH60" s="2" cm="1">
        <f t="array" ref="AH60">VEGAGREEK($B60,100,0.01,AH$44,0.4)</f>
        <v>68.727602150255791</v>
      </c>
      <c r="AI60" s="2" cm="1">
        <f t="array" ref="AI60">VEGAGREEK($B60,100,0.01,AI$44,0.4)</f>
        <v>69.802560020089018</v>
      </c>
      <c r="AJ60" s="2" cm="1">
        <f t="array" ref="AJ60">VEGAGREEK($B60,100,0.01,AJ$44,0.4)</f>
        <v>70.850664838593161</v>
      </c>
      <c r="AK60" s="2" cm="1">
        <f t="array" ref="AK60">VEGAGREEK($B60,100,0.01,AK$44,0.4)</f>
        <v>71.87309266521936</v>
      </c>
      <c r="AL60" s="2" cm="1">
        <f t="array" ref="AL60">VEGAGREEK($B60,100,0.01,AL$44,0.4)</f>
        <v>72.87093407540327</v>
      </c>
      <c r="AM60" s="2" cm="1">
        <f t="array" ref="AM60">VEGAGREEK($B60,100,0.01,AM$44,0.4)</f>
        <v>73.84520264892592</v>
      </c>
      <c r="AN60" s="2" cm="1">
        <f t="array" ref="AN60">VEGAGREEK($B60,100,0.01,AN$44,0.4)</f>
        <v>74.796842411437154</v>
      </c>
      <c r="AO60" s="2" cm="1">
        <f t="array" ref="AO60">VEGAGREEK($B60,100,0.01,AO$44,0.4)</f>
        <v>75.726734381490488</v>
      </c>
      <c r="AP60" s="2" cm="1">
        <f t="array" ref="AP60">VEGAGREEK($B60,100,0.01,AP$44,0.4)</f>
        <v>76.635702350109014</v>
      </c>
      <c r="AQ60" s="2" cm="1">
        <f t="array" ref="AQ60">VEGAGREEK($B60,100,0.01,AQ$44,0.4)</f>
        <v>77.524517999275972</v>
      </c>
      <c r="AR60" s="2" cm="1">
        <f t="array" ref="AR60">VEGAGREEK($B60,100,0.01,AR$44,0.4)</f>
        <v>78.393905448862427</v>
      </c>
      <c r="AS60" s="2" cm="1">
        <f t="array" ref="AS60">VEGAGREEK($B60,100,0.01,AS$44,0.4)</f>
        <v>79.244545307618765</v>
      </c>
      <c r="AT60" s="2" cm="1">
        <f t="array" ref="AT60">VEGAGREEK($B60,100,0.01,AT$44,0.4)</f>
        <v>80.077078292385494</v>
      </c>
      <c r="AU60" s="2" cm="1">
        <f t="array" ref="AU60">VEGAGREEK($B60,100,0.01,AU$44,0.4)</f>
        <v>80.892108470153914</v>
      </c>
      <c r="AV60" s="2" cm="1">
        <f t="array" ref="AV60">VEGAGREEK($B60,100,0.01,AV$44,0.4)</f>
        <v>81.690206169672066</v>
      </c>
      <c r="AW60" s="2" cm="1">
        <f t="array" ref="AW60">VEGAGREEK($B60,100,0.01,AW$44,0.4)</f>
        <v>82.471910602645423</v>
      </c>
      <c r="AX60" s="2" cm="1">
        <f t="array" ref="AX60">VEGAGREEK($B60,100,0.01,AX$44,0.4)</f>
        <v>83.237732229002432</v>
      </c>
      <c r="AY60" s="2" cm="1">
        <f t="array" ref="AY60">VEGAGREEK($B60,100,0.01,AY$44,0.4)</f>
        <v>83.988154895984351</v>
      </c>
      <c r="AZ60" s="2" cm="1">
        <f t="array" ref="AZ60">VEGAGREEK($B60,100,0.01,AZ$44,0.4)</f>
        <v>84.723637776836412</v>
      </c>
    </row>
    <row r="61" spans="1:52" x14ac:dyDescent="0.3">
      <c r="A61" s="2"/>
      <c r="B61" s="2">
        <v>140</v>
      </c>
      <c r="C61" s="2" cm="1">
        <f t="array" ref="C61">VEGAGREEK($B61,100,0.01,C$44,0.4)</f>
        <v>0.42387805204534151</v>
      </c>
      <c r="D61" s="2" cm="1">
        <f t="array" ref="D61">VEGAGREEK($B61,100,0.01,D$44,0.4)</f>
        <v>3.506768054397122</v>
      </c>
      <c r="E61" s="2" cm="1">
        <f t="array" ref="E61">VEGAGREEK($B61,100,0.01,E$44,0.4)</f>
        <v>7.7256821631906281</v>
      </c>
      <c r="F61" s="2" cm="1">
        <f t="array" ref="F61">VEGAGREEK($B61,100,0.01,F$44,0.4)</f>
        <v>11.949469760194527</v>
      </c>
      <c r="G61" s="2" cm="1">
        <f t="array" ref="G61">VEGAGREEK($B61,100,0.01,G$44,0.4)</f>
        <v>15.904842592470908</v>
      </c>
      <c r="H61" s="2" cm="1">
        <f t="array" ref="H61">VEGAGREEK($B61,100,0.01,H$44,0.4)</f>
        <v>19.554079891304855</v>
      </c>
      <c r="I61" s="2" cm="1">
        <f t="array" ref="I61">VEGAGREEK($B61,100,0.01,I$44,0.4)</f>
        <v>22.918955721131969</v>
      </c>
      <c r="J61" s="2" cm="1">
        <f t="array" ref="J61">VEGAGREEK($B61,100,0.01,J$44,0.4)</f>
        <v>26.033286999693605</v>
      </c>
      <c r="K61" s="2" cm="1">
        <f t="array" ref="K61">VEGAGREEK($B61,100,0.01,K$44,0.4)</f>
        <v>28.929854474001221</v>
      </c>
      <c r="L61" s="2" cm="1">
        <f t="array" ref="L61">VEGAGREEK($B61,100,0.01,L$44,0.4)</f>
        <v>31.637191112927553</v>
      </c>
      <c r="M61" s="2" cm="1">
        <f t="array" ref="M61">VEGAGREEK($B61,100,0.01,M$44,0.4)</f>
        <v>34.179298278415786</v>
      </c>
      <c r="N61" s="2" cm="1">
        <f t="array" ref="N61">VEGAGREEK($B61,100,0.01,N$44,0.4)</f>
        <v>36.576173818860717</v>
      </c>
      <c r="O61" s="2" cm="1">
        <f t="array" ref="O61">VEGAGREEK($B61,100,0.01,O$44,0.4)</f>
        <v>38.844486274530212</v>
      </c>
      <c r="P61" s="2" cm="1">
        <f t="array" ref="P61">VEGAGREEK($B61,100,0.01,P$44,0.4)</f>
        <v>40.99819420277332</v>
      </c>
      <c r="Q61" s="2" cm="1">
        <f t="array" ref="Q61">VEGAGREEK($B61,100,0.01,Q$44,0.4)</f>
        <v>43.049062967411452</v>
      </c>
      <c r="R61" s="2" cm="1">
        <f t="array" ref="R61">VEGAGREEK($B61,100,0.01,R$44,0.4)</f>
        <v>45.007080633397386</v>
      </c>
      <c r="S61" s="2" cm="1">
        <f t="array" ref="S61">VEGAGREEK($B61,100,0.01,S$44,0.4)</f>
        <v>46.880788234869229</v>
      </c>
      <c r="T61" s="2" cm="1">
        <f t="array" ref="T61">VEGAGREEK($B61,100,0.01,T$44,0.4)</f>
        <v>48.677541271635057</v>
      </c>
      <c r="U61" s="2" cm="1">
        <f t="array" ref="U61">VEGAGREEK($B61,100,0.01,U$44,0.4)</f>
        <v>50.403717200576047</v>
      </c>
      <c r="V61" s="2" cm="1">
        <f t="array" ref="V61">VEGAGREEK($B61,100,0.01,V$44,0.4)</f>
        <v>52.064880859897592</v>
      </c>
      <c r="W61" s="2" cm="1">
        <f t="array" ref="W61">VEGAGREEK($B61,100,0.01,W$44,0.4)</f>
        <v>53.665917156580967</v>
      </c>
      <c r="X61" s="2" cm="1">
        <f t="array" ref="X61">VEGAGREEK($B61,100,0.01,X$44,0.4)</f>
        <v>55.21113820649402</v>
      </c>
      <c r="Y61" s="2" cm="1">
        <f t="array" ref="Y61">VEGAGREEK($B61,100,0.01,Y$44,0.4)</f>
        <v>56.704370441404741</v>
      </c>
      <c r="Z61" s="2" cm="1">
        <f t="array" ref="Z61">VEGAGREEK($B61,100,0.01,Z$44,0.4)</f>
        <v>58.149025914228993</v>
      </c>
      <c r="AA61" s="2" cm="1">
        <f t="array" ref="AA61">VEGAGREEK($B61,100,0.01,AA$44,0.4)</f>
        <v>59.548161060072395</v>
      </c>
      <c r="AB61" s="2" cm="1">
        <f t="array" ref="AB61">VEGAGREEK($B61,100,0.01,AB$44,0.4)</f>
        <v>60.904525433167734</v>
      </c>
      <c r="AC61" s="2" cm="1">
        <f t="array" ref="AC61">VEGAGREEK($B61,100,0.01,AC$44,0.4)</f>
        <v>62.220602380489055</v>
      </c>
      <c r="AD61" s="2" cm="1">
        <f t="array" ref="AD61">VEGAGREEK($B61,100,0.01,AD$44,0.4)</f>
        <v>63.498643187072688</v>
      </c>
      <c r="AE61" s="2" cm="1">
        <f t="array" ref="AE61">VEGAGREEK($B61,100,0.01,AE$44,0.4)</f>
        <v>64.740695902413222</v>
      </c>
      <c r="AF61" s="2" cm="1">
        <f t="array" ref="AF61">VEGAGREEK($B61,100,0.01,AF$44,0.4)</f>
        <v>65.948629806807659</v>
      </c>
      <c r="AG61" s="2" cm="1">
        <f t="array" ref="AG61">VEGAGREEK($B61,100,0.01,AG$44,0.4)</f>
        <v>67.124156282694457</v>
      </c>
      <c r="AH61" s="2" cm="1">
        <f t="array" ref="AH61">VEGAGREEK($B61,100,0.01,AH$44,0.4)</f>
        <v>68.268846705139723</v>
      </c>
      <c r="AI61" s="2" cm="1">
        <f t="array" ref="AI61">VEGAGREEK($B61,100,0.01,AI$44,0.4)</f>
        <v>69.38414784742838</v>
      </c>
      <c r="AJ61" s="2" cm="1">
        <f t="array" ref="AJ61">VEGAGREEK($B61,100,0.01,AJ$44,0.4)</f>
        <v>70.471395204575359</v>
      </c>
      <c r="AK61" s="2" cm="1">
        <f t="array" ref="AK61">VEGAGREEK($B61,100,0.01,AK$44,0.4)</f>
        <v>71.531824563735583</v>
      </c>
      <c r="AL61" s="2" cm="1">
        <f t="array" ref="AL61">VEGAGREEK($B61,100,0.01,AL$44,0.4)</f>
        <v>72.566582091617846</v>
      </c>
      <c r="AM61" s="2" cm="1">
        <f t="array" ref="AM61">VEGAGREEK($B61,100,0.01,AM$44,0.4)</f>
        <v>73.576733161803588</v>
      </c>
      <c r="AN61" s="2" cm="1">
        <f t="array" ref="AN61">VEGAGREEK($B61,100,0.01,AN$44,0.4)</f>
        <v>74.563270106816248</v>
      </c>
      <c r="AO61" s="2" cm="1">
        <f t="array" ref="AO61">VEGAGREEK($B61,100,0.01,AO$44,0.4)</f>
        <v>75.527119048949132</v>
      </c>
      <c r="AP61" s="2" cm="1">
        <f t="array" ref="AP61">VEGAGREEK($B61,100,0.01,AP$44,0.4)</f>
        <v>76.469145938740255</v>
      </c>
      <c r="AQ61" s="2" cm="1">
        <f t="array" ref="AQ61">VEGAGREEK($B61,100,0.01,AQ$44,0.4)</f>
        <v>77.3901619094285</v>
      </c>
      <c r="AR61" s="2" cm="1">
        <f t="array" ref="AR61">VEGAGREEK($B61,100,0.01,AR$44,0.4)</f>
        <v>78.290928038820226</v>
      </c>
      <c r="AS61" s="2" cm="1">
        <f t="array" ref="AS61">VEGAGREEK($B61,100,0.01,AS$44,0.4)</f>
        <v>79.172159596037019</v>
      </c>
      <c r="AT61" s="2" cm="1">
        <f t="array" ref="AT61">VEGAGREEK($B61,100,0.01,AT$44,0.4)</f>
        <v>80.034529839034704</v>
      </c>
      <c r="AU61" s="2" cm="1">
        <f t="array" ref="AU61">VEGAGREEK($B61,100,0.01,AU$44,0.4)</f>
        <v>80.878673419137471</v>
      </c>
      <c r="AV61" s="2" cm="1">
        <f t="array" ref="AV61">VEGAGREEK($B61,100,0.01,AV$44,0.4)</f>
        <v>81.705189440767228</v>
      </c>
      <c r="AW61" s="2" cm="1">
        <f t="array" ref="AW61">VEGAGREEK($B61,100,0.01,AW$44,0.4)</f>
        <v>82.514644217774702</v>
      </c>
      <c r="AX61" s="2" cm="1">
        <f t="array" ref="AX61">VEGAGREEK($B61,100,0.01,AX$44,0.4)</f>
        <v>83.307573762076885</v>
      </c>
      <c r="AY61" s="2" cm="1">
        <f t="array" ref="AY61">VEGAGREEK($B61,100,0.01,AY$44,0.4)</f>
        <v>84.084486035478946</v>
      </c>
      <c r="AZ61" s="2" cm="1">
        <f t="array" ref="AZ61">VEGAGREEK($B61,100,0.01,AZ$44,0.4)</f>
        <v>84.845862991468962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Delta</vt:lpstr>
      <vt:lpstr>Gamma</vt:lpstr>
      <vt:lpstr>Rho</vt:lpstr>
      <vt:lpstr>Theta</vt:lpstr>
      <vt:lpstr>Vega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Palmeri</dc:creator>
  <cp:lastModifiedBy>Claudio Palmeri</cp:lastModifiedBy>
  <cp:lastPrinted>2023-04-28T13:06:20Z</cp:lastPrinted>
  <dcterms:created xsi:type="dcterms:W3CDTF">2023-04-28T07:44:20Z</dcterms:created>
  <dcterms:modified xsi:type="dcterms:W3CDTF">2023-04-28T19:26:37Z</dcterms:modified>
</cp:coreProperties>
</file>