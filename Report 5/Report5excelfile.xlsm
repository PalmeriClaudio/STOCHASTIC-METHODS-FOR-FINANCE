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cc668a1dc8ecca/Desktop/Uni/Financial/New folder (2)/"/>
    </mc:Choice>
  </mc:AlternateContent>
  <xr:revisionPtr revIDLastSave="0" documentId="8_{162A72D8-7A4C-43B7-9B94-9BA503006ABC}" xr6:coauthVersionLast="47" xr6:coauthVersionMax="47" xr10:uidLastSave="{00000000-0000-0000-0000-000000000000}"/>
  <bookViews>
    <workbookView xWindow="-108" yWindow="-108" windowWidth="23256" windowHeight="12456" xr2:uid="{E9C0A040-4E10-4F3D-982E-4F53918E9EB8}"/>
  </bookViews>
  <sheets>
    <sheet name="Sheet1" sheetId="1" r:id="rId1"/>
    <sheet name="Company information" sheetId="2" r:id="rId2"/>
    <sheet name="Plot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3" l="1"/>
  <c r="F39" i="3"/>
  <c r="G39" i="3"/>
  <c r="D39" i="3"/>
  <c r="N59" i="3"/>
  <c r="M59" i="3"/>
  <c r="L59" i="3"/>
  <c r="K59" i="3"/>
  <c r="N51" i="3"/>
  <c r="M51" i="3"/>
  <c r="L51" i="3"/>
  <c r="K51" i="3"/>
  <c r="N43" i="3"/>
  <c r="M43" i="3"/>
  <c r="L43" i="3"/>
  <c r="K43" i="3"/>
  <c r="N35" i="3"/>
  <c r="M35" i="3"/>
  <c r="L35" i="3"/>
  <c r="K35" i="3"/>
  <c r="N27" i="3"/>
  <c r="M27" i="3"/>
  <c r="L27" i="3"/>
  <c r="K27" i="3"/>
  <c r="G27" i="3"/>
  <c r="F27" i="3"/>
  <c r="E27" i="3"/>
  <c r="D27" i="3"/>
  <c r="L60" i="3" a="1"/>
  <c r="N62" i="3" a="1"/>
  <c r="L63" i="3" a="1"/>
  <c r="N63" i="3" a="1"/>
  <c r="M61" i="3" a="1"/>
  <c r="L64" i="3" a="1"/>
  <c r="N61" i="3" a="1"/>
  <c r="M60" i="3" a="1"/>
  <c r="M62" i="3" a="1"/>
  <c r="M63" i="3" a="1"/>
  <c r="N64" i="3" a="1"/>
  <c r="N60" i="3" a="1"/>
  <c r="L61" i="3" a="1"/>
  <c r="M64" i="3" a="1"/>
  <c r="L62" i="3" a="1"/>
  <c r="K61" i="3" a="1"/>
  <c r="K62" i="3" a="1"/>
  <c r="K63" i="3" a="1"/>
  <c r="K64" i="3" a="1"/>
  <c r="K60" i="3" a="1"/>
  <c r="L52" i="3" a="1"/>
  <c r="N54" i="3" a="1"/>
  <c r="L55" i="3" a="1"/>
  <c r="N52" i="3" a="1"/>
  <c r="L53" i="3" a="1"/>
  <c r="M55" i="3" a="1"/>
  <c r="M52" i="3" a="1"/>
  <c r="M53" i="3" a="1"/>
  <c r="L56" i="3" a="1"/>
  <c r="L54" i="3" a="1"/>
  <c r="M54" i="3" a="1"/>
  <c r="N55" i="3" a="1"/>
  <c r="N53" i="3" a="1"/>
  <c r="M56" i="3" a="1"/>
  <c r="N56" i="3" a="1"/>
  <c r="K53" i="3" a="1"/>
  <c r="K54" i="3" a="1"/>
  <c r="K56" i="3" a="1"/>
  <c r="K55" i="3" a="1"/>
  <c r="K52" i="3" a="1"/>
  <c r="L44" i="3" a="1"/>
  <c r="N46" i="3" a="1"/>
  <c r="M44" i="3" a="1"/>
  <c r="L47" i="3" a="1"/>
  <c r="M47" i="3" a="1"/>
  <c r="N44" i="3" a="1"/>
  <c r="N47" i="3" a="1"/>
  <c r="L45" i="3" a="1"/>
  <c r="L48" i="3" a="1"/>
  <c r="M45" i="3" a="1"/>
  <c r="M48" i="3" a="1"/>
  <c r="N45" i="3" a="1"/>
  <c r="M46" i="3" a="1"/>
  <c r="L46" i="3" a="1"/>
  <c r="N48" i="3" a="1"/>
  <c r="K45" i="3" a="1"/>
  <c r="K46" i="3" a="1"/>
  <c r="K47" i="3" a="1"/>
  <c r="K48" i="3" a="1"/>
  <c r="K44" i="3" a="1"/>
  <c r="L36" i="3" a="1"/>
  <c r="N38" i="3" a="1"/>
  <c r="L39" i="3" a="1"/>
  <c r="M36" i="3" a="1"/>
  <c r="N36" i="3" a="1"/>
  <c r="M39" i="3" a="1"/>
  <c r="L37" i="3" a="1"/>
  <c r="N39" i="3" a="1"/>
  <c r="L38" i="3" a="1"/>
  <c r="M37" i="3" a="1"/>
  <c r="L40" i="3" a="1"/>
  <c r="M38" i="3" a="1"/>
  <c r="N37" i="3" a="1"/>
  <c r="M40" i="3" a="1"/>
  <c r="N40" i="3" a="1"/>
  <c r="K37" i="3" a="1"/>
  <c r="K40" i="3" a="1"/>
  <c r="K38" i="3" a="1"/>
  <c r="K39" i="3" a="1"/>
  <c r="K36" i="3" a="1"/>
  <c r="K28" i="3" a="1"/>
  <c r="M31" i="3" a="1"/>
  <c r="L28" i="3" a="1"/>
  <c r="N30" i="3" a="1"/>
  <c r="L31" i="3" a="1"/>
  <c r="M28" i="3" a="1"/>
  <c r="N28" i="3" a="1"/>
  <c r="N31" i="3" a="1"/>
  <c r="L29" i="3" a="1"/>
  <c r="M30" i="3" a="1"/>
  <c r="M29" i="3" a="1"/>
  <c r="L32" i="3" a="1"/>
  <c r="N32" i="3" a="1"/>
  <c r="M32" i="3" a="1"/>
  <c r="N29" i="3" a="1"/>
  <c r="L30" i="3" a="1"/>
  <c r="K29" i="3" a="1"/>
  <c r="K30" i="3" a="1"/>
  <c r="K32" i="3" a="1"/>
  <c r="K31" i="3" a="1"/>
  <c r="L62" i="3" l="1"/>
  <c r="M64" i="3"/>
  <c r="L61" i="3"/>
  <c r="N60" i="3"/>
  <c r="N64" i="3"/>
  <c r="M63" i="3"/>
  <c r="M62" i="3"/>
  <c r="M60" i="3"/>
  <c r="N61" i="3"/>
  <c r="L64" i="3"/>
  <c r="M61" i="3"/>
  <c r="N63" i="3"/>
  <c r="L63" i="3"/>
  <c r="N62" i="3"/>
  <c r="L60" i="3"/>
  <c r="K64" i="3"/>
  <c r="K63" i="3"/>
  <c r="K62" i="3"/>
  <c r="K61" i="3"/>
  <c r="K60" i="3"/>
  <c r="N56" i="3"/>
  <c r="M56" i="3"/>
  <c r="N53" i="3"/>
  <c r="N55" i="3"/>
  <c r="M54" i="3"/>
  <c r="L54" i="3"/>
  <c r="L56" i="3"/>
  <c r="M53" i="3"/>
  <c r="M52" i="3"/>
  <c r="M55" i="3"/>
  <c r="L53" i="3"/>
  <c r="N52" i="3"/>
  <c r="L55" i="3"/>
  <c r="N54" i="3"/>
  <c r="L52" i="3"/>
  <c r="K55" i="3"/>
  <c r="K56" i="3"/>
  <c r="K54" i="3"/>
  <c r="K53" i="3"/>
  <c r="K52" i="3"/>
  <c r="N48" i="3"/>
  <c r="L46" i="3"/>
  <c r="M46" i="3"/>
  <c r="N45" i="3"/>
  <c r="M48" i="3"/>
  <c r="M45" i="3"/>
  <c r="L48" i="3"/>
  <c r="L45" i="3"/>
  <c r="N47" i="3"/>
  <c r="N44" i="3"/>
  <c r="M47" i="3"/>
  <c r="L47" i="3"/>
  <c r="M44" i="3"/>
  <c r="N46" i="3"/>
  <c r="L44" i="3"/>
  <c r="K48" i="3"/>
  <c r="K47" i="3"/>
  <c r="K46" i="3"/>
  <c r="K45" i="3"/>
  <c r="K44" i="3"/>
  <c r="N40" i="3"/>
  <c r="M40" i="3"/>
  <c r="N37" i="3"/>
  <c r="M38" i="3"/>
  <c r="L40" i="3"/>
  <c r="M37" i="3"/>
  <c r="L38" i="3"/>
  <c r="N39" i="3"/>
  <c r="L37" i="3"/>
  <c r="M39" i="3"/>
  <c r="N36" i="3"/>
  <c r="M36" i="3"/>
  <c r="L39" i="3"/>
  <c r="N38" i="3"/>
  <c r="L36" i="3"/>
  <c r="K39" i="3"/>
  <c r="K38" i="3"/>
  <c r="K40" i="3"/>
  <c r="K37" i="3"/>
  <c r="K36" i="3"/>
  <c r="K28" i="3"/>
  <c r="M31" i="3"/>
  <c r="L30" i="3"/>
  <c r="N29" i="3"/>
  <c r="M32" i="3"/>
  <c r="N32" i="3"/>
  <c r="L32" i="3"/>
  <c r="M29" i="3"/>
  <c r="M30" i="3"/>
  <c r="L29" i="3"/>
  <c r="N31" i="3"/>
  <c r="N28" i="3"/>
  <c r="M28" i="3"/>
  <c r="L31" i="3"/>
  <c r="N30" i="3"/>
  <c r="L28" i="3"/>
  <c r="K31" i="3"/>
  <c r="K32" i="3"/>
  <c r="K30" i="3"/>
  <c r="K29" i="3"/>
  <c r="F2" i="3" l="1"/>
  <c r="E2" i="3"/>
  <c r="D2" i="3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<sst xmlns="http://schemas.openxmlformats.org/spreadsheetml/2006/main" count="165" uniqueCount="140">
  <si>
    <t xml:space="preserve">Report 5 </t>
  </si>
  <si>
    <t>Palmeri Claudio N° 2062671</t>
  </si>
  <si>
    <t>Company:</t>
  </si>
  <si>
    <t>Chipotle Mexican Grill (CMG)</t>
  </si>
  <si>
    <t>Company description:</t>
  </si>
  <si>
    <t>Name</t>
  </si>
  <si>
    <t>Title</t>
  </si>
  <si>
    <t>Mr. Brian R. Niccol</t>
  </si>
  <si>
    <t>Mr. John R. Hartung</t>
  </si>
  <si>
    <t>Mr. Curtis E. Garner III</t>
  </si>
  <si>
    <t>Mr. Christopher Brandt</t>
  </si>
  <si>
    <t>Mr. Scott Boatwright</t>
  </si>
  <si>
    <t>Ms. Cynthia Henn Olsen CFA</t>
  </si>
  <si>
    <t>Mr. Roger E. Theodoredis</t>
  </si>
  <si>
    <t xml:space="preserve">Dr. James Marsden Ph.D.	</t>
  </si>
  <si>
    <t xml:space="preserve">Mr. Jim Slater	</t>
  </si>
  <si>
    <t xml:space="preserve">Ms. Laurie Schalow	</t>
  </si>
  <si>
    <t xml:space="preserve">Chairman &amp; CEO	</t>
  </si>
  <si>
    <t xml:space="preserve">CFO &amp; Chief Admin. Officer	</t>
  </si>
  <si>
    <t xml:space="preserve">Chief Technology Officer	</t>
  </si>
  <si>
    <t xml:space="preserve">Chief Marketing Officer	</t>
  </si>
  <si>
    <t xml:space="preserve">Chief Restaurant Officer	</t>
  </si>
  <si>
    <t xml:space="preserve">Head of Investor Relations &amp; Strategy	</t>
  </si>
  <si>
    <t xml:space="preserve">Chief Legal Officer, Gen. Counsel &amp; Corp. Sec.	</t>
  </si>
  <si>
    <t>Exec. Director of Food Safety</t>
  </si>
  <si>
    <t>Managing Director of Europe</t>
  </si>
  <si>
    <t>Chief Corp. Affairs &amp; Food Safety Officer</t>
  </si>
  <si>
    <t>3.68M</t>
  </si>
  <si>
    <t>1.84M</t>
  </si>
  <si>
    <t>1.52M</t>
  </si>
  <si>
    <t>1.34M</t>
  </si>
  <si>
    <t>1.08M</t>
  </si>
  <si>
    <t>N/A</t>
  </si>
  <si>
    <t>Year of birth</t>
  </si>
  <si>
    <t>Statistic</t>
  </si>
  <si>
    <t>Value</t>
  </si>
  <si>
    <t>Pay($)</t>
  </si>
  <si>
    <t>Market Cap</t>
  </si>
  <si>
    <t>Enterprise Value</t>
  </si>
  <si>
    <t>Revenue per Share</t>
  </si>
  <si>
    <t>Gross profit</t>
  </si>
  <si>
    <t>52 week High</t>
  </si>
  <si>
    <t>52 week Low</t>
  </si>
  <si>
    <t>50 day average</t>
  </si>
  <si>
    <t>Average volume (last 3 months)</t>
  </si>
  <si>
    <t>% shares held by institutions</t>
  </si>
  <si>
    <t>Annual Dividend Yield</t>
  </si>
  <si>
    <t>49.15B $</t>
  </si>
  <si>
    <t>51.98B $</t>
  </si>
  <si>
    <t>310.03$</t>
  </si>
  <si>
    <t>3.37B $</t>
  </si>
  <si>
    <t>2055.92$</t>
  </si>
  <si>
    <t>1196.28$</t>
  </si>
  <si>
    <t>1651.04$</t>
  </si>
  <si>
    <t>307.4k</t>
  </si>
  <si>
    <t>Holder</t>
  </si>
  <si>
    <t>Shares</t>
  </si>
  <si>
    <t>% of the total</t>
  </si>
  <si>
    <t>Value ($)</t>
  </si>
  <si>
    <t xml:space="preserve">Vanguard Group, Inc. (The)	</t>
  </si>
  <si>
    <t xml:space="preserve">Blackrock Inc.	</t>
  </si>
  <si>
    <t xml:space="preserve">Price (T.Rowe) Associates Inc	</t>
  </si>
  <si>
    <t xml:space="preserve">Pershing Square Capital Management, L.P.	</t>
  </si>
  <si>
    <t>Capital International Investors</t>
  </si>
  <si>
    <t>State Street Corporation</t>
  </si>
  <si>
    <t>Capital World Investors</t>
  </si>
  <si>
    <t>Edgewood Management Company</t>
  </si>
  <si>
    <t>JP Morgan Chase &amp; Company</t>
  </si>
  <si>
    <t>Geode Capital Management, LLC</t>
  </si>
  <si>
    <t>Data Analysis:</t>
  </si>
  <si>
    <t xml:space="preserve"> </t>
  </si>
  <si>
    <r>
      <t xml:space="preserve">price(t)=S*N(d1)-Ke^(-r*(Tau-t))*N(d2) </t>
    </r>
    <r>
      <rPr>
        <sz val="11"/>
        <color theme="1"/>
        <rFont val="Calibri"/>
        <family val="2"/>
        <scheme val="minor"/>
      </rPr>
      <t>where</t>
    </r>
    <r>
      <rPr>
        <b/>
        <sz val="11"/>
        <color theme="1"/>
        <rFont val="Calibri"/>
        <family val="2"/>
        <scheme val="minor"/>
      </rPr>
      <t xml:space="preserve"> N(x)=Prob(N(0.1)&lt;=x)</t>
    </r>
  </si>
  <si>
    <t>Where we have that:</t>
  </si>
  <si>
    <t>d1=(ln(S/K)+(Tau-t)(r+0.5vol^2))/(vol*sqrt(Tau-t))</t>
  </si>
  <si>
    <t>d2=d1-vol*sqrt(Tau-t)</t>
  </si>
  <si>
    <t>K</t>
  </si>
  <si>
    <t>Tau</t>
  </si>
  <si>
    <t>Delta</t>
  </si>
  <si>
    <t>Expiring date</t>
  </si>
  <si>
    <t>Gamma</t>
  </si>
  <si>
    <t>Rho</t>
  </si>
  <si>
    <t>Theta</t>
  </si>
  <si>
    <t>Vega</t>
  </si>
  <si>
    <t>r</t>
  </si>
  <si>
    <t>D</t>
  </si>
  <si>
    <t>I got the following results:</t>
  </si>
  <si>
    <t>S</t>
  </si>
  <si>
    <r>
      <t xml:space="preserve">The </t>
    </r>
    <r>
      <rPr>
        <b/>
        <sz val="11"/>
        <color theme="1"/>
        <rFont val="Calibri"/>
        <family val="2"/>
        <scheme val="minor"/>
      </rPr>
      <t>objective</t>
    </r>
    <r>
      <rPr>
        <sz val="11"/>
        <color theme="1"/>
        <rFont val="Calibri"/>
        <family val="2"/>
        <scheme val="minor"/>
      </rPr>
      <t xml:space="preserve"> of this </t>
    </r>
    <r>
      <rPr>
        <b/>
        <sz val="11"/>
        <color theme="1"/>
        <rFont val="Calibri"/>
        <family val="2"/>
        <scheme val="minor"/>
      </rPr>
      <t>report</t>
    </r>
    <r>
      <rPr>
        <sz val="11"/>
        <color theme="1"/>
        <rFont val="Calibri"/>
        <family val="2"/>
        <scheme val="minor"/>
      </rPr>
      <t xml:space="preserve"> is to</t>
    </r>
    <r>
      <rPr>
        <b/>
        <sz val="11"/>
        <color theme="1"/>
        <rFont val="Calibri"/>
        <family val="2"/>
        <scheme val="minor"/>
      </rPr>
      <t xml:space="preserve"> visualize the implied volatility surface</t>
    </r>
    <r>
      <rPr>
        <sz val="11"/>
        <color theme="1"/>
        <rFont val="Calibri"/>
        <family val="2"/>
        <scheme val="minor"/>
      </rPr>
      <t xml:space="preserve">. We will also check for the </t>
    </r>
    <r>
      <rPr>
        <b/>
        <sz val="11"/>
        <color theme="1"/>
        <rFont val="Calibri"/>
        <family val="2"/>
        <scheme val="minor"/>
      </rPr>
      <t>presence</t>
    </r>
    <r>
      <rPr>
        <sz val="11"/>
        <color theme="1"/>
        <rFont val="Calibri"/>
        <family val="2"/>
        <scheme val="minor"/>
      </rPr>
      <t xml:space="preserve"> </t>
    </r>
  </si>
  <si>
    <r>
      <t>of the</t>
    </r>
    <r>
      <rPr>
        <b/>
        <sz val="11"/>
        <color theme="1"/>
        <rFont val="Calibri"/>
        <family val="2"/>
        <scheme val="minor"/>
      </rPr>
      <t xml:space="preserve"> implied volatility smile</t>
    </r>
    <r>
      <rPr>
        <sz val="11"/>
        <color theme="1"/>
        <rFont val="Calibri"/>
        <family val="2"/>
        <scheme val="minor"/>
      </rPr>
      <t xml:space="preserve"> and that the</t>
    </r>
    <r>
      <rPr>
        <b/>
        <sz val="11"/>
        <color theme="1"/>
        <rFont val="Calibri"/>
        <family val="2"/>
        <scheme val="minor"/>
      </rPr>
      <t xml:space="preserve"> Greeks</t>
    </r>
    <r>
      <rPr>
        <sz val="11"/>
        <color theme="1"/>
        <rFont val="Calibri"/>
        <family val="2"/>
        <scheme val="minor"/>
      </rPr>
      <t xml:space="preserve"> calculated on the real data</t>
    </r>
    <r>
      <rPr>
        <b/>
        <sz val="11"/>
        <color theme="1"/>
        <rFont val="Calibri"/>
        <family val="2"/>
        <scheme val="minor"/>
      </rPr>
      <t xml:space="preserve"> gets smoother </t>
    </r>
    <r>
      <rPr>
        <sz val="11"/>
        <color theme="1"/>
        <rFont val="Calibri"/>
        <family val="2"/>
        <scheme val="minor"/>
      </rPr>
      <t xml:space="preserve">as the </t>
    </r>
    <r>
      <rPr>
        <b/>
        <sz val="11"/>
        <color theme="1"/>
        <rFont val="Calibri"/>
        <family val="2"/>
        <scheme val="minor"/>
      </rPr>
      <t>time to</t>
    </r>
  </si>
  <si>
    <r>
      <rPr>
        <b/>
        <sz val="11"/>
        <color theme="1"/>
        <rFont val="Calibri"/>
        <family val="2"/>
        <scheme val="minor"/>
      </rPr>
      <t>maturity increases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</si>
  <si>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Chipotle Mexican Grill, Inc.</t>
    </r>
    <r>
      <rPr>
        <sz val="11"/>
        <color theme="1"/>
        <rFont val="Calibri"/>
        <family val="2"/>
        <scheme val="minor"/>
      </rPr>
      <t xml:space="preserve">, together with its subsidiaries, owns and operates </t>
    </r>
    <r>
      <rPr>
        <b/>
        <sz val="11"/>
        <color theme="1"/>
        <rFont val="Calibri"/>
        <family val="2"/>
        <scheme val="minor"/>
      </rPr>
      <t xml:space="preserve">Chipotle Mexican Grill </t>
    </r>
  </si>
  <si>
    <r>
      <rPr>
        <b/>
        <sz val="11"/>
        <color theme="1"/>
        <rFont val="Calibri"/>
        <family val="2"/>
        <scheme val="minor"/>
      </rPr>
      <t>restaurants</t>
    </r>
    <r>
      <rPr>
        <sz val="11"/>
        <color theme="1"/>
        <rFont val="Calibri"/>
        <family val="2"/>
        <scheme val="minor"/>
      </rPr>
      <t xml:space="preserve">. It offers burritos, burrito bowls, quesadillas, tacos, and salads. The </t>
    </r>
    <r>
      <rPr>
        <b/>
        <sz val="11"/>
        <color theme="1"/>
        <rFont val="Calibri"/>
        <family val="2"/>
        <scheme val="minor"/>
      </rPr>
      <t xml:space="preserve">company was founded </t>
    </r>
  </si>
  <si>
    <r>
      <t xml:space="preserve">in </t>
    </r>
    <r>
      <rPr>
        <b/>
        <sz val="11"/>
        <color theme="1"/>
        <rFont val="Calibri"/>
        <family val="2"/>
        <scheme val="minor"/>
      </rPr>
      <t>1993</t>
    </r>
    <r>
      <rPr>
        <sz val="11"/>
        <color theme="1"/>
        <rFont val="Calibri"/>
        <family val="2"/>
        <scheme val="minor"/>
      </rPr>
      <t xml:space="preserve"> and is headquartered in </t>
    </r>
    <r>
      <rPr>
        <b/>
        <sz val="11"/>
        <color theme="1"/>
        <rFont val="Calibri"/>
        <family val="2"/>
        <scheme val="minor"/>
      </rPr>
      <t>Newport Beach, California</t>
    </r>
    <r>
      <rPr>
        <sz val="11"/>
        <color theme="1"/>
        <rFont val="Calibri"/>
        <family val="2"/>
        <scheme val="minor"/>
      </rPr>
      <t>.</t>
    </r>
  </si>
  <si>
    <r>
      <t>Its most</t>
    </r>
    <r>
      <rPr>
        <b/>
        <sz val="11"/>
        <color theme="1"/>
        <rFont val="Calibri"/>
        <family val="2"/>
        <scheme val="minor"/>
      </rPr>
      <t xml:space="preserve"> influential executives</t>
    </r>
    <r>
      <rPr>
        <sz val="11"/>
        <color theme="1"/>
        <rFont val="Calibri"/>
        <family val="2"/>
        <scheme val="minor"/>
      </rPr>
      <t xml:space="preserve"> are:</t>
    </r>
  </si>
  <si>
    <r>
      <t xml:space="preserve">Some </t>
    </r>
    <r>
      <rPr>
        <b/>
        <sz val="11"/>
        <color theme="1"/>
        <rFont val="Calibri"/>
        <family val="2"/>
        <scheme val="minor"/>
      </rPr>
      <t xml:space="preserve">useful statistics </t>
    </r>
    <r>
      <rPr>
        <sz val="11"/>
        <color theme="1"/>
        <rFont val="Calibri"/>
        <family val="2"/>
        <scheme val="minor"/>
      </rPr>
      <t>of the company</t>
    </r>
    <r>
      <rPr>
        <b/>
        <sz val="11"/>
        <color theme="1"/>
        <rFont val="Calibri"/>
        <family val="2"/>
        <scheme val="minor"/>
      </rPr>
      <t xml:space="preserve"> Chipotle Mexican Grill (CMG)</t>
    </r>
    <r>
      <rPr>
        <sz val="11"/>
        <color theme="1"/>
        <rFont val="Calibri"/>
        <family val="2"/>
        <scheme val="minor"/>
      </rPr>
      <t xml:space="preserve"> are:</t>
    </r>
  </si>
  <si>
    <r>
      <t xml:space="preserve">This is the </t>
    </r>
    <r>
      <rPr>
        <b/>
        <sz val="11"/>
        <color theme="1"/>
        <rFont val="Calibri"/>
        <family val="2"/>
        <scheme val="minor"/>
      </rPr>
      <t>overall evolution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stock price from the beginning</t>
    </r>
    <r>
      <rPr>
        <sz val="11"/>
        <color theme="1"/>
        <rFont val="Calibri"/>
        <family val="2"/>
        <scheme val="minor"/>
      </rPr>
      <t>:</t>
    </r>
  </si>
  <si>
    <r>
      <rPr>
        <b/>
        <sz val="11"/>
        <color theme="1"/>
        <rFont val="Calibri"/>
        <family val="2"/>
        <scheme val="minor"/>
      </rPr>
      <t>Chipotle Mexican Grill, Inc</t>
    </r>
    <r>
      <rPr>
        <sz val="11"/>
        <color theme="1"/>
        <rFont val="Calibri"/>
        <family val="2"/>
        <scheme val="minor"/>
      </rPr>
      <t xml:space="preserve">.’s ISS </t>
    </r>
    <r>
      <rPr>
        <b/>
        <sz val="11"/>
        <color theme="1"/>
        <rFont val="Calibri"/>
        <family val="2"/>
        <scheme val="minor"/>
      </rPr>
      <t xml:space="preserve">Governance QualityScore </t>
    </r>
    <r>
      <rPr>
        <sz val="11"/>
        <color theme="1"/>
        <rFont val="Calibri"/>
        <family val="2"/>
        <scheme val="minor"/>
      </rPr>
      <t xml:space="preserve">as of April 1, 2023 is </t>
    </r>
    <r>
      <rPr>
        <b/>
        <sz val="11"/>
        <color theme="1"/>
        <rFont val="Calibri"/>
        <family val="2"/>
        <scheme val="minor"/>
      </rPr>
      <t>6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</si>
  <si>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95.17%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shares</t>
    </r>
    <r>
      <rPr>
        <sz val="11"/>
        <color theme="1"/>
        <rFont val="Calibri"/>
        <family val="2"/>
        <scheme val="minor"/>
      </rPr>
      <t xml:space="preserve"> are held by</t>
    </r>
    <r>
      <rPr>
        <b/>
        <sz val="11"/>
        <color theme="1"/>
        <rFont val="Calibri"/>
        <family val="2"/>
        <scheme val="minor"/>
      </rPr>
      <t xml:space="preserve"> institutions</t>
    </r>
    <r>
      <rPr>
        <sz val="11"/>
        <color theme="1"/>
        <rFont val="Calibri"/>
        <family val="2"/>
        <scheme val="minor"/>
      </rPr>
      <t xml:space="preserve">, more precisely the </t>
    </r>
    <r>
      <rPr>
        <b/>
        <sz val="11"/>
        <color theme="1"/>
        <rFont val="Calibri"/>
        <family val="2"/>
        <scheme val="minor"/>
      </rPr>
      <t>top institutional holders</t>
    </r>
    <r>
      <rPr>
        <sz val="11"/>
        <color theme="1"/>
        <rFont val="Calibri"/>
        <family val="2"/>
        <scheme val="minor"/>
      </rPr>
      <t xml:space="preserve"> are:</t>
    </r>
  </si>
  <si>
    <r>
      <rPr>
        <b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 in this</t>
    </r>
    <r>
      <rPr>
        <b/>
        <sz val="11"/>
        <color theme="1"/>
        <rFont val="Calibri"/>
        <family val="2"/>
        <scheme val="minor"/>
      </rPr>
      <t xml:space="preserve"> report</t>
    </r>
    <r>
      <rPr>
        <sz val="11"/>
        <color theme="1"/>
        <rFont val="Calibri"/>
        <family val="2"/>
        <scheme val="minor"/>
      </rPr>
      <t xml:space="preserve"> were taken on the </t>
    </r>
    <r>
      <rPr>
        <b/>
        <sz val="11"/>
        <color theme="1"/>
        <rFont val="Calibri"/>
        <family val="2"/>
        <scheme val="minor"/>
      </rPr>
      <t>4/28/2023</t>
    </r>
  </si>
  <si>
    <r>
      <t xml:space="preserve">We are tasked to </t>
    </r>
    <r>
      <rPr>
        <b/>
        <sz val="11"/>
        <color theme="1"/>
        <rFont val="Calibri"/>
        <family val="2"/>
        <scheme val="minor"/>
      </rPr>
      <t>visualize the implied volatility surface</t>
    </r>
    <r>
      <rPr>
        <sz val="11"/>
        <color theme="1"/>
        <rFont val="Calibri"/>
        <family val="2"/>
        <scheme val="minor"/>
      </rPr>
      <t xml:space="preserve"> as a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of both the</t>
    </r>
    <r>
      <rPr>
        <b/>
        <sz val="11"/>
        <color theme="1"/>
        <rFont val="Calibri"/>
        <family val="2"/>
        <scheme val="minor"/>
      </rPr>
      <t xml:space="preserve"> strike price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time</t>
    </r>
  </si>
  <si>
    <r>
      <t xml:space="preserve">to </t>
    </r>
    <r>
      <rPr>
        <b/>
        <sz val="11"/>
        <color theme="1"/>
        <rFont val="Calibri"/>
        <family val="2"/>
        <scheme val="minor"/>
      </rPr>
      <t>maturities</t>
    </r>
    <r>
      <rPr>
        <sz val="11"/>
        <color theme="1"/>
        <rFont val="Calibri"/>
        <family val="2"/>
        <scheme val="minor"/>
      </rPr>
      <t xml:space="preserve">. According to the </t>
    </r>
    <r>
      <rPr>
        <b/>
        <sz val="11"/>
        <color theme="1"/>
        <rFont val="Calibri"/>
        <family val="2"/>
        <scheme val="minor"/>
      </rPr>
      <t>B&amp;S equation</t>
    </r>
    <r>
      <rPr>
        <sz val="11"/>
        <color theme="1"/>
        <rFont val="Calibri"/>
        <family val="2"/>
        <scheme val="minor"/>
      </rPr>
      <t xml:space="preserve">, the </t>
    </r>
    <r>
      <rPr>
        <b/>
        <sz val="11"/>
        <color theme="1"/>
        <rFont val="Calibri"/>
        <family val="2"/>
        <scheme val="minor"/>
      </rPr>
      <t>price of a call option</t>
    </r>
    <r>
      <rPr>
        <sz val="11"/>
        <color theme="1"/>
        <rFont val="Calibri"/>
        <family val="2"/>
        <scheme val="minor"/>
      </rPr>
      <t xml:space="preserve"> is given by:</t>
    </r>
  </si>
  <si>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>strike price</t>
    </r>
  </si>
  <si>
    <r>
      <rPr>
        <b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>interest rate</t>
    </r>
  </si>
  <si>
    <r>
      <rPr>
        <b/>
        <sz val="11"/>
        <color theme="1"/>
        <rFont val="Calibri"/>
        <family val="2"/>
        <scheme val="minor"/>
      </rPr>
      <t xml:space="preserve">vol </t>
    </r>
    <r>
      <rPr>
        <sz val="11"/>
        <color theme="1"/>
        <rFont val="Calibri"/>
        <family val="2"/>
        <scheme val="minor"/>
      </rPr>
      <t>is the</t>
    </r>
    <r>
      <rPr>
        <b/>
        <sz val="11"/>
        <color theme="1"/>
        <rFont val="Calibri"/>
        <family val="2"/>
        <scheme val="minor"/>
      </rPr>
      <t xml:space="preserve"> volatility</t>
    </r>
  </si>
  <si>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>underlying price</t>
    </r>
  </si>
  <si>
    <r>
      <rPr>
        <b/>
        <sz val="11"/>
        <color theme="1"/>
        <rFont val="Calibri"/>
        <family val="2"/>
        <scheme val="minor"/>
      </rPr>
      <t>Tau</t>
    </r>
    <r>
      <rPr>
        <sz val="11"/>
        <color theme="1"/>
        <rFont val="Calibri"/>
        <family val="2"/>
        <scheme val="minor"/>
      </rPr>
      <t xml:space="preserve"> is the</t>
    </r>
    <r>
      <rPr>
        <b/>
        <sz val="11"/>
        <color theme="1"/>
        <rFont val="Calibri"/>
        <family val="2"/>
        <scheme val="minor"/>
      </rPr>
      <t xml:space="preserve"> time to maturity</t>
    </r>
  </si>
  <si>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 xml:space="preserve">current time </t>
    </r>
    <r>
      <rPr>
        <sz val="11"/>
        <color theme="1"/>
        <rFont val="Calibri"/>
        <family val="2"/>
        <scheme val="minor"/>
      </rPr>
      <t>(and thus</t>
    </r>
    <r>
      <rPr>
        <b/>
        <sz val="11"/>
        <color theme="1"/>
        <rFont val="Calibri"/>
        <family val="2"/>
        <scheme val="minor"/>
      </rPr>
      <t xml:space="preserve"> 0&lt;=t&lt;=Tau</t>
    </r>
    <r>
      <rPr>
        <sz val="11"/>
        <color theme="1"/>
        <rFont val="Calibri"/>
        <family val="2"/>
        <scheme val="minor"/>
      </rPr>
      <t>)</t>
    </r>
  </si>
  <si>
    <r>
      <t xml:space="preserve">The </t>
    </r>
    <r>
      <rPr>
        <b/>
        <sz val="11"/>
        <color theme="1"/>
        <rFont val="Calibri"/>
        <family val="2"/>
        <scheme val="minor"/>
      </rPr>
      <t>implied volatility</t>
    </r>
    <r>
      <rPr>
        <sz val="11"/>
        <color theme="1"/>
        <rFont val="Calibri"/>
        <family val="2"/>
        <scheme val="minor"/>
      </rPr>
      <t xml:space="preserve"> is the value of </t>
    </r>
    <r>
      <rPr>
        <b/>
        <sz val="11"/>
        <color theme="1"/>
        <rFont val="Calibri"/>
        <family val="2"/>
        <scheme val="minor"/>
      </rPr>
      <t>vol</t>
    </r>
    <r>
      <rPr>
        <sz val="11"/>
        <color theme="1"/>
        <rFont val="Calibri"/>
        <family val="2"/>
        <scheme val="minor"/>
      </rPr>
      <t xml:space="preserve"> that make </t>
    </r>
    <r>
      <rPr>
        <b/>
        <sz val="11"/>
        <color theme="1"/>
        <rFont val="Calibri"/>
        <family val="2"/>
        <scheme val="minor"/>
      </rPr>
      <t>price(t)=real price of the call option</t>
    </r>
    <r>
      <rPr>
        <sz val="11"/>
        <color theme="1"/>
        <rFont val="Calibri"/>
        <family val="2"/>
        <scheme val="minor"/>
      </rPr>
      <t xml:space="preserve"> (i.e. the </t>
    </r>
    <r>
      <rPr>
        <b/>
        <sz val="11"/>
        <color theme="1"/>
        <rFont val="Calibri"/>
        <family val="2"/>
        <scheme val="minor"/>
      </rPr>
      <t>average</t>
    </r>
    <r>
      <rPr>
        <sz val="11"/>
        <color theme="1"/>
        <rFont val="Calibri"/>
        <family val="2"/>
        <scheme val="minor"/>
      </rPr>
      <t xml:space="preserve"> of </t>
    </r>
  </si>
  <si>
    <r>
      <t xml:space="preserve">the current </t>
    </r>
    <r>
      <rPr>
        <b/>
        <sz val="11"/>
        <color theme="1"/>
        <rFont val="Calibri"/>
        <family val="2"/>
        <scheme val="minor"/>
      </rPr>
      <t>bid and ask prices</t>
    </r>
    <r>
      <rPr>
        <sz val="11"/>
        <color theme="1"/>
        <rFont val="Calibri"/>
        <family val="2"/>
        <scheme val="minor"/>
      </rPr>
      <t>). The</t>
    </r>
    <r>
      <rPr>
        <b/>
        <sz val="11"/>
        <color theme="1"/>
        <rFont val="Calibri"/>
        <family val="2"/>
        <scheme val="minor"/>
      </rPr>
      <t xml:space="preserve"> B&amp;S equation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can't</t>
    </r>
    <r>
      <rPr>
        <sz val="11"/>
        <color theme="1"/>
        <rFont val="Calibri"/>
        <family val="2"/>
        <scheme val="minor"/>
      </rPr>
      <t xml:space="preserve"> be </t>
    </r>
    <r>
      <rPr>
        <b/>
        <sz val="11"/>
        <color theme="1"/>
        <rFont val="Calibri"/>
        <family val="2"/>
        <scheme val="minor"/>
      </rPr>
      <t>solved</t>
    </r>
    <r>
      <rPr>
        <sz val="11"/>
        <color theme="1"/>
        <rFont val="Calibri"/>
        <family val="2"/>
        <scheme val="minor"/>
      </rPr>
      <t xml:space="preserve"> directly for the </t>
    </r>
    <r>
      <rPr>
        <b/>
        <sz val="11"/>
        <color theme="1"/>
        <rFont val="Calibri"/>
        <family val="2"/>
        <scheme val="minor"/>
      </rPr>
      <t>volatility</t>
    </r>
    <r>
      <rPr>
        <sz val="11"/>
        <color theme="1"/>
        <rFont val="Calibri"/>
        <family val="2"/>
        <scheme val="minor"/>
      </rPr>
      <t xml:space="preserve"> but we know</t>
    </r>
  </si>
  <si>
    <r>
      <t xml:space="preserve">that if all the </t>
    </r>
    <r>
      <rPr>
        <b/>
        <sz val="11"/>
        <color theme="1"/>
        <rFont val="Calibri"/>
        <family val="2"/>
        <scheme val="minor"/>
      </rPr>
      <t>other parameters</t>
    </r>
    <r>
      <rPr>
        <sz val="11"/>
        <color theme="1"/>
        <rFont val="Calibri"/>
        <family val="2"/>
        <scheme val="minor"/>
      </rPr>
      <t xml:space="preserve"> stay </t>
    </r>
    <r>
      <rPr>
        <b/>
        <sz val="11"/>
        <color theme="1"/>
        <rFont val="Calibri"/>
        <family val="2"/>
        <scheme val="minor"/>
      </rPr>
      <t>fixed</t>
    </r>
    <r>
      <rPr>
        <sz val="11"/>
        <color theme="1"/>
        <rFont val="Calibri"/>
        <family val="2"/>
        <scheme val="minor"/>
      </rPr>
      <t xml:space="preserve">, the </t>
    </r>
    <r>
      <rPr>
        <b/>
        <sz val="11"/>
        <color theme="1"/>
        <rFont val="Calibri"/>
        <family val="2"/>
        <scheme val="minor"/>
      </rPr>
      <t>price</t>
    </r>
    <r>
      <rPr>
        <sz val="11"/>
        <color theme="1"/>
        <rFont val="Calibri"/>
        <family val="2"/>
        <scheme val="minor"/>
      </rPr>
      <t xml:space="preserve"> of a call option is an</t>
    </r>
    <r>
      <rPr>
        <b/>
        <sz val="11"/>
        <color theme="1"/>
        <rFont val="Calibri"/>
        <family val="2"/>
        <scheme val="minor"/>
      </rPr>
      <t xml:space="preserve"> increasing function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volatility</t>
    </r>
    <r>
      <rPr>
        <sz val="11"/>
        <color theme="1"/>
        <rFont val="Calibri"/>
        <family val="2"/>
        <scheme val="minor"/>
      </rPr>
      <t>.</t>
    </r>
  </si>
  <si>
    <r>
      <t>This is because an</t>
    </r>
    <r>
      <rPr>
        <b/>
        <sz val="11"/>
        <color theme="1"/>
        <rFont val="Calibri"/>
        <family val="2"/>
        <scheme val="minor"/>
      </rPr>
      <t xml:space="preserve"> higher volatility</t>
    </r>
    <r>
      <rPr>
        <sz val="11"/>
        <color theme="1"/>
        <rFont val="Calibri"/>
        <family val="2"/>
        <scheme val="minor"/>
      </rPr>
      <t xml:space="preserve"> implies having a very</t>
    </r>
    <r>
      <rPr>
        <b/>
        <sz val="11"/>
        <color theme="1"/>
        <rFont val="Calibri"/>
        <family val="2"/>
        <scheme val="minor"/>
      </rPr>
      <t xml:space="preserve"> unstable price</t>
    </r>
    <r>
      <rPr>
        <sz val="11"/>
        <color theme="1"/>
        <rFont val="Calibri"/>
        <family val="2"/>
        <scheme val="minor"/>
      </rPr>
      <t xml:space="preserve">. Since the </t>
    </r>
    <r>
      <rPr>
        <b/>
        <sz val="11"/>
        <color theme="1"/>
        <rFont val="Calibri"/>
        <family val="2"/>
        <scheme val="minor"/>
      </rPr>
      <t>payoff</t>
    </r>
    <r>
      <rPr>
        <sz val="11"/>
        <color theme="1"/>
        <rFont val="Calibri"/>
        <family val="2"/>
        <scheme val="minor"/>
      </rPr>
      <t xml:space="preserve"> of a call option is</t>
    </r>
  </si>
  <si>
    <r>
      <t xml:space="preserve">the </t>
    </r>
    <r>
      <rPr>
        <b/>
        <sz val="11"/>
        <color theme="1"/>
        <rFont val="Calibri"/>
        <family val="2"/>
        <scheme val="minor"/>
      </rPr>
      <t>positive part of the difference between final and strike price</t>
    </r>
    <r>
      <rPr>
        <sz val="11"/>
        <color theme="1"/>
        <rFont val="Calibri"/>
        <family val="2"/>
        <scheme val="minor"/>
      </rPr>
      <t xml:space="preserve">, having an </t>
    </r>
    <r>
      <rPr>
        <b/>
        <sz val="11"/>
        <color theme="1"/>
        <rFont val="Calibri"/>
        <family val="2"/>
        <scheme val="minor"/>
      </rPr>
      <t xml:space="preserve">higher volatility </t>
    </r>
    <r>
      <rPr>
        <sz val="11"/>
        <color theme="1"/>
        <rFont val="Calibri"/>
        <family val="2"/>
        <scheme val="minor"/>
      </rPr>
      <t>means that the</t>
    </r>
  </si>
  <si>
    <r>
      <rPr>
        <b/>
        <sz val="11"/>
        <color theme="1"/>
        <rFont val="Calibri"/>
        <family val="2"/>
        <scheme val="minor"/>
      </rPr>
      <t>final price</t>
    </r>
    <r>
      <rPr>
        <sz val="11"/>
        <color theme="1"/>
        <rFont val="Calibri"/>
        <family val="2"/>
        <scheme val="minor"/>
      </rPr>
      <t xml:space="preserve"> could be</t>
    </r>
    <r>
      <rPr>
        <b/>
        <sz val="11"/>
        <color theme="1"/>
        <rFont val="Calibri"/>
        <family val="2"/>
        <scheme val="minor"/>
      </rPr>
      <t xml:space="preserve"> very far</t>
    </r>
    <r>
      <rPr>
        <sz val="11"/>
        <color theme="1"/>
        <rFont val="Calibri"/>
        <family val="2"/>
        <scheme val="minor"/>
      </rPr>
      <t xml:space="preserve"> from </t>
    </r>
    <r>
      <rPr>
        <b/>
        <sz val="11"/>
        <color theme="1"/>
        <rFont val="Calibri"/>
        <family val="2"/>
        <scheme val="minor"/>
      </rPr>
      <t>initial price</t>
    </r>
    <r>
      <rPr>
        <sz val="11"/>
        <color theme="1"/>
        <rFont val="Calibri"/>
        <family val="2"/>
        <scheme val="minor"/>
      </rPr>
      <t xml:space="preserve">. This implies a potentially </t>
    </r>
    <r>
      <rPr>
        <b/>
        <sz val="11"/>
        <color theme="1"/>
        <rFont val="Calibri"/>
        <family val="2"/>
        <scheme val="minor"/>
      </rPr>
      <t>huge prayoff</t>
    </r>
    <r>
      <rPr>
        <sz val="11"/>
        <color theme="1"/>
        <rFont val="Calibri"/>
        <family val="2"/>
        <scheme val="minor"/>
      </rPr>
      <t xml:space="preserve"> if the </t>
    </r>
    <r>
      <rPr>
        <b/>
        <sz val="11"/>
        <color theme="1"/>
        <rFont val="Calibri"/>
        <family val="2"/>
        <scheme val="minor"/>
      </rPr>
      <t>market</t>
    </r>
    <r>
      <rPr>
        <sz val="11"/>
        <color theme="1"/>
        <rFont val="Calibri"/>
        <family val="2"/>
        <scheme val="minor"/>
      </rPr>
      <t xml:space="preserve"> goes in </t>
    </r>
  </si>
  <si>
    <r>
      <t>the</t>
    </r>
    <r>
      <rPr>
        <b/>
        <sz val="11"/>
        <color theme="1"/>
        <rFont val="Calibri"/>
        <family val="2"/>
        <scheme val="minor"/>
      </rPr>
      <t xml:space="preserve"> right direction</t>
    </r>
    <r>
      <rPr>
        <sz val="11"/>
        <color theme="1"/>
        <rFont val="Calibri"/>
        <family val="2"/>
        <scheme val="minor"/>
      </rPr>
      <t xml:space="preserve"> while if it goes in the</t>
    </r>
    <r>
      <rPr>
        <b/>
        <sz val="11"/>
        <color theme="1"/>
        <rFont val="Calibri"/>
        <family val="2"/>
        <scheme val="minor"/>
      </rPr>
      <t xml:space="preserve"> wrong direction</t>
    </r>
    <r>
      <rPr>
        <sz val="11"/>
        <color theme="1"/>
        <rFont val="Calibri"/>
        <family val="2"/>
        <scheme val="minor"/>
      </rPr>
      <t xml:space="preserve"> we </t>
    </r>
    <r>
      <rPr>
        <b/>
        <sz val="11"/>
        <color theme="1"/>
        <rFont val="Calibri"/>
        <family val="2"/>
        <scheme val="minor"/>
      </rPr>
      <t>won't</t>
    </r>
    <r>
      <rPr>
        <sz val="11"/>
        <color theme="1"/>
        <rFont val="Calibri"/>
        <family val="2"/>
        <scheme val="minor"/>
      </rPr>
      <t xml:space="preserve"> be</t>
    </r>
    <r>
      <rPr>
        <b/>
        <sz val="11"/>
        <color theme="1"/>
        <rFont val="Calibri"/>
        <family val="2"/>
        <scheme val="minor"/>
      </rPr>
      <t xml:space="preserve"> losing money </t>
    </r>
    <r>
      <rPr>
        <sz val="11"/>
        <color theme="1"/>
        <rFont val="Calibri"/>
        <family val="2"/>
        <scheme val="minor"/>
      </rPr>
      <t>anyway. Thus the</t>
    </r>
    <r>
      <rPr>
        <b/>
        <sz val="11"/>
        <color theme="1"/>
        <rFont val="Calibri"/>
        <family val="2"/>
        <scheme val="minor"/>
      </rPr>
      <t xml:space="preserve"> higher </t>
    </r>
  </si>
  <si>
    <r>
      <t xml:space="preserve">the </t>
    </r>
    <r>
      <rPr>
        <b/>
        <sz val="11"/>
        <color theme="1"/>
        <rFont val="Calibri"/>
        <family val="2"/>
        <scheme val="minor"/>
      </rPr>
      <t>volatility</t>
    </r>
    <r>
      <rPr>
        <sz val="11"/>
        <color theme="1"/>
        <rFont val="Calibri"/>
        <family val="2"/>
        <scheme val="minor"/>
      </rPr>
      <t xml:space="preserve">, the </t>
    </r>
    <r>
      <rPr>
        <b/>
        <sz val="11"/>
        <color theme="1"/>
        <rFont val="Calibri"/>
        <family val="2"/>
        <scheme val="minor"/>
      </rPr>
      <t>higher the price of the call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option </t>
    </r>
    <r>
      <rPr>
        <sz val="11"/>
        <color theme="1"/>
        <rFont val="Calibri"/>
        <family val="2"/>
        <scheme val="minor"/>
      </rPr>
      <t>(or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of the</t>
    </r>
    <r>
      <rPr>
        <b/>
        <sz val="11"/>
        <color theme="1"/>
        <rFont val="Calibri"/>
        <family val="2"/>
        <scheme val="minor"/>
      </rPr>
      <t xml:space="preserve"> put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option</t>
    </r>
    <r>
      <rPr>
        <sz val="11"/>
        <color theme="1"/>
        <rFont val="Calibri"/>
        <family val="2"/>
        <scheme val="minor"/>
      </rPr>
      <t xml:space="preserve"> since it is the </t>
    </r>
    <r>
      <rPr>
        <b/>
        <sz val="11"/>
        <color theme="1"/>
        <rFont val="Calibri"/>
        <family val="2"/>
        <scheme val="minor"/>
      </rPr>
      <t>same reasoning</t>
    </r>
    <r>
      <rPr>
        <sz val="11"/>
        <color theme="1"/>
        <rFont val="Calibri"/>
        <family val="2"/>
        <scheme val="minor"/>
      </rPr>
      <t>).</t>
    </r>
  </si>
  <si>
    <r>
      <t xml:space="preserve">Using this information we can </t>
    </r>
    <r>
      <rPr>
        <b/>
        <sz val="11"/>
        <color theme="1"/>
        <rFont val="Calibri"/>
        <family val="2"/>
        <scheme val="minor"/>
      </rPr>
      <t>estimate the implied volatility</t>
    </r>
    <r>
      <rPr>
        <sz val="11"/>
        <color theme="1"/>
        <rFont val="Calibri"/>
        <family val="2"/>
        <scheme val="minor"/>
      </rPr>
      <t xml:space="preserve"> by simply trying to </t>
    </r>
    <r>
      <rPr>
        <b/>
        <sz val="11"/>
        <color theme="1"/>
        <rFont val="Calibri"/>
        <family val="2"/>
        <scheme val="minor"/>
      </rPr>
      <t>make a guess</t>
    </r>
    <r>
      <rPr>
        <sz val="11"/>
        <color theme="1"/>
        <rFont val="Calibri"/>
        <family val="2"/>
        <scheme val="minor"/>
      </rPr>
      <t xml:space="preserve"> and then</t>
    </r>
  </si>
  <si>
    <r>
      <t xml:space="preserve">going </t>
    </r>
    <r>
      <rPr>
        <b/>
        <sz val="11"/>
        <color theme="1"/>
        <rFont val="Calibri"/>
        <family val="2"/>
        <scheme val="minor"/>
      </rPr>
      <t>higher or lower</t>
    </r>
    <r>
      <rPr>
        <sz val="11"/>
        <color theme="1"/>
        <rFont val="Calibri"/>
        <family val="2"/>
        <scheme val="minor"/>
      </rPr>
      <t xml:space="preserve"> depending if the</t>
    </r>
    <r>
      <rPr>
        <b/>
        <sz val="11"/>
        <color theme="1"/>
        <rFont val="Calibri"/>
        <family val="2"/>
        <scheme val="minor"/>
      </rPr>
      <t xml:space="preserve"> price </t>
    </r>
    <r>
      <rPr>
        <sz val="11"/>
        <color theme="1"/>
        <rFont val="Calibri"/>
        <family val="2"/>
        <scheme val="minor"/>
      </rPr>
      <t xml:space="preserve">we got was </t>
    </r>
    <r>
      <rPr>
        <b/>
        <sz val="11"/>
        <color theme="1"/>
        <rFont val="Calibri"/>
        <family val="2"/>
        <scheme val="minor"/>
      </rPr>
      <t>higher or lowe</t>
    </r>
    <r>
      <rPr>
        <sz val="11"/>
        <color theme="1"/>
        <rFont val="Calibri"/>
        <family val="2"/>
        <scheme val="minor"/>
      </rPr>
      <t xml:space="preserve">r than the </t>
    </r>
    <r>
      <rPr>
        <b/>
        <sz val="11"/>
        <color theme="1"/>
        <rFont val="Calibri"/>
        <family val="2"/>
        <scheme val="minor"/>
      </rPr>
      <t>actual market price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</si>
  <si>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Yahoo Finance</t>
    </r>
    <r>
      <rPr>
        <sz val="11"/>
        <color theme="1"/>
        <rFont val="Calibri"/>
        <family val="2"/>
        <scheme val="minor"/>
      </rPr>
      <t xml:space="preserve"> already calculates the</t>
    </r>
    <r>
      <rPr>
        <b/>
        <sz val="11"/>
        <color theme="1"/>
        <rFont val="Calibri"/>
        <family val="2"/>
        <scheme val="minor"/>
      </rPr>
      <t xml:space="preserve"> implied volatility</t>
    </r>
    <r>
      <rPr>
        <sz val="11"/>
        <color theme="1"/>
        <rFont val="Calibri"/>
        <family val="2"/>
        <scheme val="minor"/>
      </rPr>
      <t>.</t>
    </r>
  </si>
  <si>
    <r>
      <t xml:space="preserve">We can now </t>
    </r>
    <r>
      <rPr>
        <b/>
        <sz val="11"/>
        <color theme="1"/>
        <rFont val="Calibri"/>
        <family val="2"/>
        <scheme val="minor"/>
      </rPr>
      <t>plot</t>
    </r>
    <r>
      <rPr>
        <sz val="11"/>
        <color theme="1"/>
        <rFont val="Calibri"/>
        <family val="2"/>
        <scheme val="minor"/>
      </rPr>
      <t xml:space="preserve"> the</t>
    </r>
    <r>
      <rPr>
        <b/>
        <sz val="11"/>
        <color theme="1"/>
        <rFont val="Calibri"/>
        <family val="2"/>
        <scheme val="minor"/>
      </rPr>
      <t xml:space="preserve"> implied volatility</t>
    </r>
    <r>
      <rPr>
        <sz val="11"/>
        <color theme="1"/>
        <rFont val="Calibri"/>
        <family val="2"/>
        <scheme val="minor"/>
      </rPr>
      <t xml:space="preserve"> as a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strike price</t>
    </r>
    <r>
      <rPr>
        <sz val="11"/>
        <color theme="1"/>
        <rFont val="Calibri"/>
        <family val="2"/>
        <scheme val="minor"/>
      </rPr>
      <t xml:space="preserve"> and the</t>
    </r>
    <r>
      <rPr>
        <b/>
        <sz val="11"/>
        <color theme="1"/>
        <rFont val="Calibri"/>
        <family val="2"/>
        <scheme val="minor"/>
      </rPr>
      <t xml:space="preserve"> time to maturity</t>
    </r>
    <r>
      <rPr>
        <sz val="11"/>
        <color theme="1"/>
        <rFont val="Calibri"/>
        <family val="2"/>
        <scheme val="minor"/>
      </rPr>
      <t xml:space="preserve"> (which is</t>
    </r>
  </si>
  <si>
    <t xml:space="preserve"> expressed in years). Here are the results:</t>
  </si>
  <si>
    <r>
      <t>As we can see, the</t>
    </r>
    <r>
      <rPr>
        <b/>
        <sz val="11"/>
        <color theme="1"/>
        <rFont val="Calibri"/>
        <family val="2"/>
        <scheme val="minor"/>
      </rPr>
      <t xml:space="preserve"> implied volatility smile</t>
    </r>
    <r>
      <rPr>
        <sz val="11"/>
        <color theme="1"/>
        <rFont val="Calibri"/>
        <family val="2"/>
        <scheme val="minor"/>
      </rPr>
      <t xml:space="preserve"> doesn't appear in </t>
    </r>
    <r>
      <rPr>
        <b/>
        <sz val="11"/>
        <color theme="1"/>
        <rFont val="Calibri"/>
        <family val="2"/>
        <scheme val="minor"/>
      </rPr>
      <t>ALL</t>
    </r>
    <r>
      <rPr>
        <sz val="11"/>
        <color theme="1"/>
        <rFont val="Calibri"/>
        <family val="2"/>
        <scheme val="minor"/>
      </rPr>
      <t xml:space="preserve"> the possible time maturities. </t>
    </r>
  </si>
  <si>
    <r>
      <t xml:space="preserve">We can </t>
    </r>
    <r>
      <rPr>
        <b/>
        <sz val="11"/>
        <color theme="1"/>
        <rFont val="Calibri"/>
        <family val="2"/>
        <scheme val="minor"/>
      </rPr>
      <t>observe</t>
    </r>
    <r>
      <rPr>
        <sz val="11"/>
        <color theme="1"/>
        <rFont val="Calibri"/>
        <family val="2"/>
        <scheme val="minor"/>
      </rPr>
      <t xml:space="preserve"> two things:</t>
    </r>
  </si>
  <si>
    <r>
      <t>1) The</t>
    </r>
    <r>
      <rPr>
        <b/>
        <sz val="11"/>
        <color theme="1"/>
        <rFont val="Calibri"/>
        <family val="2"/>
        <scheme val="minor"/>
      </rPr>
      <t xml:space="preserve"> left part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smile always appears</t>
    </r>
  </si>
  <si>
    <r>
      <t xml:space="preserve">2) The </t>
    </r>
    <r>
      <rPr>
        <b/>
        <sz val="11"/>
        <color theme="1"/>
        <rFont val="Calibri"/>
        <family val="2"/>
        <scheme val="minor"/>
      </rPr>
      <t>current price</t>
    </r>
    <r>
      <rPr>
        <sz val="11"/>
        <color theme="1"/>
        <rFont val="Calibri"/>
        <family val="2"/>
        <scheme val="minor"/>
      </rPr>
      <t xml:space="preserve"> is the </t>
    </r>
    <r>
      <rPr>
        <b/>
        <sz val="11"/>
        <color theme="1"/>
        <rFont val="Calibri"/>
        <family val="2"/>
        <scheme val="minor"/>
      </rPr>
      <t xml:space="preserve">all time high </t>
    </r>
    <r>
      <rPr>
        <sz val="11"/>
        <color theme="1"/>
        <rFont val="Calibri"/>
        <family val="2"/>
        <scheme val="minor"/>
      </rPr>
      <t>for this particular stock.</t>
    </r>
  </si>
  <si>
    <r>
      <t xml:space="preserve">We can see how </t>
    </r>
    <r>
      <rPr>
        <b/>
        <sz val="11"/>
        <color theme="1"/>
        <rFont val="Calibri"/>
        <family val="2"/>
        <scheme val="minor"/>
      </rPr>
      <t>traders</t>
    </r>
    <r>
      <rPr>
        <sz val="11"/>
        <color theme="1"/>
        <rFont val="Calibri"/>
        <family val="2"/>
        <scheme val="minor"/>
      </rPr>
      <t xml:space="preserve"> are willingly to buy/sell </t>
    </r>
    <r>
      <rPr>
        <b/>
        <sz val="11"/>
        <color theme="1"/>
        <rFont val="Calibri"/>
        <family val="2"/>
        <scheme val="minor"/>
      </rPr>
      <t>out of the money call options</t>
    </r>
    <r>
      <rPr>
        <sz val="11"/>
        <color theme="1"/>
        <rFont val="Calibri"/>
        <family val="2"/>
        <scheme val="minor"/>
      </rPr>
      <t xml:space="preserve"> at a </t>
    </r>
    <r>
      <rPr>
        <b/>
        <sz val="11"/>
        <color theme="1"/>
        <rFont val="Calibri"/>
        <family val="2"/>
        <scheme val="minor"/>
      </rPr>
      <t>price lower</t>
    </r>
    <r>
      <rPr>
        <sz val="11"/>
        <color theme="1"/>
        <rFont val="Calibri"/>
        <family val="2"/>
        <scheme val="minor"/>
      </rPr>
      <t xml:space="preserve"> than what </t>
    </r>
  </si>
  <si>
    <r>
      <t>we would</t>
    </r>
    <r>
      <rPr>
        <b/>
        <sz val="11"/>
        <color theme="1"/>
        <rFont val="Calibri"/>
        <family val="2"/>
        <scheme val="minor"/>
      </rPr>
      <t xml:space="preserve"> expect</t>
    </r>
    <r>
      <rPr>
        <sz val="11"/>
        <color theme="1"/>
        <rFont val="Calibri"/>
        <family val="2"/>
        <scheme val="minor"/>
      </rPr>
      <t xml:space="preserve"> if the </t>
    </r>
    <r>
      <rPr>
        <b/>
        <sz val="11"/>
        <color theme="1"/>
        <rFont val="Calibri"/>
        <family val="2"/>
        <scheme val="minor"/>
      </rPr>
      <t>implied volatility smile appeared.</t>
    </r>
    <r>
      <rPr>
        <sz val="11"/>
        <color theme="1"/>
        <rFont val="Calibri"/>
        <family val="2"/>
        <scheme val="minor"/>
      </rPr>
      <t xml:space="preserve"> This can be explained by the fact that we are at a</t>
    </r>
  </si>
  <si>
    <r>
      <rPr>
        <b/>
        <sz val="11"/>
        <color theme="1"/>
        <rFont val="Calibri"/>
        <family val="2"/>
        <scheme val="minor"/>
      </rPr>
      <t>all time high</t>
    </r>
    <r>
      <rPr>
        <sz val="11"/>
        <color theme="1"/>
        <rFont val="Calibri"/>
        <family val="2"/>
        <scheme val="minor"/>
      </rPr>
      <t xml:space="preserve"> and thus it is "</t>
    </r>
    <r>
      <rPr>
        <b/>
        <sz val="11"/>
        <color theme="1"/>
        <rFont val="Calibri"/>
        <family val="2"/>
        <scheme val="minor"/>
      </rPr>
      <t>more reasonable from a human perspective</t>
    </r>
    <r>
      <rPr>
        <sz val="11"/>
        <color theme="1"/>
        <rFont val="Calibri"/>
        <family val="2"/>
        <scheme val="minor"/>
      </rPr>
      <t xml:space="preserve">" that the </t>
    </r>
    <r>
      <rPr>
        <b/>
        <sz val="11"/>
        <color theme="1"/>
        <rFont val="Calibri"/>
        <family val="2"/>
        <scheme val="minor"/>
      </rPr>
      <t>price</t>
    </r>
    <r>
      <rPr>
        <sz val="11"/>
        <color theme="1"/>
        <rFont val="Calibri"/>
        <family val="2"/>
        <scheme val="minor"/>
      </rPr>
      <t xml:space="preserve"> of the </t>
    </r>
    <r>
      <rPr>
        <b/>
        <sz val="11"/>
        <color theme="1"/>
        <rFont val="Calibri"/>
        <family val="2"/>
        <scheme val="minor"/>
      </rPr>
      <t>underlying</t>
    </r>
  </si>
  <si>
    <r>
      <t xml:space="preserve">will go </t>
    </r>
    <r>
      <rPr>
        <b/>
        <sz val="11"/>
        <color theme="1"/>
        <rFont val="Calibri"/>
        <family val="2"/>
        <scheme val="minor"/>
      </rPr>
      <t>lower</t>
    </r>
    <r>
      <rPr>
        <sz val="11"/>
        <color theme="1"/>
        <rFont val="Calibri"/>
        <family val="2"/>
        <scheme val="minor"/>
      </rPr>
      <t xml:space="preserve"> in the future (and thus making the </t>
    </r>
    <r>
      <rPr>
        <b/>
        <sz val="11"/>
        <color theme="1"/>
        <rFont val="Calibri"/>
        <family val="2"/>
        <scheme val="minor"/>
      </rPr>
      <t>call option less valuable</t>
    </r>
    <r>
      <rPr>
        <sz val="11"/>
        <color theme="1"/>
        <rFont val="Calibri"/>
        <family val="2"/>
        <scheme val="minor"/>
      </rPr>
      <t xml:space="preserve"> than in a standard situation)</t>
    </r>
  </si>
  <si>
    <r>
      <t xml:space="preserve">We can </t>
    </r>
    <r>
      <rPr>
        <b/>
        <sz val="11"/>
        <color theme="1"/>
        <rFont val="Calibri"/>
        <family val="2"/>
        <scheme val="minor"/>
      </rPr>
      <t>focus</t>
    </r>
    <r>
      <rPr>
        <sz val="11"/>
        <color theme="1"/>
        <rFont val="Calibri"/>
        <family val="2"/>
        <scheme val="minor"/>
      </rPr>
      <t xml:space="preserve"> now on </t>
    </r>
    <r>
      <rPr>
        <b/>
        <sz val="11"/>
        <color theme="1"/>
        <rFont val="Calibri"/>
        <family val="2"/>
        <scheme val="minor"/>
      </rPr>
      <t>plotting the Greeks</t>
    </r>
    <r>
      <rPr>
        <sz val="11"/>
        <color theme="1"/>
        <rFont val="Calibri"/>
        <family val="2"/>
        <scheme val="minor"/>
      </rPr>
      <t xml:space="preserve"> by using the same </t>
    </r>
    <r>
      <rPr>
        <b/>
        <sz val="11"/>
        <color theme="1"/>
        <rFont val="Calibri"/>
        <family val="2"/>
        <scheme val="minor"/>
      </rPr>
      <t>VBA script</t>
    </r>
    <r>
      <rPr>
        <sz val="11"/>
        <color theme="1"/>
        <rFont val="Calibri"/>
        <family val="2"/>
        <scheme val="minor"/>
      </rPr>
      <t xml:space="preserve"> that I created in the </t>
    </r>
    <r>
      <rPr>
        <b/>
        <sz val="11"/>
        <color theme="1"/>
        <rFont val="Calibri"/>
        <family val="2"/>
        <scheme val="minor"/>
      </rPr>
      <t>previous report</t>
    </r>
    <r>
      <rPr>
        <sz val="11"/>
        <color theme="1"/>
        <rFont val="Calibri"/>
        <family val="2"/>
        <scheme val="minor"/>
      </rPr>
      <t>.</t>
    </r>
  </si>
  <si>
    <r>
      <t>We will use as</t>
    </r>
    <r>
      <rPr>
        <b/>
        <sz val="11"/>
        <color theme="1"/>
        <rFont val="Calibri"/>
        <family val="2"/>
        <scheme val="minor"/>
      </rPr>
      <t xml:space="preserve"> indipendent variables K and Tau </t>
    </r>
    <r>
      <rPr>
        <sz val="11"/>
        <color theme="1"/>
        <rFont val="Calibri"/>
        <family val="2"/>
        <scheme val="minor"/>
      </rPr>
      <t>with the</t>
    </r>
    <r>
      <rPr>
        <b/>
        <sz val="11"/>
        <color theme="1"/>
        <rFont val="Calibri"/>
        <family val="2"/>
        <scheme val="minor"/>
      </rPr>
      <t xml:space="preserve"> values of the graph above</t>
    </r>
    <r>
      <rPr>
        <sz val="11"/>
        <color theme="1"/>
        <rFont val="Calibri"/>
        <family val="2"/>
        <scheme val="minor"/>
      </rPr>
      <t>.</t>
    </r>
  </si>
  <si>
    <r>
      <t xml:space="preserve">I'll use the </t>
    </r>
    <r>
      <rPr>
        <b/>
        <sz val="11"/>
        <color theme="1"/>
        <rFont val="Calibri"/>
        <family val="2"/>
        <scheme val="minor"/>
      </rPr>
      <t xml:space="preserve">implied volatility as vol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S=2051.11$</t>
    </r>
    <r>
      <rPr>
        <sz val="11"/>
        <color theme="1"/>
        <rFont val="Calibri"/>
        <family val="2"/>
        <scheme val="minor"/>
      </rPr>
      <t xml:space="preserve"> (which is today's price)</t>
    </r>
  </si>
  <si>
    <r>
      <t xml:space="preserve">The </t>
    </r>
    <r>
      <rPr>
        <b/>
        <sz val="11"/>
        <color theme="1"/>
        <rFont val="Calibri"/>
        <family val="2"/>
        <scheme val="minor"/>
      </rPr>
      <t>only</t>
    </r>
    <r>
      <rPr>
        <sz val="11"/>
        <color theme="1"/>
        <rFont val="Calibri"/>
        <family val="2"/>
        <scheme val="minor"/>
      </rPr>
      <t xml:space="preserve"> remaining </t>
    </r>
    <r>
      <rPr>
        <b/>
        <sz val="11"/>
        <color theme="1"/>
        <rFont val="Calibri"/>
        <family val="2"/>
        <scheme val="minor"/>
      </rPr>
      <t>parameter</t>
    </r>
    <r>
      <rPr>
        <sz val="11"/>
        <color theme="1"/>
        <rFont val="Calibri"/>
        <family val="2"/>
        <scheme val="minor"/>
      </rPr>
      <t xml:space="preserve"> is the interest rate </t>
    </r>
    <r>
      <rPr>
        <b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. In order to calculate it we can do the </t>
    </r>
    <r>
      <rPr>
        <b/>
        <sz val="11"/>
        <color theme="1"/>
        <rFont val="Calibri"/>
        <family val="2"/>
        <scheme val="minor"/>
      </rPr>
      <t>same procedure</t>
    </r>
    <r>
      <rPr>
        <sz val="11"/>
        <color theme="1"/>
        <rFont val="Calibri"/>
        <family val="2"/>
        <scheme val="minor"/>
      </rPr>
      <t xml:space="preserve"> of</t>
    </r>
  </si>
  <si>
    <r>
      <t xml:space="preserve">the </t>
    </r>
    <r>
      <rPr>
        <b/>
        <sz val="11"/>
        <color theme="1"/>
        <rFont val="Calibri"/>
        <family val="2"/>
        <scheme val="minor"/>
      </rPr>
      <t>second report</t>
    </r>
    <r>
      <rPr>
        <sz val="11"/>
        <color theme="1"/>
        <rFont val="Calibri"/>
        <family val="2"/>
        <scheme val="minor"/>
      </rPr>
      <t xml:space="preserve"> to calculate the </t>
    </r>
    <r>
      <rPr>
        <b/>
        <sz val="11"/>
        <color theme="1"/>
        <rFont val="Calibri"/>
        <family val="2"/>
        <scheme val="minor"/>
      </rPr>
      <t>discount factor D=(p(call, k1)-p(call,k2)+p(put,k2)-p(put,k1))/(K2-K1)</t>
    </r>
    <r>
      <rPr>
        <sz val="11"/>
        <color theme="1"/>
        <rFont val="Calibri"/>
        <family val="2"/>
        <scheme val="minor"/>
      </rPr>
      <t xml:space="preserve">  </t>
    </r>
  </si>
  <si>
    <r>
      <t>and then use the relationship</t>
    </r>
    <r>
      <rPr>
        <b/>
        <sz val="11"/>
        <color theme="1"/>
        <rFont val="Calibri"/>
        <family val="2"/>
        <scheme val="minor"/>
      </rPr>
      <t xml:space="preserve"> D=exp(-r*t)</t>
    </r>
    <r>
      <rPr>
        <sz val="11"/>
        <color theme="1"/>
        <rFont val="Calibri"/>
        <family val="2"/>
        <scheme val="minor"/>
      </rPr>
      <t>. I can then</t>
    </r>
    <r>
      <rPr>
        <b/>
        <sz val="11"/>
        <color theme="1"/>
        <rFont val="Calibri"/>
        <family val="2"/>
        <scheme val="minor"/>
      </rPr>
      <t xml:space="preserve"> repeat the same procedure </t>
    </r>
    <r>
      <rPr>
        <sz val="11"/>
        <color theme="1"/>
        <rFont val="Calibri"/>
        <family val="2"/>
        <scheme val="minor"/>
      </rPr>
      <t xml:space="preserve">for </t>
    </r>
    <r>
      <rPr>
        <b/>
        <sz val="11"/>
        <color theme="1"/>
        <rFont val="Calibri"/>
        <family val="2"/>
        <scheme val="minor"/>
      </rPr>
      <t>all time maturities</t>
    </r>
    <r>
      <rPr>
        <sz val="11"/>
        <color theme="1"/>
        <rFont val="Calibri"/>
        <family val="2"/>
        <scheme val="minor"/>
      </rPr>
      <t>.</t>
    </r>
  </si>
  <si>
    <r>
      <t xml:space="preserve">We can see how the </t>
    </r>
    <r>
      <rPr>
        <b/>
        <sz val="11"/>
        <color theme="1"/>
        <rFont val="Calibri"/>
        <family val="2"/>
        <scheme val="minor"/>
      </rPr>
      <t>shape of the Greek gets smoother as Tau increases</t>
    </r>
    <r>
      <rPr>
        <sz val="11"/>
        <color theme="1"/>
        <rFont val="Calibri"/>
        <family val="2"/>
        <scheme val="minor"/>
      </rPr>
      <t>.</t>
    </r>
  </si>
  <si>
    <r>
      <t>We can see how the</t>
    </r>
    <r>
      <rPr>
        <b/>
        <sz val="11"/>
        <color theme="1"/>
        <rFont val="Calibri"/>
        <family val="2"/>
        <scheme val="minor"/>
      </rPr>
      <t xml:space="preserve"> Bell curve shape get flatter as Tau increases and thus smoother</t>
    </r>
    <r>
      <rPr>
        <sz val="11"/>
        <color theme="1"/>
        <rFont val="Calibri"/>
        <family val="2"/>
        <scheme val="minor"/>
      </rPr>
      <t>.</t>
    </r>
  </si>
  <si>
    <r>
      <t xml:space="preserve">of the </t>
    </r>
    <r>
      <rPr>
        <b/>
        <sz val="11"/>
        <color theme="1"/>
        <rFont val="Calibri"/>
        <family val="2"/>
        <scheme val="minor"/>
      </rPr>
      <t>same shape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</si>
  <si>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Rho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doesn't get smoother as Tau increases</t>
    </r>
    <r>
      <rPr>
        <sz val="11"/>
        <color theme="1"/>
        <rFont val="Calibri"/>
        <family val="2"/>
        <scheme val="minor"/>
      </rPr>
      <t xml:space="preserve">, in only </t>
    </r>
    <r>
      <rPr>
        <b/>
        <sz val="11"/>
        <color theme="1"/>
        <rFont val="Calibri"/>
        <family val="2"/>
        <scheme val="minor"/>
      </rPr>
      <t>increases in absolute value</t>
    </r>
    <r>
      <rPr>
        <sz val="11"/>
        <color theme="1"/>
        <rFont val="Calibri"/>
        <family val="2"/>
        <scheme val="minor"/>
      </rPr>
      <t xml:space="preserve"> while remaining </t>
    </r>
  </si>
  <si>
    <r>
      <t>We can see how the (</t>
    </r>
    <r>
      <rPr>
        <b/>
        <sz val="11"/>
        <color theme="1"/>
        <rFont val="Calibri"/>
        <family val="2"/>
        <scheme val="minor"/>
      </rPr>
      <t>inverted</t>
    </r>
    <r>
      <rPr>
        <sz val="11"/>
        <color theme="1"/>
        <rFont val="Calibri"/>
        <family val="2"/>
        <scheme val="minor"/>
      </rPr>
      <t xml:space="preserve"> since </t>
    </r>
    <r>
      <rPr>
        <b/>
        <sz val="11"/>
        <color theme="1"/>
        <rFont val="Calibri"/>
        <family val="2"/>
        <scheme val="minor"/>
      </rPr>
      <t>Theta&lt;0</t>
    </r>
    <r>
      <rPr>
        <sz val="11"/>
        <color theme="1"/>
        <rFont val="Calibri"/>
        <family val="2"/>
        <scheme val="minor"/>
      </rPr>
      <t xml:space="preserve">) </t>
    </r>
    <r>
      <rPr>
        <b/>
        <sz val="11"/>
        <color theme="1"/>
        <rFont val="Calibri"/>
        <family val="2"/>
        <scheme val="minor"/>
      </rPr>
      <t>Bell curve gets flatter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smoother as Tau increases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</si>
  <si>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Vega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doesn't get smoother as Tau increases</t>
    </r>
    <r>
      <rPr>
        <sz val="11"/>
        <color theme="1"/>
        <rFont val="Calibri"/>
        <family val="2"/>
        <scheme val="minor"/>
      </rPr>
      <t xml:space="preserve">, in only </t>
    </r>
    <r>
      <rPr>
        <b/>
        <sz val="11"/>
        <color theme="1"/>
        <rFont val="Calibri"/>
        <family val="2"/>
        <scheme val="minor"/>
      </rPr>
      <t>increases in absolute value</t>
    </r>
    <r>
      <rPr>
        <sz val="11"/>
        <color theme="1"/>
        <rFont val="Calibri"/>
        <family val="2"/>
        <scheme val="minor"/>
      </rPr>
      <t xml:space="preserve"> while remaining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</si>
</sst>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Font="1"/>
    <xf numFmtId="0" fontId="0" fillId="0" borderId="0" xfId="0" applyAlignment="1">
      <alignment horizontal="right"/>
    </xf>
    <xf numFmtId="10" fontId="0" fillId="0" borderId="0" xfId="0" applyNumberFormat="1"/>
    <xf numFmtId="10" fontId="0" fillId="0" borderId="0" xfId="0" applyNumberFormat="1" applyAlignment="1">
      <alignment horizontal="right"/>
    </xf>
    <xf numFmtId="3" fontId="0" fillId="0" borderId="0" xfId="0" applyNumberFormat="1"/>
    <xf numFmtId="3" fontId="0" fillId="0" borderId="0" xfId="0" applyNumberFormat="1" applyAlignment="1">
      <alignment horizontal="right"/>
    </xf>
    <xf numFmtId="16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</a:t>
            </a:r>
            <a:r>
              <a:rPr lang="en-US" baseline="0"/>
              <a:t> volatility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Plots!$C$2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Plots!$C$3:$C$7</c:f>
              <c:numCache>
                <c:formatCode>General</c:formatCode>
                <c:ptCount val="5"/>
                <c:pt idx="0">
                  <c:v>0.44519999999999998</c:v>
                </c:pt>
                <c:pt idx="1">
                  <c:v>0.36249999999999999</c:v>
                </c:pt>
                <c:pt idx="2">
                  <c:v>0.2828</c:v>
                </c:pt>
                <c:pt idx="3">
                  <c:v>0.24310000000000001</c:v>
                </c:pt>
                <c:pt idx="4">
                  <c:v>0.24260000000000001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98-4EC9-8370-C6B08D130D0F}"/>
            </c:ext>
          </c:extLst>
        </c:ser>
        <c:ser>
          <c:idx val="1"/>
          <c:order val="1"/>
          <c:tx>
            <c:strRef>
              <c:f>Plots!$D$2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Plots!$D$3:$D$7</c:f>
              <c:numCache>
                <c:formatCode>General</c:formatCode>
                <c:ptCount val="5"/>
                <c:pt idx="0">
                  <c:v>0.39479999999999998</c:v>
                </c:pt>
                <c:pt idx="1">
                  <c:v>0.35039999999999999</c:v>
                </c:pt>
                <c:pt idx="2">
                  <c:v>0.28739999999999999</c:v>
                </c:pt>
                <c:pt idx="3">
                  <c:v>0.25080000000000002</c:v>
                </c:pt>
                <c:pt idx="4">
                  <c:v>0.24199999999999999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98-4EC9-8370-C6B08D130D0F}"/>
            </c:ext>
          </c:extLst>
        </c:ser>
        <c:ser>
          <c:idx val="2"/>
          <c:order val="2"/>
          <c:tx>
            <c:strRef>
              <c:f>Plots!$E$2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Plots!$E$3:$E$7</c:f>
              <c:numCache>
                <c:formatCode>General</c:formatCode>
                <c:ptCount val="5"/>
                <c:pt idx="0">
                  <c:v>0.39739999999999998</c:v>
                </c:pt>
                <c:pt idx="1">
                  <c:v>0.36880000000000002</c:v>
                </c:pt>
                <c:pt idx="2">
                  <c:v>0.33960000000000001</c:v>
                </c:pt>
                <c:pt idx="3">
                  <c:v>0.31169999999999998</c:v>
                </c:pt>
                <c:pt idx="4">
                  <c:v>0.29659999999999997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98-4EC9-8370-C6B08D130D0F}"/>
            </c:ext>
          </c:extLst>
        </c:ser>
        <c:ser>
          <c:idx val="3"/>
          <c:order val="3"/>
          <c:tx>
            <c:strRef>
              <c:f>Plots!$F$2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Plots!$F$3:$F$7</c:f>
              <c:numCache>
                <c:formatCode>General</c:formatCode>
                <c:ptCount val="5"/>
                <c:pt idx="0">
                  <c:v>0.40100000000000002</c:v>
                </c:pt>
                <c:pt idx="1">
                  <c:v>0.38479999999999998</c:v>
                </c:pt>
                <c:pt idx="2">
                  <c:v>0.3569</c:v>
                </c:pt>
                <c:pt idx="3">
                  <c:v>0.33839999999999998</c:v>
                </c:pt>
                <c:pt idx="4">
                  <c:v>0.32619999999999999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98-4EC9-8370-C6B08D130D0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07021216"/>
        <c:axId val="907025056"/>
        <c:axId val="1099420688"/>
      </c:surface3DChart>
      <c:catAx>
        <c:axId val="90702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5056"/>
        <c:crosses val="autoZero"/>
        <c:auto val="1"/>
        <c:lblAlgn val="ctr"/>
        <c:lblOffset val="100"/>
        <c:noMultiLvlLbl val="0"/>
      </c:catAx>
      <c:valAx>
        <c:axId val="90702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1216"/>
        <c:crosses val="autoZero"/>
        <c:crossBetween val="midCat"/>
      </c:valAx>
      <c:serAx>
        <c:axId val="1099420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505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Plots!$K$27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Plots!$K$28:$K$32</c:f>
              <c:numCache>
                <c:formatCode>General</c:formatCode>
                <c:ptCount val="5"/>
                <c:pt idx="0">
                  <c:v>0.85308714629414462</c:v>
                </c:pt>
                <c:pt idx="1">
                  <c:v>0.81595414499360586</c:v>
                </c:pt>
                <c:pt idx="2">
                  <c:v>0.64413407849155913</c:v>
                </c:pt>
                <c:pt idx="3">
                  <c:v>0.39059714978091936</c:v>
                </c:pt>
                <c:pt idx="4">
                  <c:v>0.17290634910344202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A-4DC0-B366-02BBE263C449}"/>
            </c:ext>
          </c:extLst>
        </c:ser>
        <c:ser>
          <c:idx val="1"/>
          <c:order val="1"/>
          <c:tx>
            <c:strRef>
              <c:f>Plots!$L$27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Plots!$L$28:$L$32</c:f>
              <c:numCache>
                <c:formatCode>General</c:formatCode>
                <c:ptCount val="5"/>
                <c:pt idx="0">
                  <c:v>0.81661912554865546</c:v>
                </c:pt>
                <c:pt idx="1">
                  <c:v>0.76803470329510271</c:v>
                </c:pt>
                <c:pt idx="2">
                  <c:v>0.63195528962129566</c:v>
                </c:pt>
                <c:pt idx="3">
                  <c:v>0.45766022057313555</c:v>
                </c:pt>
                <c:pt idx="4">
                  <c:v>0.27936679842583478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A-4DC0-B366-02BBE263C449}"/>
            </c:ext>
          </c:extLst>
        </c:ser>
        <c:ser>
          <c:idx val="2"/>
          <c:order val="2"/>
          <c:tx>
            <c:strRef>
              <c:f>Plots!$M$27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Plots!$M$28:$M$32</c:f>
              <c:numCache>
                <c:formatCode>General</c:formatCode>
                <c:ptCount val="5"/>
                <c:pt idx="0">
                  <c:v>0.73942585498633207</c:v>
                </c:pt>
                <c:pt idx="1">
                  <c:v>0.69594041833848674</c:v>
                </c:pt>
                <c:pt idx="2">
                  <c:v>0.60060980009283216</c:v>
                </c:pt>
                <c:pt idx="3">
                  <c:v>0.50655615063186288</c:v>
                </c:pt>
                <c:pt idx="4">
                  <c:v>0.4068304133554892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8A-4DC0-B366-02BBE263C449}"/>
            </c:ext>
          </c:extLst>
        </c:ser>
        <c:ser>
          <c:idx val="3"/>
          <c:order val="3"/>
          <c:tx>
            <c:strRef>
              <c:f>Plots!$N$27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Plots!$N$28:$N$32</c:f>
              <c:numCache>
                <c:formatCode>General</c:formatCode>
                <c:ptCount val="5"/>
                <c:pt idx="0">
                  <c:v>0.72508666667193755</c:v>
                </c:pt>
                <c:pt idx="1">
                  <c:v>0.68755056732668374</c:v>
                </c:pt>
                <c:pt idx="2">
                  <c:v>0.61452639850486679</c:v>
                </c:pt>
                <c:pt idx="3">
                  <c:v>0.54575830933860614</c:v>
                </c:pt>
                <c:pt idx="4">
                  <c:v>0.47386414255267661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8A-4DC0-B366-02BBE263C449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06177296"/>
        <c:axId val="406178256"/>
        <c:axId val="1058493072"/>
      </c:surface3DChart>
      <c:catAx>
        <c:axId val="40617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8256"/>
        <c:crosses val="autoZero"/>
        <c:auto val="1"/>
        <c:lblAlgn val="ctr"/>
        <c:lblOffset val="100"/>
        <c:noMultiLvlLbl val="0"/>
      </c:catAx>
      <c:valAx>
        <c:axId val="4061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7296"/>
        <c:crosses val="autoZero"/>
        <c:crossBetween val="midCat"/>
      </c:valAx>
      <c:serAx>
        <c:axId val="1058493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8256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Plots!$K$35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Plots!$K$36:$K$40</c:f>
              <c:numCache>
                <c:formatCode>General</c:formatCode>
                <c:ptCount val="5"/>
                <c:pt idx="0">
                  <c:v>8.7228506953566541E-4</c:v>
                </c:pt>
                <c:pt idx="1">
                  <c:v>1.2396340512611295E-3</c:v>
                </c:pt>
                <c:pt idx="2">
                  <c:v>2.2252569301229384E-3</c:v>
                </c:pt>
                <c:pt idx="3">
                  <c:v>2.666695161896783E-3</c:v>
                </c:pt>
                <c:pt idx="4">
                  <c:v>1.7808546345405884E-3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4-49F6-90FA-44D20731664E}"/>
            </c:ext>
          </c:extLst>
        </c:ser>
        <c:ser>
          <c:idx val="1"/>
          <c:order val="1"/>
          <c:tx>
            <c:strRef>
              <c:f>Plots!$L$35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Plots!$L$36:$L$40</c:f>
              <c:numCache>
                <c:formatCode>General</c:formatCode>
                <c:ptCount val="5"/>
                <c:pt idx="0">
                  <c:v>8.0302668837764024E-4</c:v>
                </c:pt>
                <c:pt idx="1">
                  <c:v>1.0398146691979592E-3</c:v>
                </c:pt>
                <c:pt idx="2">
                  <c:v>1.5661863868793975E-3</c:v>
                </c:pt>
                <c:pt idx="3">
                  <c:v>1.888922414196637E-3</c:v>
                </c:pt>
                <c:pt idx="4">
                  <c:v>1.6593514151318686E-3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44-49F6-90FA-44D20731664E}"/>
            </c:ext>
          </c:extLst>
        </c:ser>
        <c:ser>
          <c:idx val="2"/>
          <c:order val="2"/>
          <c:tx>
            <c:strRef>
              <c:f>Plots!$M$35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Plots!$M$36:$M$40</c:f>
              <c:numCache>
                <c:formatCode>General</c:formatCode>
                <c:ptCount val="5"/>
                <c:pt idx="0">
                  <c:v>6.1718686836695596E-4</c:v>
                </c:pt>
                <c:pt idx="1">
                  <c:v>7.1637899266617749E-4</c:v>
                </c:pt>
                <c:pt idx="2">
                  <c:v>8.5890922759133753E-4</c:v>
                </c:pt>
                <c:pt idx="3">
                  <c:v>9.6656548298413398E-4</c:v>
                </c:pt>
                <c:pt idx="4">
                  <c:v>9.8807854979501841E-4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44-49F6-90FA-44D20731664E}"/>
            </c:ext>
          </c:extLst>
        </c:ser>
        <c:ser>
          <c:idx val="3"/>
          <c:order val="3"/>
          <c:tx>
            <c:strRef>
              <c:f>Plots!$N$35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Plots!$N$36:$N$40</c:f>
              <c:numCache>
                <c:formatCode>General</c:formatCode>
                <c:ptCount val="5"/>
                <c:pt idx="0">
                  <c:v>4.9678043688750864E-4</c:v>
                </c:pt>
                <c:pt idx="1">
                  <c:v>5.4931867224997382E-4</c:v>
                </c:pt>
                <c:pt idx="2">
                  <c:v>6.3975654985509484E-4</c:v>
                </c:pt>
                <c:pt idx="3">
                  <c:v>6.9930563365500867E-4</c:v>
                </c:pt>
                <c:pt idx="4">
                  <c:v>7.2870117277563972E-4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44-49F6-90FA-44D20731664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59131792"/>
        <c:axId val="442626384"/>
        <c:axId val="1208506752"/>
      </c:surface3DChart>
      <c:catAx>
        <c:axId val="55913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26384"/>
        <c:crosses val="autoZero"/>
        <c:auto val="1"/>
        <c:lblAlgn val="ctr"/>
        <c:lblOffset val="100"/>
        <c:noMultiLvlLbl val="0"/>
      </c:catAx>
      <c:valAx>
        <c:axId val="442626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31792"/>
        <c:crosses val="autoZero"/>
        <c:crossBetween val="midCat"/>
      </c:valAx>
      <c:serAx>
        <c:axId val="1208506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26384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Plots!$K$43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Plots!$K$44:$K$48</c:f>
              <c:numCache>
                <c:formatCode>General</c:formatCode>
                <c:ptCount val="5"/>
                <c:pt idx="0">
                  <c:v>123.7172727787146</c:v>
                </c:pt>
                <c:pt idx="1">
                  <c:v>123.07001027166561</c:v>
                </c:pt>
                <c:pt idx="2">
                  <c:v>102.05079044040954</c:v>
                </c:pt>
                <c:pt idx="3">
                  <c:v>63.588060180912606</c:v>
                </c:pt>
                <c:pt idx="4">
                  <c:v>28.478064903950681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6-43B8-8EBD-BF4724B7E8D0}"/>
            </c:ext>
          </c:extLst>
        </c:ser>
        <c:ser>
          <c:idx val="1"/>
          <c:order val="1"/>
          <c:tx>
            <c:strRef>
              <c:f>Plots!$L$43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Plots!$L$44:$L$48</c:f>
              <c:numCache>
                <c:formatCode>General</c:formatCode>
                <c:ptCount val="5"/>
                <c:pt idx="0">
                  <c:v>230.79447570535737</c:v>
                </c:pt>
                <c:pt idx="1">
                  <c:v>224.60960020845076</c:v>
                </c:pt>
                <c:pt idx="2">
                  <c:v>194.20215459288625</c:v>
                </c:pt>
                <c:pt idx="3">
                  <c:v>144.98596606732136</c:v>
                </c:pt>
                <c:pt idx="4">
                  <c:v>89.947158953005385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6-43B8-8EBD-BF4724B7E8D0}"/>
            </c:ext>
          </c:extLst>
        </c:ser>
        <c:ser>
          <c:idx val="2"/>
          <c:order val="2"/>
          <c:tx>
            <c:strRef>
              <c:f>Plots!$M$43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Plots!$M$44:$M$48</c:f>
              <c:numCache>
                <c:formatCode>General</c:formatCode>
                <c:ptCount val="5"/>
                <c:pt idx="0">
                  <c:v>486.89949809320842</c:v>
                </c:pt>
                <c:pt idx="1">
                  <c:v>473.29987306384635</c:v>
                </c:pt>
                <c:pt idx="2">
                  <c:v>425.70929891300062</c:v>
                </c:pt>
                <c:pt idx="3">
                  <c:v>370.90346242794942</c:v>
                </c:pt>
                <c:pt idx="4">
                  <c:v>304.72077457130803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16-43B8-8EBD-BF4724B7E8D0}"/>
            </c:ext>
          </c:extLst>
        </c:ser>
        <c:ser>
          <c:idx val="3"/>
          <c:order val="3"/>
          <c:tx>
            <c:strRef>
              <c:f>Plots!$N$43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Plots!$N$44:$N$48</c:f>
              <c:numCache>
                <c:formatCode>General</c:formatCode>
                <c:ptCount val="5"/>
                <c:pt idx="0">
                  <c:v>719.58286164693573</c:v>
                </c:pt>
                <c:pt idx="1">
                  <c:v>701.46009975502102</c:v>
                </c:pt>
                <c:pt idx="2">
                  <c:v>655.19137515967645</c:v>
                </c:pt>
                <c:pt idx="3">
                  <c:v>599.89740442132609</c:v>
                </c:pt>
                <c:pt idx="4">
                  <c:v>533.41539458133593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16-43B8-8EBD-BF4724B7E8D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869747488"/>
        <c:axId val="869743168"/>
        <c:axId val="1537118272"/>
      </c:surface3DChart>
      <c:catAx>
        <c:axId val="86974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743168"/>
        <c:crosses val="autoZero"/>
        <c:auto val="1"/>
        <c:lblAlgn val="ctr"/>
        <c:lblOffset val="100"/>
        <c:noMultiLvlLbl val="0"/>
      </c:catAx>
      <c:valAx>
        <c:axId val="86974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747488"/>
        <c:crosses val="autoZero"/>
        <c:crossBetween val="midCat"/>
      </c:valAx>
      <c:serAx>
        <c:axId val="15371182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74316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Plots!$K$51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Plots!$K$52:$K$56</c:f>
              <c:numCache>
                <c:formatCode>General</c:formatCode>
                <c:ptCount val="5"/>
                <c:pt idx="0">
                  <c:v>-845.41338131574787</c:v>
                </c:pt>
                <c:pt idx="1">
                  <c:v>-973.63398178159343</c:v>
                </c:pt>
                <c:pt idx="2">
                  <c:v>-1347.2859120778505</c:v>
                </c:pt>
                <c:pt idx="3">
                  <c:v>-1378.3228571578959</c:v>
                </c:pt>
                <c:pt idx="4">
                  <c:v>-915.36420967616641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F-4EC7-B804-8FBB6461C36F}"/>
            </c:ext>
          </c:extLst>
        </c:ser>
        <c:ser>
          <c:idx val="1"/>
          <c:order val="1"/>
          <c:tx>
            <c:strRef>
              <c:f>Plots!$L$51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Plots!$L$52:$L$56</c:f>
              <c:numCache>
                <c:formatCode>General</c:formatCode>
                <c:ptCount val="5"/>
                <c:pt idx="0">
                  <c:v>-728.60353515240206</c:v>
                </c:pt>
                <c:pt idx="1">
                  <c:v>-826.48045929395948</c:v>
                </c:pt>
                <c:pt idx="2">
                  <c:v>-998.77113901166751</c:v>
                </c:pt>
                <c:pt idx="3">
                  <c:v>-1035.2960055523365</c:v>
                </c:pt>
                <c:pt idx="4">
                  <c:v>-868.74936914676175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0F-4EC7-B804-8FBB6461C36F}"/>
            </c:ext>
          </c:extLst>
        </c:ser>
        <c:ser>
          <c:idx val="2"/>
          <c:order val="2"/>
          <c:tx>
            <c:strRef>
              <c:f>Plots!$M$51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Plots!$M$52:$M$56</c:f>
              <c:numCache>
                <c:formatCode>General</c:formatCode>
                <c:ptCount val="5"/>
                <c:pt idx="0">
                  <c:v>-534.50330415445887</c:v>
                </c:pt>
                <c:pt idx="1">
                  <c:v>-573.80541144589449</c:v>
                </c:pt>
                <c:pt idx="2">
                  <c:v>-629.80562922062268</c:v>
                </c:pt>
                <c:pt idx="3">
                  <c:v>-647.89411367417688</c:v>
                </c:pt>
                <c:pt idx="4">
                  <c:v>-628.09064562554693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0F-4EC7-B804-8FBB6461C36F}"/>
            </c:ext>
          </c:extLst>
        </c:ser>
        <c:ser>
          <c:idx val="3"/>
          <c:order val="3"/>
          <c:tx>
            <c:strRef>
              <c:f>Plots!$N$51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Plots!$N$52:$N$56</c:f>
              <c:numCache>
                <c:formatCode>General</c:formatCode>
                <c:ptCount val="5"/>
                <c:pt idx="0">
                  <c:v>-446.80192438879914</c:v>
                </c:pt>
                <c:pt idx="1">
                  <c:v>-471.70030455868005</c:v>
                </c:pt>
                <c:pt idx="2">
                  <c:v>-505.5727861176976</c:v>
                </c:pt>
                <c:pt idx="3">
                  <c:v>-520.9323497334517</c:v>
                </c:pt>
                <c:pt idx="4">
                  <c:v>-520.59159978061541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0F-4EC7-B804-8FBB6461C36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50117248"/>
        <c:axId val="250116288"/>
        <c:axId val="328853104"/>
      </c:surface3DChart>
      <c:catAx>
        <c:axId val="25011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6288"/>
        <c:crosses val="autoZero"/>
        <c:auto val="1"/>
        <c:lblAlgn val="ctr"/>
        <c:lblOffset val="100"/>
        <c:noMultiLvlLbl val="0"/>
      </c:catAx>
      <c:valAx>
        <c:axId val="250116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7248"/>
        <c:crosses val="autoZero"/>
        <c:crossBetween val="midCat"/>
      </c:valAx>
      <c:serAx>
        <c:axId val="3288531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628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Plots!$K$59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Plots!$K$60:$K$64</c:f>
              <c:numCache>
                <c:formatCode>General</c:formatCode>
                <c:ptCount val="5"/>
                <c:pt idx="0">
                  <c:v>136.14768229113017</c:v>
                </c:pt>
                <c:pt idx="1">
                  <c:v>157.54265715418097</c:v>
                </c:pt>
                <c:pt idx="2">
                  <c:v>220.62576331176265</c:v>
                </c:pt>
                <c:pt idx="3">
                  <c:v>227.2767391706696</c:v>
                </c:pt>
                <c:pt idx="4">
                  <c:v>151.46626813993834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BB-4E25-B68A-C19EDEE9D67A}"/>
            </c:ext>
          </c:extLst>
        </c:ser>
        <c:ser>
          <c:idx val="1"/>
          <c:order val="1"/>
          <c:tx>
            <c:strRef>
              <c:f>Plots!$L$59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Plots!$L$60:$L$64</c:f>
              <c:numCache>
                <c:formatCode>General</c:formatCode>
                <c:ptCount val="5"/>
                <c:pt idx="0">
                  <c:v>222.29708959279651</c:v>
                </c:pt>
                <c:pt idx="1">
                  <c:v>255.47399010114452</c:v>
                </c:pt>
                <c:pt idx="2">
                  <c:v>315.61443807718842</c:v>
                </c:pt>
                <c:pt idx="3">
                  <c:v>332.17604182242479</c:v>
                </c:pt>
                <c:pt idx="4">
                  <c:v>281.56611568637584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BB-4E25-B68A-C19EDEE9D67A}"/>
            </c:ext>
          </c:extLst>
        </c:ser>
        <c:ser>
          <c:idx val="2"/>
          <c:order val="2"/>
          <c:tx>
            <c:strRef>
              <c:f>Plots!$M$59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Plots!$M$60:$M$64</c:f>
              <c:numCache>
                <c:formatCode>General</c:formatCode>
                <c:ptCount val="5"/>
                <c:pt idx="0">
                  <c:v>429.94331652280033</c:v>
                </c:pt>
                <c:pt idx="1">
                  <c:v>463.12733676599674</c:v>
                </c:pt>
                <c:pt idx="2">
                  <c:v>511.30685160998348</c:v>
                </c:pt>
                <c:pt idx="3">
                  <c:v>528.12259251161561</c:v>
                </c:pt>
                <c:pt idx="4">
                  <c:v>513.7233196204171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BB-4E25-B68A-C19EDEE9D67A}"/>
            </c:ext>
          </c:extLst>
        </c:ser>
        <c:ser>
          <c:idx val="3"/>
          <c:order val="3"/>
          <c:tx>
            <c:strRef>
              <c:f>Plots!$N$59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Plots!$N$60:$N$64</c:f>
              <c:numCache>
                <c:formatCode>General</c:formatCode>
                <c:ptCount val="5"/>
                <c:pt idx="0">
                  <c:v>558.72165306290253</c:v>
                </c:pt>
                <c:pt idx="1">
                  <c:v>592.85170055119181</c:v>
                </c:pt>
                <c:pt idx="2">
                  <c:v>640.39500199955842</c:v>
                </c:pt>
                <c:pt idx="3">
                  <c:v>663.71865776858522</c:v>
                </c:pt>
                <c:pt idx="4">
                  <c:v>666.68405779929037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BB-4E25-B68A-C19EDEE9D67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49990128"/>
        <c:axId val="449989648"/>
        <c:axId val="1384599296"/>
      </c:surface3DChart>
      <c:catAx>
        <c:axId val="44999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89648"/>
        <c:crosses val="autoZero"/>
        <c:auto val="1"/>
        <c:lblAlgn val="ctr"/>
        <c:lblOffset val="100"/>
        <c:noMultiLvlLbl val="0"/>
      </c:catAx>
      <c:valAx>
        <c:axId val="449989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0128"/>
        <c:crosses val="autoZero"/>
        <c:crossBetween val="midCat"/>
      </c:valAx>
      <c:serAx>
        <c:axId val="13845992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89648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</a:t>
            </a:r>
            <a:r>
              <a:rPr lang="en-US" baseline="0"/>
              <a:t> volatility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Plots!$C$2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Plots!$C$3:$C$7</c:f>
              <c:numCache>
                <c:formatCode>General</c:formatCode>
                <c:ptCount val="5"/>
                <c:pt idx="0">
                  <c:v>0.44519999999999998</c:v>
                </c:pt>
                <c:pt idx="1">
                  <c:v>0.36249999999999999</c:v>
                </c:pt>
                <c:pt idx="2">
                  <c:v>0.2828</c:v>
                </c:pt>
                <c:pt idx="3">
                  <c:v>0.24310000000000001</c:v>
                </c:pt>
                <c:pt idx="4">
                  <c:v>0.24260000000000001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4-4B8B-9954-06C52F71B22C}"/>
            </c:ext>
          </c:extLst>
        </c:ser>
        <c:ser>
          <c:idx val="1"/>
          <c:order val="1"/>
          <c:tx>
            <c:strRef>
              <c:f>Plots!$D$2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Plots!$D$3:$D$7</c:f>
              <c:numCache>
                <c:formatCode>General</c:formatCode>
                <c:ptCount val="5"/>
                <c:pt idx="0">
                  <c:v>0.39479999999999998</c:v>
                </c:pt>
                <c:pt idx="1">
                  <c:v>0.35039999999999999</c:v>
                </c:pt>
                <c:pt idx="2">
                  <c:v>0.28739999999999999</c:v>
                </c:pt>
                <c:pt idx="3">
                  <c:v>0.25080000000000002</c:v>
                </c:pt>
                <c:pt idx="4">
                  <c:v>0.24199999999999999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34-4B8B-9954-06C52F71B22C}"/>
            </c:ext>
          </c:extLst>
        </c:ser>
        <c:ser>
          <c:idx val="2"/>
          <c:order val="2"/>
          <c:tx>
            <c:strRef>
              <c:f>Plots!$E$2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Plots!$E$3:$E$7</c:f>
              <c:numCache>
                <c:formatCode>General</c:formatCode>
                <c:ptCount val="5"/>
                <c:pt idx="0">
                  <c:v>0.39739999999999998</c:v>
                </c:pt>
                <c:pt idx="1">
                  <c:v>0.36880000000000002</c:v>
                </c:pt>
                <c:pt idx="2">
                  <c:v>0.33960000000000001</c:v>
                </c:pt>
                <c:pt idx="3">
                  <c:v>0.31169999999999998</c:v>
                </c:pt>
                <c:pt idx="4">
                  <c:v>0.29659999999999997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34-4B8B-9954-06C52F71B22C}"/>
            </c:ext>
          </c:extLst>
        </c:ser>
        <c:ser>
          <c:idx val="3"/>
          <c:order val="3"/>
          <c:tx>
            <c:strRef>
              <c:f>Plots!$F$2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Plots!$B$3:$B$7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Plots!$F$3:$F$7</c:f>
              <c:numCache>
                <c:formatCode>General</c:formatCode>
                <c:ptCount val="5"/>
                <c:pt idx="0">
                  <c:v>0.40100000000000002</c:v>
                </c:pt>
                <c:pt idx="1">
                  <c:v>0.38479999999999998</c:v>
                </c:pt>
                <c:pt idx="2">
                  <c:v>0.3569</c:v>
                </c:pt>
                <c:pt idx="3">
                  <c:v>0.33839999999999998</c:v>
                </c:pt>
                <c:pt idx="4">
                  <c:v>0.32619999999999999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34-4B8B-9954-06C52F71B22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07021216"/>
        <c:axId val="907025056"/>
        <c:axId val="1099420688"/>
      </c:surface3DChart>
      <c:catAx>
        <c:axId val="90702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5056"/>
        <c:crosses val="autoZero"/>
        <c:auto val="1"/>
        <c:lblAlgn val="ctr"/>
        <c:lblOffset val="100"/>
        <c:noMultiLvlLbl val="0"/>
      </c:catAx>
      <c:valAx>
        <c:axId val="90702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1216"/>
        <c:crosses val="autoZero"/>
        <c:crossBetween val="midCat"/>
      </c:valAx>
      <c:serAx>
        <c:axId val="1099420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0250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Plots!$K$27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Plots!$K$28:$K$32</c:f>
              <c:numCache>
                <c:formatCode>General</c:formatCode>
                <c:ptCount val="5"/>
                <c:pt idx="0">
                  <c:v>0.85308714629414462</c:v>
                </c:pt>
                <c:pt idx="1">
                  <c:v>0.81595414499360586</c:v>
                </c:pt>
                <c:pt idx="2">
                  <c:v>0.64413407849155913</c:v>
                </c:pt>
                <c:pt idx="3">
                  <c:v>0.39059714978091936</c:v>
                </c:pt>
                <c:pt idx="4">
                  <c:v>0.17290634910344202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6-4693-9316-AE4ED5E9B491}"/>
            </c:ext>
          </c:extLst>
        </c:ser>
        <c:ser>
          <c:idx val="1"/>
          <c:order val="1"/>
          <c:tx>
            <c:strRef>
              <c:f>Plots!$L$27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Plots!$L$28:$L$32</c:f>
              <c:numCache>
                <c:formatCode>General</c:formatCode>
                <c:ptCount val="5"/>
                <c:pt idx="0">
                  <c:v>0.81661912554865546</c:v>
                </c:pt>
                <c:pt idx="1">
                  <c:v>0.76803470329510271</c:v>
                </c:pt>
                <c:pt idx="2">
                  <c:v>0.63195528962129566</c:v>
                </c:pt>
                <c:pt idx="3">
                  <c:v>0.45766022057313555</c:v>
                </c:pt>
                <c:pt idx="4">
                  <c:v>0.27936679842583478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76-4693-9316-AE4ED5E9B491}"/>
            </c:ext>
          </c:extLst>
        </c:ser>
        <c:ser>
          <c:idx val="2"/>
          <c:order val="2"/>
          <c:tx>
            <c:strRef>
              <c:f>Plots!$M$27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Plots!$M$28:$M$32</c:f>
              <c:numCache>
                <c:formatCode>General</c:formatCode>
                <c:ptCount val="5"/>
                <c:pt idx="0">
                  <c:v>0.73942585498633207</c:v>
                </c:pt>
                <c:pt idx="1">
                  <c:v>0.69594041833848674</c:v>
                </c:pt>
                <c:pt idx="2">
                  <c:v>0.60060980009283216</c:v>
                </c:pt>
                <c:pt idx="3">
                  <c:v>0.50655615063186288</c:v>
                </c:pt>
                <c:pt idx="4">
                  <c:v>0.4068304133554892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76-4693-9316-AE4ED5E9B491}"/>
            </c:ext>
          </c:extLst>
        </c:ser>
        <c:ser>
          <c:idx val="3"/>
          <c:order val="3"/>
          <c:tx>
            <c:strRef>
              <c:f>Plots!$N$27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Plots!$J$28:$J$32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Plots!$N$28:$N$32</c:f>
              <c:numCache>
                <c:formatCode>General</c:formatCode>
                <c:ptCount val="5"/>
                <c:pt idx="0">
                  <c:v>0.72508666667193755</c:v>
                </c:pt>
                <c:pt idx="1">
                  <c:v>0.68755056732668374</c:v>
                </c:pt>
                <c:pt idx="2">
                  <c:v>0.61452639850486679</c:v>
                </c:pt>
                <c:pt idx="3">
                  <c:v>0.54575830933860614</c:v>
                </c:pt>
                <c:pt idx="4">
                  <c:v>0.47386414255267661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76-4693-9316-AE4ED5E9B49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06177296"/>
        <c:axId val="406178256"/>
        <c:axId val="1058493072"/>
      </c:surface3DChart>
      <c:catAx>
        <c:axId val="40617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8256"/>
        <c:crosses val="autoZero"/>
        <c:auto val="1"/>
        <c:lblAlgn val="ctr"/>
        <c:lblOffset val="100"/>
        <c:noMultiLvlLbl val="0"/>
      </c:catAx>
      <c:valAx>
        <c:axId val="4061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7296"/>
        <c:crosses val="autoZero"/>
        <c:crossBetween val="midCat"/>
      </c:valAx>
      <c:serAx>
        <c:axId val="1058493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82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1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Plots!$K$35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Plots!$K$36:$K$40</c:f>
              <c:numCache>
                <c:formatCode>General</c:formatCode>
                <c:ptCount val="5"/>
                <c:pt idx="0">
                  <c:v>8.7228506953566541E-4</c:v>
                </c:pt>
                <c:pt idx="1">
                  <c:v>1.2396340512611295E-3</c:v>
                </c:pt>
                <c:pt idx="2">
                  <c:v>2.2252569301229384E-3</c:v>
                </c:pt>
                <c:pt idx="3">
                  <c:v>2.666695161896783E-3</c:v>
                </c:pt>
                <c:pt idx="4">
                  <c:v>1.7808546345405884E-3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71-481F-A911-E7E2BBD6010F}"/>
            </c:ext>
          </c:extLst>
        </c:ser>
        <c:ser>
          <c:idx val="1"/>
          <c:order val="1"/>
          <c:tx>
            <c:strRef>
              <c:f>Plots!$L$35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Plots!$L$36:$L$40</c:f>
              <c:numCache>
                <c:formatCode>General</c:formatCode>
                <c:ptCount val="5"/>
                <c:pt idx="0">
                  <c:v>8.0302668837764024E-4</c:v>
                </c:pt>
                <c:pt idx="1">
                  <c:v>1.0398146691979592E-3</c:v>
                </c:pt>
                <c:pt idx="2">
                  <c:v>1.5661863868793975E-3</c:v>
                </c:pt>
                <c:pt idx="3">
                  <c:v>1.888922414196637E-3</c:v>
                </c:pt>
                <c:pt idx="4">
                  <c:v>1.6593514151318686E-3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71-481F-A911-E7E2BBD6010F}"/>
            </c:ext>
          </c:extLst>
        </c:ser>
        <c:ser>
          <c:idx val="2"/>
          <c:order val="2"/>
          <c:tx>
            <c:strRef>
              <c:f>Plots!$M$35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Plots!$M$36:$M$40</c:f>
              <c:numCache>
                <c:formatCode>General</c:formatCode>
                <c:ptCount val="5"/>
                <c:pt idx="0">
                  <c:v>6.1718686836695596E-4</c:v>
                </c:pt>
                <c:pt idx="1">
                  <c:v>7.1637899266617749E-4</c:v>
                </c:pt>
                <c:pt idx="2">
                  <c:v>8.5890922759133753E-4</c:v>
                </c:pt>
                <c:pt idx="3">
                  <c:v>9.6656548298413398E-4</c:v>
                </c:pt>
                <c:pt idx="4">
                  <c:v>9.8807854979501841E-4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71-481F-A911-E7E2BBD6010F}"/>
            </c:ext>
          </c:extLst>
        </c:ser>
        <c:ser>
          <c:idx val="3"/>
          <c:order val="3"/>
          <c:tx>
            <c:strRef>
              <c:f>Plots!$N$35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Plots!$J$36:$J$40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Plots!$N$36:$N$40</c:f>
              <c:numCache>
                <c:formatCode>General</c:formatCode>
                <c:ptCount val="5"/>
                <c:pt idx="0">
                  <c:v>4.9678043688750864E-4</c:v>
                </c:pt>
                <c:pt idx="1">
                  <c:v>5.4931867224997382E-4</c:v>
                </c:pt>
                <c:pt idx="2">
                  <c:v>6.3975654985509484E-4</c:v>
                </c:pt>
                <c:pt idx="3">
                  <c:v>6.9930563365500867E-4</c:v>
                </c:pt>
                <c:pt idx="4">
                  <c:v>7.2870117277563972E-4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71-481F-A911-E7E2BBD6010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59131792"/>
        <c:axId val="442626384"/>
        <c:axId val="1208506752"/>
      </c:surface3DChart>
      <c:catAx>
        <c:axId val="55913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26384"/>
        <c:crosses val="autoZero"/>
        <c:auto val="1"/>
        <c:lblAlgn val="ctr"/>
        <c:lblOffset val="100"/>
        <c:noMultiLvlLbl val="0"/>
      </c:catAx>
      <c:valAx>
        <c:axId val="442626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131792"/>
        <c:crosses val="autoZero"/>
        <c:crossBetween val="midCat"/>
      </c:valAx>
      <c:serAx>
        <c:axId val="12085067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263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55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Plots!$K$43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Plots!$K$44:$K$48</c:f>
              <c:numCache>
                <c:formatCode>General</c:formatCode>
                <c:ptCount val="5"/>
                <c:pt idx="0">
                  <c:v>123.7172727787146</c:v>
                </c:pt>
                <c:pt idx="1">
                  <c:v>123.07001027166561</c:v>
                </c:pt>
                <c:pt idx="2">
                  <c:v>102.05079044040954</c:v>
                </c:pt>
                <c:pt idx="3">
                  <c:v>63.588060180912606</c:v>
                </c:pt>
                <c:pt idx="4">
                  <c:v>28.478064903950681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B-4933-8E3E-A69F800AAECF}"/>
            </c:ext>
          </c:extLst>
        </c:ser>
        <c:ser>
          <c:idx val="1"/>
          <c:order val="1"/>
          <c:tx>
            <c:strRef>
              <c:f>Plots!$L$43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Plots!$L$44:$L$48</c:f>
              <c:numCache>
                <c:formatCode>General</c:formatCode>
                <c:ptCount val="5"/>
                <c:pt idx="0">
                  <c:v>230.79447570535737</c:v>
                </c:pt>
                <c:pt idx="1">
                  <c:v>224.60960020845076</c:v>
                </c:pt>
                <c:pt idx="2">
                  <c:v>194.20215459288625</c:v>
                </c:pt>
                <c:pt idx="3">
                  <c:v>144.98596606732136</c:v>
                </c:pt>
                <c:pt idx="4">
                  <c:v>89.947158953005385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B-4933-8E3E-A69F800AAECF}"/>
            </c:ext>
          </c:extLst>
        </c:ser>
        <c:ser>
          <c:idx val="2"/>
          <c:order val="2"/>
          <c:tx>
            <c:strRef>
              <c:f>Plots!$M$43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Plots!$M$44:$M$48</c:f>
              <c:numCache>
                <c:formatCode>General</c:formatCode>
                <c:ptCount val="5"/>
                <c:pt idx="0">
                  <c:v>486.89949809320842</c:v>
                </c:pt>
                <c:pt idx="1">
                  <c:v>473.29987306384635</c:v>
                </c:pt>
                <c:pt idx="2">
                  <c:v>425.70929891300062</c:v>
                </c:pt>
                <c:pt idx="3">
                  <c:v>370.90346242794942</c:v>
                </c:pt>
                <c:pt idx="4">
                  <c:v>304.72077457130803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B-4933-8E3E-A69F800AAECF}"/>
            </c:ext>
          </c:extLst>
        </c:ser>
        <c:ser>
          <c:idx val="3"/>
          <c:order val="3"/>
          <c:tx>
            <c:strRef>
              <c:f>Plots!$N$43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Plots!$J$44:$J$48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Plots!$N$44:$N$48</c:f>
              <c:numCache>
                <c:formatCode>General</c:formatCode>
                <c:ptCount val="5"/>
                <c:pt idx="0">
                  <c:v>719.58286164693573</c:v>
                </c:pt>
                <c:pt idx="1">
                  <c:v>701.46009975502102</c:v>
                </c:pt>
                <c:pt idx="2">
                  <c:v>655.19137515967645</c:v>
                </c:pt>
                <c:pt idx="3">
                  <c:v>599.89740442132609</c:v>
                </c:pt>
                <c:pt idx="4">
                  <c:v>533.41539458133593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B-4933-8E3E-A69F800AAECF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869747488"/>
        <c:axId val="869743168"/>
        <c:axId val="1537118272"/>
      </c:surface3DChart>
      <c:catAx>
        <c:axId val="86974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743168"/>
        <c:crosses val="autoZero"/>
        <c:auto val="1"/>
        <c:lblAlgn val="ctr"/>
        <c:lblOffset val="100"/>
        <c:noMultiLvlLbl val="0"/>
      </c:catAx>
      <c:valAx>
        <c:axId val="86974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747488"/>
        <c:crosses val="autoZero"/>
        <c:crossBetween val="midCat"/>
      </c:valAx>
      <c:serAx>
        <c:axId val="15371182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7431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1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Plots!$K$51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Plots!$K$52:$K$56</c:f>
              <c:numCache>
                <c:formatCode>General</c:formatCode>
                <c:ptCount val="5"/>
                <c:pt idx="0">
                  <c:v>-845.41338131574787</c:v>
                </c:pt>
                <c:pt idx="1">
                  <c:v>-973.63398178159343</c:v>
                </c:pt>
                <c:pt idx="2">
                  <c:v>-1347.2859120778505</c:v>
                </c:pt>
                <c:pt idx="3">
                  <c:v>-1378.3228571578959</c:v>
                </c:pt>
                <c:pt idx="4">
                  <c:v>-915.36420967616641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A-4043-A519-17F582D71AE2}"/>
            </c:ext>
          </c:extLst>
        </c:ser>
        <c:ser>
          <c:idx val="1"/>
          <c:order val="1"/>
          <c:tx>
            <c:strRef>
              <c:f>Plots!$L$51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Plots!$L$52:$L$56</c:f>
              <c:numCache>
                <c:formatCode>General</c:formatCode>
                <c:ptCount val="5"/>
                <c:pt idx="0">
                  <c:v>-728.60353515240206</c:v>
                </c:pt>
                <c:pt idx="1">
                  <c:v>-826.48045929395948</c:v>
                </c:pt>
                <c:pt idx="2">
                  <c:v>-998.77113901166751</c:v>
                </c:pt>
                <c:pt idx="3">
                  <c:v>-1035.2960055523365</c:v>
                </c:pt>
                <c:pt idx="4">
                  <c:v>-868.74936914676175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FA-4043-A519-17F582D71AE2}"/>
            </c:ext>
          </c:extLst>
        </c:ser>
        <c:ser>
          <c:idx val="2"/>
          <c:order val="2"/>
          <c:tx>
            <c:strRef>
              <c:f>Plots!$M$51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Plots!$M$52:$M$56</c:f>
              <c:numCache>
                <c:formatCode>General</c:formatCode>
                <c:ptCount val="5"/>
                <c:pt idx="0">
                  <c:v>-534.50330415445887</c:v>
                </c:pt>
                <c:pt idx="1">
                  <c:v>-573.80541144589449</c:v>
                </c:pt>
                <c:pt idx="2">
                  <c:v>-629.80562922062268</c:v>
                </c:pt>
                <c:pt idx="3">
                  <c:v>-647.89411367417688</c:v>
                </c:pt>
                <c:pt idx="4">
                  <c:v>-628.09064562554693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FA-4043-A519-17F582D71AE2}"/>
            </c:ext>
          </c:extLst>
        </c:ser>
        <c:ser>
          <c:idx val="3"/>
          <c:order val="3"/>
          <c:tx>
            <c:strRef>
              <c:f>Plots!$N$51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Plots!$J$52:$J$56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Plots!$N$52:$N$56</c:f>
              <c:numCache>
                <c:formatCode>General</c:formatCode>
                <c:ptCount val="5"/>
                <c:pt idx="0">
                  <c:v>-446.80192438879914</c:v>
                </c:pt>
                <c:pt idx="1">
                  <c:v>-471.70030455868005</c:v>
                </c:pt>
                <c:pt idx="2">
                  <c:v>-505.5727861176976</c:v>
                </c:pt>
                <c:pt idx="3">
                  <c:v>-520.9323497334517</c:v>
                </c:pt>
                <c:pt idx="4">
                  <c:v>-520.59159978061541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FA-4043-A519-17F582D71AE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50117248"/>
        <c:axId val="250116288"/>
        <c:axId val="328853104"/>
      </c:surface3DChart>
      <c:catAx>
        <c:axId val="25011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6288"/>
        <c:crosses val="autoZero"/>
        <c:auto val="1"/>
        <c:lblAlgn val="ctr"/>
        <c:lblOffset val="100"/>
        <c:noMultiLvlLbl val="0"/>
      </c:catAx>
      <c:valAx>
        <c:axId val="250116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7248"/>
        <c:crosses val="autoZero"/>
        <c:crossBetween val="midCat"/>
      </c:valAx>
      <c:serAx>
        <c:axId val="3288531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1162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1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Plots!$K$59</c:f>
              <c:strCache>
                <c:ptCount val="1"/>
                <c:pt idx="0">
                  <c:v>0.083333333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Plots!$K$60:$K$64</c:f>
              <c:numCache>
                <c:formatCode>General</c:formatCode>
                <c:ptCount val="5"/>
                <c:pt idx="0">
                  <c:v>136.14768229113017</c:v>
                </c:pt>
                <c:pt idx="1">
                  <c:v>157.54265715418097</c:v>
                </c:pt>
                <c:pt idx="2">
                  <c:v>220.62576331176265</c:v>
                </c:pt>
                <c:pt idx="3">
                  <c:v>227.2767391706696</c:v>
                </c:pt>
                <c:pt idx="4">
                  <c:v>151.46626813993834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5-4577-9193-0E71E062329C}"/>
            </c:ext>
          </c:extLst>
        </c:ser>
        <c:ser>
          <c:idx val="1"/>
          <c:order val="1"/>
          <c:tx>
            <c:strRef>
              <c:f>Plots!$L$59</c:f>
              <c:strCache>
                <c:ptCount val="1"/>
                <c:pt idx="0">
                  <c:v>0.166666667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Plots!$L$60:$L$64</c:f>
              <c:numCache>
                <c:formatCode>General</c:formatCode>
                <c:ptCount val="5"/>
                <c:pt idx="0">
                  <c:v>222.29708959279651</c:v>
                </c:pt>
                <c:pt idx="1">
                  <c:v>255.47399010114452</c:v>
                </c:pt>
                <c:pt idx="2">
                  <c:v>315.61443807718842</c:v>
                </c:pt>
                <c:pt idx="3">
                  <c:v>332.17604182242479</c:v>
                </c:pt>
                <c:pt idx="4">
                  <c:v>281.56611568637584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5-4577-9193-0E71E062329C}"/>
            </c:ext>
          </c:extLst>
        </c:ser>
        <c:ser>
          <c:idx val="2"/>
          <c:order val="2"/>
          <c:tx>
            <c:strRef>
              <c:f>Plots!$M$59</c:f>
              <c:strCache>
                <c:ptCount val="1"/>
                <c:pt idx="0">
                  <c:v>0.416666667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Plots!$M$60:$M$64</c:f>
              <c:numCache>
                <c:formatCode>General</c:formatCode>
                <c:ptCount val="5"/>
                <c:pt idx="0">
                  <c:v>429.94331652280033</c:v>
                </c:pt>
                <c:pt idx="1">
                  <c:v>463.12733676599674</c:v>
                </c:pt>
                <c:pt idx="2">
                  <c:v>511.30685160998348</c:v>
                </c:pt>
                <c:pt idx="3">
                  <c:v>528.12259251161561</c:v>
                </c:pt>
                <c:pt idx="4">
                  <c:v>513.7233196204171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25-4577-9193-0E71E062329C}"/>
            </c:ext>
          </c:extLst>
        </c:ser>
        <c:ser>
          <c:idx val="3"/>
          <c:order val="3"/>
          <c:tx>
            <c:strRef>
              <c:f>Plots!$N$59</c:f>
              <c:strCache>
                <c:ptCount val="1"/>
                <c:pt idx="0">
                  <c:v>0.666666667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Plots!$J$60:$J$64</c:f>
              <c:numCache>
                <c:formatCode>General</c:formatCode>
                <c:ptCount val="5"/>
                <c:pt idx="0">
                  <c:v>1810</c:v>
                </c:pt>
                <c:pt idx="1">
                  <c:v>1880</c:v>
                </c:pt>
                <c:pt idx="2">
                  <c:v>2000</c:v>
                </c:pt>
                <c:pt idx="3">
                  <c:v>2100</c:v>
                </c:pt>
                <c:pt idx="4">
                  <c:v>2200</c:v>
                </c:pt>
              </c:numCache>
            </c:numRef>
          </c:cat>
          <c:val>
            <c:numRef>
              <c:f>Plots!$N$60:$N$64</c:f>
              <c:numCache>
                <c:formatCode>General</c:formatCode>
                <c:ptCount val="5"/>
                <c:pt idx="0">
                  <c:v>558.72165306290253</c:v>
                </c:pt>
                <c:pt idx="1">
                  <c:v>592.85170055119181</c:v>
                </c:pt>
                <c:pt idx="2">
                  <c:v>640.39500199955842</c:v>
                </c:pt>
                <c:pt idx="3">
                  <c:v>663.71865776858522</c:v>
                </c:pt>
                <c:pt idx="4">
                  <c:v>666.68405779929037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25-4577-9193-0E71E06232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449990128"/>
        <c:axId val="449989648"/>
        <c:axId val="1384599296"/>
      </c:surface3DChart>
      <c:catAx>
        <c:axId val="44999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89648"/>
        <c:crosses val="autoZero"/>
        <c:auto val="1"/>
        <c:lblAlgn val="ctr"/>
        <c:lblOffset val="100"/>
        <c:noMultiLvlLbl val="0"/>
      </c:catAx>
      <c:valAx>
        <c:axId val="449989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90128"/>
        <c:crosses val="autoZero"/>
        <c:crossBetween val="midCat"/>
      </c:valAx>
      <c:serAx>
        <c:axId val="13845992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896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openxmlformats.org/officeDocument/2006/relationships/image" Target="../media/image4.png"/><Relationship Id="rId9" Type="http://schemas.openxmlformats.org/officeDocument/2006/relationships/chart" Target="../charts/chart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14</xdr:row>
      <xdr:rowOff>160020</xdr:rowOff>
    </xdr:from>
    <xdr:to>
      <xdr:col>9</xdr:col>
      <xdr:colOff>427228</xdr:colOff>
      <xdr:row>26</xdr:row>
      <xdr:rowOff>99245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AA4C336-2CDB-AE4D-45EC-D22DF67E9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" y="2865120"/>
          <a:ext cx="5867908" cy="21337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4</xdr:col>
      <xdr:colOff>137383</xdr:colOff>
      <xdr:row>41</xdr:row>
      <xdr:rowOff>68760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CFC6711-99EA-76C9-0A73-9E2D0E04F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31180"/>
          <a:ext cx="2575783" cy="208044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47</xdr:row>
      <xdr:rowOff>0</xdr:rowOff>
    </xdr:from>
    <xdr:to>
      <xdr:col>9</xdr:col>
      <xdr:colOff>457201</xdr:colOff>
      <xdr:row>58</xdr:row>
      <xdr:rowOff>137346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B56C73A-EC3B-3C9F-4253-F1F6A15D3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8740140"/>
          <a:ext cx="5943600" cy="21490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8</xdr:col>
      <xdr:colOff>274766</xdr:colOff>
      <xdr:row>75</xdr:row>
      <xdr:rowOff>61140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D309A1C-EE6B-88AF-4D68-F5258309A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49100"/>
          <a:ext cx="5151566" cy="2072820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111</xdr:row>
      <xdr:rowOff>144780</xdr:rowOff>
    </xdr:from>
    <xdr:to>
      <xdr:col>7</xdr:col>
      <xdr:colOff>495300</xdr:colOff>
      <xdr:row>126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8EC372-6BC9-47E7-B4E1-02D77C13F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7</xdr:col>
      <xdr:colOff>243840</xdr:colOff>
      <xdr:row>164</xdr:row>
      <xdr:rowOff>15240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75380A5-BDE4-460A-A773-4F514CDD3D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15240</xdr:colOff>
      <xdr:row>168</xdr:row>
      <xdr:rowOff>7620</xdr:rowOff>
    </xdr:from>
    <xdr:to>
      <xdr:col>7</xdr:col>
      <xdr:colOff>327660</xdr:colOff>
      <xdr:row>182</xdr:row>
      <xdr:rowOff>7620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0BE89DD-78C7-411E-970D-F1373B2C5A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</xdr:colOff>
      <xdr:row>187</xdr:row>
      <xdr:rowOff>7620</xdr:rowOff>
    </xdr:from>
    <xdr:to>
      <xdr:col>7</xdr:col>
      <xdr:colOff>289560</xdr:colOff>
      <xdr:row>199</xdr:row>
      <xdr:rowOff>7620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A3FA97D-5877-42C9-9CA8-ACE848D4A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204</xdr:row>
      <xdr:rowOff>0</xdr:rowOff>
    </xdr:from>
    <xdr:to>
      <xdr:col>7</xdr:col>
      <xdr:colOff>129540</xdr:colOff>
      <xdr:row>215</xdr:row>
      <xdr:rowOff>175260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21B1289-251E-4912-8CD6-1663703BA1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219</xdr:row>
      <xdr:rowOff>7620</xdr:rowOff>
    </xdr:from>
    <xdr:to>
      <xdr:col>7</xdr:col>
      <xdr:colOff>114300</xdr:colOff>
      <xdr:row>231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09F36D5-CA37-43BE-BEB7-B1D02620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7</xdr:row>
      <xdr:rowOff>163830</xdr:rowOff>
    </xdr:from>
    <xdr:to>
      <xdr:col>8</xdr:col>
      <xdr:colOff>312420</xdr:colOff>
      <xdr:row>22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2ADD75-4369-2D1F-2CA0-F1546D695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45720</xdr:colOff>
      <xdr:row>22</xdr:row>
      <xdr:rowOff>3810</xdr:rowOff>
    </xdr:from>
    <xdr:to>
      <xdr:col>22</xdr:col>
      <xdr:colOff>350520</xdr:colOff>
      <xdr:row>37</xdr:row>
      <xdr:rowOff>3810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8E1D7FE-83F9-EA22-A4EC-CA29264CA9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495300</xdr:colOff>
      <xdr:row>28</xdr:row>
      <xdr:rowOff>49530</xdr:rowOff>
    </xdr:from>
    <xdr:to>
      <xdr:col>30</xdr:col>
      <xdr:colOff>190500</xdr:colOff>
      <xdr:row>43</xdr:row>
      <xdr:rowOff>49530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C248195-0195-BE19-6D51-8B78129F2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38100</xdr:colOff>
      <xdr:row>37</xdr:row>
      <xdr:rowOff>34290</xdr:rowOff>
    </xdr:from>
    <xdr:to>
      <xdr:col>22</xdr:col>
      <xdr:colOff>342900</xdr:colOff>
      <xdr:row>52</xdr:row>
      <xdr:rowOff>34290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D02C3B4-D58D-3B88-5E8C-ED51760BC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464820</xdr:colOff>
      <xdr:row>44</xdr:row>
      <xdr:rowOff>80010</xdr:rowOff>
    </xdr:from>
    <xdr:to>
      <xdr:col>30</xdr:col>
      <xdr:colOff>160020</xdr:colOff>
      <xdr:row>59</xdr:row>
      <xdr:rowOff>80010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54F816C-96BF-1DBF-AEF5-3F6D9A907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15240</xdr:colOff>
      <xdr:row>53</xdr:row>
      <xdr:rowOff>95250</xdr:rowOff>
    </xdr:from>
    <xdr:to>
      <xdr:col>22</xdr:col>
      <xdr:colOff>320040</xdr:colOff>
      <xdr:row>68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E3DC855-467F-F712-F342-38114FA5A0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399F20-E8C6-48BB-A9D7-C7CEA97C6232}" name="Table1" displayName="Table1" ref="C5:F15" totalsRowShown="0">
  <autoFilter ref="C5:F15" xr:uid="{DF399F20-E8C6-48BB-A9D7-C7CEA97C6232}"/>
  <tableColumns count="4">
    <tableColumn id="1" xr3:uid="{299F4CC9-38C4-40CE-8C70-31B862596F57}" name="Name"/>
    <tableColumn id="2" xr3:uid="{B152636C-92E1-4FF2-A0C3-A9694AA05648}" name="Title"/>
    <tableColumn id="3" xr3:uid="{0DD132D8-B7E2-44C2-A9A9-BDEA452CC68C}" name="Pay($)" dataDxfId="1"/>
    <tableColumn id="4" xr3:uid="{F95DE158-944A-4989-A5F0-C00041BDB4A0}" name="Year of birth" dataDxfId="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5A289CD-D3C0-4569-A8E8-BF89856D9738}" name="Table2" displayName="Table2" ref="I5:J15" totalsRowShown="0">
  <autoFilter ref="I5:J15" xr:uid="{A5A289CD-D3C0-4569-A8E8-BF89856D9738}"/>
  <tableColumns count="2">
    <tableColumn id="1" xr3:uid="{2AD272A5-355C-4063-913F-B329E87E70B8}" name="Statistic"/>
    <tableColumn id="2" xr3:uid="{D03825FD-749E-499E-838C-DA0198C7978E}" name="Valu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07C4B4E-9F15-4F46-8881-2BE33E2A0CC3}" name="Table3" displayName="Table3" ref="M5:P15" totalsRowShown="0">
  <autoFilter ref="M5:P15" xr:uid="{607C4B4E-9F15-4F46-8881-2BE33E2A0CC3}"/>
  <tableColumns count="4">
    <tableColumn id="1" xr3:uid="{DF3BFF53-6829-42A8-B97E-309846326DFC}" name="Holder"/>
    <tableColumn id="2" xr3:uid="{E5C5F717-7811-4C7D-931E-82E7EE63EA4F}" name="Shares"/>
    <tableColumn id="3" xr3:uid="{F56C26CE-AA2C-46D1-9024-713824F6781D}" name="% of the total"/>
    <tableColumn id="4" xr3:uid="{89E4B1BF-361B-48F8-8443-F2D9A56332D1}" name="Value ($)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4D52C-2BD6-49D2-BCC6-2CF0CFEC8389}">
  <sheetPr codeName="Sheet1"/>
  <dimension ref="A1:G233"/>
  <sheetViews>
    <sheetView tabSelected="1" topLeftCell="A143" workbookViewId="0">
      <selection activeCell="O227" sqref="O227"/>
    </sheetView>
  </sheetViews>
  <sheetFormatPr defaultRowHeight="14.4" x14ac:dyDescent="0.3"/>
  <sheetData>
    <row r="1" spans="1:3" x14ac:dyDescent="0.3">
      <c r="A1" t="s">
        <v>0</v>
      </c>
      <c r="C1" t="s">
        <v>1</v>
      </c>
    </row>
    <row r="2" spans="1:3" x14ac:dyDescent="0.3">
      <c r="A2" t="s">
        <v>2</v>
      </c>
      <c r="B2" s="1" t="s">
        <v>3</v>
      </c>
    </row>
    <row r="4" spans="1:3" x14ac:dyDescent="0.3">
      <c r="A4" t="s">
        <v>87</v>
      </c>
    </row>
    <row r="5" spans="1:3" x14ac:dyDescent="0.3">
      <c r="A5" t="s">
        <v>88</v>
      </c>
    </row>
    <row r="6" spans="1:3" x14ac:dyDescent="0.3">
      <c r="A6" t="s">
        <v>89</v>
      </c>
    </row>
    <row r="8" spans="1:3" ht="25.8" x14ac:dyDescent="0.5">
      <c r="A8" s="2" t="s">
        <v>4</v>
      </c>
      <c r="B8" s="1"/>
    </row>
    <row r="10" spans="1:3" x14ac:dyDescent="0.3">
      <c r="A10" t="s">
        <v>90</v>
      </c>
    </row>
    <row r="11" spans="1:3" x14ac:dyDescent="0.3">
      <c r="A11" t="s">
        <v>91</v>
      </c>
    </row>
    <row r="12" spans="1:3" x14ac:dyDescent="0.3">
      <c r="A12" t="s">
        <v>92</v>
      </c>
    </row>
    <row r="14" spans="1:3" x14ac:dyDescent="0.3">
      <c r="A14" s="3" t="s">
        <v>93</v>
      </c>
    </row>
    <row r="29" spans="1:1" x14ac:dyDescent="0.3">
      <c r="A29" t="s">
        <v>94</v>
      </c>
    </row>
    <row r="44" spans="1:1" x14ac:dyDescent="0.3">
      <c r="A44" t="s">
        <v>95</v>
      </c>
    </row>
    <row r="61" spans="1:1" x14ac:dyDescent="0.3">
      <c r="A61" t="s">
        <v>96</v>
      </c>
    </row>
    <row r="63" spans="1:1" x14ac:dyDescent="0.3">
      <c r="A63" t="s">
        <v>97</v>
      </c>
    </row>
    <row r="78" spans="1:1" ht="25.8" x14ac:dyDescent="0.5">
      <c r="A78" s="2" t="s">
        <v>69</v>
      </c>
    </row>
    <row r="80" spans="1:1" x14ac:dyDescent="0.3">
      <c r="A80" t="s">
        <v>98</v>
      </c>
    </row>
    <row r="82" spans="1:7" x14ac:dyDescent="0.3">
      <c r="A82" t="s">
        <v>99</v>
      </c>
    </row>
    <row r="83" spans="1:7" x14ac:dyDescent="0.3">
      <c r="A83" t="s">
        <v>100</v>
      </c>
    </row>
    <row r="85" spans="1:7" x14ac:dyDescent="0.3">
      <c r="A85" s="1" t="s">
        <v>71</v>
      </c>
    </row>
    <row r="86" spans="1:7" x14ac:dyDescent="0.3">
      <c r="G86" t="s">
        <v>70</v>
      </c>
    </row>
    <row r="87" spans="1:7" x14ac:dyDescent="0.3">
      <c r="A87" t="s">
        <v>72</v>
      </c>
    </row>
    <row r="88" spans="1:7" x14ac:dyDescent="0.3">
      <c r="A88" s="3" t="s">
        <v>101</v>
      </c>
    </row>
    <row r="89" spans="1:7" x14ac:dyDescent="0.3">
      <c r="A89" t="s">
        <v>102</v>
      </c>
    </row>
    <row r="90" spans="1:7" x14ac:dyDescent="0.3">
      <c r="A90" t="s">
        <v>103</v>
      </c>
    </row>
    <row r="91" spans="1:7" x14ac:dyDescent="0.3">
      <c r="A91" t="s">
        <v>104</v>
      </c>
    </row>
    <row r="92" spans="1:7" x14ac:dyDescent="0.3">
      <c r="A92" t="s">
        <v>105</v>
      </c>
    </row>
    <row r="93" spans="1:7" x14ac:dyDescent="0.3">
      <c r="A93" t="s">
        <v>106</v>
      </c>
    </row>
    <row r="94" spans="1:7" x14ac:dyDescent="0.3">
      <c r="A94" s="1" t="s">
        <v>73</v>
      </c>
    </row>
    <row r="95" spans="1:7" x14ac:dyDescent="0.3">
      <c r="A95" s="1" t="s">
        <v>74</v>
      </c>
    </row>
    <row r="97" spans="1:1" x14ac:dyDescent="0.3">
      <c r="A97" t="s">
        <v>107</v>
      </c>
    </row>
    <row r="98" spans="1:1" x14ac:dyDescent="0.3">
      <c r="A98" t="s">
        <v>108</v>
      </c>
    </row>
    <row r="99" spans="1:1" x14ac:dyDescent="0.3">
      <c r="A99" t="s">
        <v>109</v>
      </c>
    </row>
    <row r="100" spans="1:1" x14ac:dyDescent="0.3">
      <c r="A100" t="s">
        <v>110</v>
      </c>
    </row>
    <row r="101" spans="1:1" x14ac:dyDescent="0.3">
      <c r="A101" t="s">
        <v>111</v>
      </c>
    </row>
    <row r="102" spans="1:1" x14ac:dyDescent="0.3">
      <c r="A102" t="s">
        <v>112</v>
      </c>
    </row>
    <row r="103" spans="1:1" x14ac:dyDescent="0.3">
      <c r="A103" t="s">
        <v>113</v>
      </c>
    </row>
    <row r="104" spans="1:1" x14ac:dyDescent="0.3">
      <c r="A104" t="s">
        <v>114</v>
      </c>
    </row>
    <row r="106" spans="1:1" x14ac:dyDescent="0.3">
      <c r="A106" t="s">
        <v>115</v>
      </c>
    </row>
    <row r="107" spans="1:1" x14ac:dyDescent="0.3">
      <c r="A107" t="s">
        <v>116</v>
      </c>
    </row>
    <row r="108" spans="1:1" x14ac:dyDescent="0.3">
      <c r="A108" t="s">
        <v>117</v>
      </c>
    </row>
    <row r="110" spans="1:1" x14ac:dyDescent="0.3">
      <c r="A110" t="s">
        <v>118</v>
      </c>
    </row>
    <row r="111" spans="1:1" x14ac:dyDescent="0.3">
      <c r="A111" t="s">
        <v>119</v>
      </c>
    </row>
    <row r="129" spans="1:1" x14ac:dyDescent="0.3">
      <c r="A129" t="s">
        <v>120</v>
      </c>
    </row>
    <row r="130" spans="1:1" x14ac:dyDescent="0.3">
      <c r="A130" t="s">
        <v>121</v>
      </c>
    </row>
    <row r="131" spans="1:1" x14ac:dyDescent="0.3">
      <c r="A131" t="s">
        <v>122</v>
      </c>
    </row>
    <row r="132" spans="1:1" x14ac:dyDescent="0.3">
      <c r="A132" t="s">
        <v>123</v>
      </c>
    </row>
    <row r="134" spans="1:1" x14ac:dyDescent="0.3">
      <c r="A134" t="s">
        <v>124</v>
      </c>
    </row>
    <row r="135" spans="1:1" x14ac:dyDescent="0.3">
      <c r="A135" t="s">
        <v>125</v>
      </c>
    </row>
    <row r="136" spans="1:1" x14ac:dyDescent="0.3">
      <c r="A136" t="s">
        <v>126</v>
      </c>
    </row>
    <row r="137" spans="1:1" x14ac:dyDescent="0.3">
      <c r="A137" t="s">
        <v>127</v>
      </c>
    </row>
    <row r="140" spans="1:1" x14ac:dyDescent="0.3">
      <c r="A140" t="s">
        <v>128</v>
      </c>
    </row>
    <row r="141" spans="1:1" x14ac:dyDescent="0.3">
      <c r="A141" t="s">
        <v>129</v>
      </c>
    </row>
    <row r="142" spans="1:1" x14ac:dyDescent="0.3">
      <c r="A142" t="s">
        <v>130</v>
      </c>
    </row>
    <row r="143" spans="1:1" x14ac:dyDescent="0.3">
      <c r="A143" t="s">
        <v>131</v>
      </c>
    </row>
    <row r="144" spans="1:1" x14ac:dyDescent="0.3">
      <c r="A144" t="s">
        <v>132</v>
      </c>
    </row>
    <row r="145" spans="1:1" x14ac:dyDescent="0.3">
      <c r="A145" t="s">
        <v>133</v>
      </c>
    </row>
    <row r="147" spans="1:1" x14ac:dyDescent="0.3">
      <c r="A147" s="3" t="s">
        <v>85</v>
      </c>
    </row>
    <row r="148" spans="1:1" x14ac:dyDescent="0.3">
      <c r="A148" s="3"/>
    </row>
    <row r="149" spans="1:1" x14ac:dyDescent="0.3">
      <c r="A149" s="1" t="s">
        <v>77</v>
      </c>
    </row>
    <row r="165" spans="1:1" x14ac:dyDescent="0.3">
      <c r="A165" t="s">
        <v>134</v>
      </c>
    </row>
    <row r="167" spans="1:1" x14ac:dyDescent="0.3">
      <c r="A167" s="1" t="s">
        <v>79</v>
      </c>
    </row>
    <row r="184" spans="1:1" x14ac:dyDescent="0.3">
      <c r="A184" t="s">
        <v>135</v>
      </c>
    </row>
    <row r="187" spans="1:1" x14ac:dyDescent="0.3">
      <c r="A187" s="1" t="s">
        <v>80</v>
      </c>
    </row>
    <row r="200" spans="1:1" x14ac:dyDescent="0.3">
      <c r="A200" t="s">
        <v>137</v>
      </c>
    </row>
    <row r="201" spans="1:1" x14ac:dyDescent="0.3">
      <c r="A201" t="s">
        <v>136</v>
      </c>
    </row>
    <row r="203" spans="1:1" x14ac:dyDescent="0.3">
      <c r="A203" s="1" t="s">
        <v>81</v>
      </c>
    </row>
    <row r="217" spans="1:1" x14ac:dyDescent="0.3">
      <c r="A217" t="s">
        <v>138</v>
      </c>
    </row>
    <row r="219" spans="1:1" x14ac:dyDescent="0.3">
      <c r="A219" s="1" t="s">
        <v>82</v>
      </c>
    </row>
    <row r="232" spans="1:1" x14ac:dyDescent="0.3">
      <c r="A232" t="s">
        <v>139</v>
      </c>
    </row>
    <row r="233" spans="1:1" x14ac:dyDescent="0.3">
      <c r="A233" t="s">
        <v>136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706E9-3DA7-4999-BC73-AB6E4DB3A8F2}">
  <sheetPr codeName="Sheet2"/>
  <dimension ref="C5:P15"/>
  <sheetViews>
    <sheetView topLeftCell="M1" workbookViewId="0">
      <selection activeCell="M22" sqref="M22"/>
    </sheetView>
  </sheetViews>
  <sheetFormatPr defaultRowHeight="14.4" x14ac:dyDescent="0.3"/>
  <cols>
    <col min="3" max="3" width="23.44140625" customWidth="1"/>
    <col min="4" max="4" width="37.5546875" customWidth="1"/>
    <col min="5" max="5" width="10.109375" customWidth="1"/>
    <col min="6" max="6" width="13.21875" customWidth="1"/>
    <col min="9" max="9" width="26.21875" customWidth="1"/>
    <col min="10" max="10" width="10.109375" customWidth="1"/>
    <col min="13" max="13" width="34.77734375" customWidth="1"/>
    <col min="14" max="14" width="10.109375" customWidth="1"/>
    <col min="15" max="15" width="14.6640625" customWidth="1"/>
    <col min="16" max="16" width="14" customWidth="1"/>
  </cols>
  <sheetData>
    <row r="5" spans="3:16" x14ac:dyDescent="0.3">
      <c r="C5" t="s">
        <v>5</v>
      </c>
      <c r="D5" t="s">
        <v>6</v>
      </c>
      <c r="E5" t="s">
        <v>36</v>
      </c>
      <c r="F5" t="s">
        <v>33</v>
      </c>
      <c r="I5" t="s">
        <v>34</v>
      </c>
      <c r="J5" t="s">
        <v>35</v>
      </c>
      <c r="M5" t="s">
        <v>55</v>
      </c>
      <c r="N5" t="s">
        <v>56</v>
      </c>
      <c r="O5" t="s">
        <v>57</v>
      </c>
      <c r="P5" t="s">
        <v>58</v>
      </c>
    </row>
    <row r="6" spans="3:16" x14ac:dyDescent="0.3">
      <c r="C6" t="s">
        <v>7</v>
      </c>
      <c r="D6" t="s">
        <v>17</v>
      </c>
      <c r="E6" s="4" t="s">
        <v>27</v>
      </c>
      <c r="F6" s="4">
        <v>1974</v>
      </c>
      <c r="I6" t="s">
        <v>37</v>
      </c>
      <c r="J6" s="4" t="s">
        <v>47</v>
      </c>
      <c r="M6" t="s">
        <v>59</v>
      </c>
      <c r="N6" s="8">
        <v>2658715</v>
      </c>
      <c r="O6" s="5">
        <v>9.6299999999999997E-2</v>
      </c>
      <c r="P6" s="7">
        <v>5450764297</v>
      </c>
    </row>
    <row r="7" spans="3:16" x14ac:dyDescent="0.3">
      <c r="C7" t="s">
        <v>8</v>
      </c>
      <c r="D7" t="s">
        <v>18</v>
      </c>
      <c r="E7" s="4" t="s">
        <v>28</v>
      </c>
      <c r="F7" s="4">
        <v>1957</v>
      </c>
      <c r="I7" t="s">
        <v>38</v>
      </c>
      <c r="J7" s="4" t="s">
        <v>48</v>
      </c>
      <c r="M7" t="s">
        <v>60</v>
      </c>
      <c r="N7" s="8">
        <v>1982298</v>
      </c>
      <c r="O7" s="5">
        <v>7.1800000000000003E-2</v>
      </c>
      <c r="P7" s="7">
        <v>4064008051</v>
      </c>
    </row>
    <row r="8" spans="3:16" x14ac:dyDescent="0.3">
      <c r="C8" t="s">
        <v>9</v>
      </c>
      <c r="D8" t="s">
        <v>19</v>
      </c>
      <c r="E8" s="4" t="s">
        <v>29</v>
      </c>
      <c r="F8" s="4">
        <v>1970</v>
      </c>
      <c r="I8" t="s">
        <v>39</v>
      </c>
      <c r="J8" s="4" t="s">
        <v>49</v>
      </c>
      <c r="M8" t="s">
        <v>61</v>
      </c>
      <c r="N8" s="8">
        <v>1720260</v>
      </c>
      <c r="O8" s="5">
        <v>6.2300000000000001E-2</v>
      </c>
      <c r="P8" s="7">
        <v>3526790871</v>
      </c>
    </row>
    <row r="9" spans="3:16" x14ac:dyDescent="0.3">
      <c r="C9" t="s">
        <v>10</v>
      </c>
      <c r="D9" t="s">
        <v>20</v>
      </c>
      <c r="E9" s="4" t="s">
        <v>30</v>
      </c>
      <c r="F9" s="4">
        <v>1969</v>
      </c>
      <c r="I9" t="s">
        <v>40</v>
      </c>
      <c r="J9" s="4" t="s">
        <v>50</v>
      </c>
      <c r="M9" t="s">
        <v>62</v>
      </c>
      <c r="N9" s="8">
        <v>1105208</v>
      </c>
      <c r="O9" s="5">
        <v>0.04</v>
      </c>
      <c r="P9" s="7">
        <v>2265842073</v>
      </c>
    </row>
    <row r="10" spans="3:16" x14ac:dyDescent="0.3">
      <c r="C10" t="s">
        <v>11</v>
      </c>
      <c r="D10" t="s">
        <v>21</v>
      </c>
      <c r="E10" s="4" t="s">
        <v>31</v>
      </c>
      <c r="F10" s="4">
        <v>1973</v>
      </c>
      <c r="I10" t="s">
        <v>41</v>
      </c>
      <c r="J10" s="4" t="s">
        <v>51</v>
      </c>
      <c r="M10" t="s">
        <v>63</v>
      </c>
      <c r="N10" s="8">
        <v>1047028</v>
      </c>
      <c r="O10" s="5">
        <v>3.7900000000000003E-2</v>
      </c>
      <c r="P10" s="7">
        <v>2146564351</v>
      </c>
    </row>
    <row r="11" spans="3:16" x14ac:dyDescent="0.3">
      <c r="C11" t="s">
        <v>12</v>
      </c>
      <c r="D11" t="s">
        <v>22</v>
      </c>
      <c r="E11" s="4" t="s">
        <v>32</v>
      </c>
      <c r="F11" s="4">
        <v>1959</v>
      </c>
      <c r="I11" t="s">
        <v>42</v>
      </c>
      <c r="J11" s="4" t="s">
        <v>52</v>
      </c>
      <c r="M11" t="s">
        <v>64</v>
      </c>
      <c r="N11" s="8">
        <v>1037611</v>
      </c>
      <c r="O11" s="5">
        <v>3.7600000000000001E-2</v>
      </c>
      <c r="P11" s="7">
        <v>2127258090</v>
      </c>
    </row>
    <row r="12" spans="3:16" x14ac:dyDescent="0.3">
      <c r="C12" t="s">
        <v>13</v>
      </c>
      <c r="D12" t="s">
        <v>23</v>
      </c>
      <c r="E12" s="4" t="s">
        <v>32</v>
      </c>
      <c r="F12" s="4" t="s">
        <v>32</v>
      </c>
      <c r="I12" t="s">
        <v>43</v>
      </c>
      <c r="J12" s="4" t="s">
        <v>53</v>
      </c>
      <c r="M12" t="s">
        <v>65</v>
      </c>
      <c r="N12" s="8">
        <v>942383</v>
      </c>
      <c r="O12" s="5">
        <v>3.4099999999999998E-2</v>
      </c>
      <c r="P12" s="7">
        <v>1932026415</v>
      </c>
    </row>
    <row r="13" spans="3:16" x14ac:dyDescent="0.3">
      <c r="C13" t="s">
        <v>14</v>
      </c>
      <c r="D13" t="s">
        <v>24</v>
      </c>
      <c r="E13" s="4" t="s">
        <v>32</v>
      </c>
      <c r="F13" s="4" t="s">
        <v>32</v>
      </c>
      <c r="I13" t="s">
        <v>44</v>
      </c>
      <c r="J13" s="4" t="s">
        <v>54</v>
      </c>
      <c r="M13" t="s">
        <v>66</v>
      </c>
      <c r="N13" s="8">
        <v>917764</v>
      </c>
      <c r="O13" s="5">
        <v>3.32E-2</v>
      </c>
      <c r="P13" s="7">
        <v>1881553774</v>
      </c>
    </row>
    <row r="14" spans="3:16" x14ac:dyDescent="0.3">
      <c r="C14" t="s">
        <v>15</v>
      </c>
      <c r="D14" t="s">
        <v>25</v>
      </c>
      <c r="E14" s="4" t="s">
        <v>32</v>
      </c>
      <c r="F14" s="4">
        <v>1968</v>
      </c>
      <c r="I14" t="s">
        <v>45</v>
      </c>
      <c r="J14" s="6">
        <v>0.95169999999999999</v>
      </c>
      <c r="M14" t="s">
        <v>67</v>
      </c>
      <c r="N14" s="8">
        <v>801531</v>
      </c>
      <c r="O14" s="5">
        <v>2.9000000000000001E-2</v>
      </c>
      <c r="P14" s="7">
        <v>1643258701</v>
      </c>
    </row>
    <row r="15" spans="3:16" x14ac:dyDescent="0.3">
      <c r="C15" t="s">
        <v>16</v>
      </c>
      <c r="D15" t="s">
        <v>26</v>
      </c>
      <c r="E15" s="4" t="s">
        <v>32</v>
      </c>
      <c r="F15" s="4" t="s">
        <v>32</v>
      </c>
      <c r="I15" t="s">
        <v>46</v>
      </c>
      <c r="J15" s="6">
        <v>0</v>
      </c>
      <c r="M15" t="s">
        <v>68</v>
      </c>
      <c r="N15" s="8">
        <v>555959</v>
      </c>
      <c r="O15" s="5">
        <v>2.01E-2</v>
      </c>
      <c r="P15" s="7">
        <v>1139799289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6B196-1536-473F-8CD7-6FE813FDFCB2}">
  <sheetPr codeName="Sheet3"/>
  <dimension ref="A1:N64"/>
  <sheetViews>
    <sheetView topLeftCell="P46" workbookViewId="0">
      <selection activeCell="T53" sqref="T53"/>
    </sheetView>
  </sheetViews>
  <sheetFormatPr defaultRowHeight="14.4" x14ac:dyDescent="0.3"/>
  <sheetData>
    <row r="1" spans="1:12" x14ac:dyDescent="0.3">
      <c r="C1" t="s">
        <v>76</v>
      </c>
      <c r="L1" t="s">
        <v>78</v>
      </c>
    </row>
    <row r="2" spans="1:12" x14ac:dyDescent="0.3">
      <c r="C2" s="10">
        <f>12^(-1)</f>
        <v>8.3333333333333329E-2</v>
      </c>
      <c r="D2" s="10">
        <f>12^(-1)*2</f>
        <v>0.16666666666666666</v>
      </c>
      <c r="E2" s="10">
        <f>12^(-1)*5</f>
        <v>0.41666666666666663</v>
      </c>
      <c r="F2" s="10">
        <f>12^(-1)*8</f>
        <v>0.66666666666666663</v>
      </c>
      <c r="G2" s="10"/>
      <c r="L2" s="9">
        <v>45072</v>
      </c>
    </row>
    <row r="3" spans="1:12" x14ac:dyDescent="0.3">
      <c r="A3" t="s">
        <v>75</v>
      </c>
      <c r="B3">
        <v>1810</v>
      </c>
      <c r="C3">
        <v>0.44519999999999998</v>
      </c>
      <c r="D3">
        <v>0.39479999999999998</v>
      </c>
      <c r="E3">
        <v>0.39739999999999998</v>
      </c>
      <c r="F3">
        <v>0.40100000000000002</v>
      </c>
      <c r="L3" s="9">
        <v>45093</v>
      </c>
    </row>
    <row r="4" spans="1:12" x14ac:dyDescent="0.3">
      <c r="B4">
        <v>1880</v>
      </c>
      <c r="C4">
        <v>0.36249999999999999</v>
      </c>
      <c r="D4">
        <v>0.35039999999999999</v>
      </c>
      <c r="E4">
        <v>0.36880000000000002</v>
      </c>
      <c r="F4">
        <v>0.38479999999999998</v>
      </c>
      <c r="L4" s="9">
        <v>45184</v>
      </c>
    </row>
    <row r="5" spans="1:12" x14ac:dyDescent="0.3">
      <c r="B5">
        <v>2000</v>
      </c>
      <c r="C5">
        <v>0.2828</v>
      </c>
      <c r="D5">
        <v>0.28739999999999999</v>
      </c>
      <c r="E5">
        <v>0.33960000000000001</v>
      </c>
      <c r="F5">
        <v>0.3569</v>
      </c>
      <c r="L5" s="9">
        <v>45275</v>
      </c>
    </row>
    <row r="6" spans="1:12" x14ac:dyDescent="0.3">
      <c r="B6">
        <v>2100</v>
      </c>
      <c r="C6">
        <v>0.24310000000000001</v>
      </c>
      <c r="D6">
        <v>0.25080000000000002</v>
      </c>
      <c r="E6">
        <v>0.31169999999999998</v>
      </c>
      <c r="F6">
        <v>0.33839999999999998</v>
      </c>
    </row>
    <row r="7" spans="1:12" x14ac:dyDescent="0.3">
      <c r="B7">
        <v>2200</v>
      </c>
      <c r="C7">
        <v>0.24260000000000001</v>
      </c>
      <c r="D7">
        <v>0.24199999999999999</v>
      </c>
      <c r="E7">
        <v>0.29659999999999997</v>
      </c>
      <c r="F7">
        <v>0.32619999999999999</v>
      </c>
    </row>
    <row r="26" spans="2:14" x14ac:dyDescent="0.3">
      <c r="D26" t="s">
        <v>76</v>
      </c>
      <c r="I26" t="s">
        <v>77</v>
      </c>
      <c r="K26" t="s">
        <v>76</v>
      </c>
    </row>
    <row r="27" spans="2:14" x14ac:dyDescent="0.3">
      <c r="D27" s="10">
        <f>12^(-1)</f>
        <v>8.3333333333333329E-2</v>
      </c>
      <c r="E27" s="10">
        <f>12^(-1)*2</f>
        <v>0.16666666666666666</v>
      </c>
      <c r="F27" s="10">
        <f>12^(-1)*5</f>
        <v>0.41666666666666663</v>
      </c>
      <c r="G27" s="10">
        <f>12^(-1)*8</f>
        <v>0.66666666666666663</v>
      </c>
      <c r="K27" s="10">
        <f>12^(-1)</f>
        <v>8.3333333333333329E-2</v>
      </c>
      <c r="L27" s="10">
        <f>12^(-1)*2</f>
        <v>0.16666666666666666</v>
      </c>
      <c r="M27" s="10">
        <f>12^(-1)*5</f>
        <v>0.41666666666666663</v>
      </c>
      <c r="N27" s="10">
        <f>12^(-1)*8</f>
        <v>0.66666666666666663</v>
      </c>
    </row>
    <row r="28" spans="2:14" x14ac:dyDescent="0.3">
      <c r="B28" t="s">
        <v>75</v>
      </c>
      <c r="C28">
        <v>1810</v>
      </c>
      <c r="D28">
        <v>0.44519999999999998</v>
      </c>
      <c r="E28">
        <v>0.39479999999999998</v>
      </c>
      <c r="F28">
        <v>0.39739999999999998</v>
      </c>
      <c r="G28">
        <v>0.40100000000000002</v>
      </c>
      <c r="I28" t="s">
        <v>75</v>
      </c>
      <c r="J28">
        <v>1810</v>
      </c>
      <c r="K28" cm="1">
        <f t="array" ref="K28">DELTAGREEK($D$42,$C28,D$39,D$27,D28)</f>
        <v>0.85308714629414462</v>
      </c>
      <c r="L28" cm="1">
        <f t="array" ref="L28">DELTAGREEK($D$42,$C28,E$39,E$27,E28)</f>
        <v>0.81661912554865546</v>
      </c>
      <c r="M28" cm="1">
        <f t="array" ref="M28">DELTAGREEK($D$42,$C28,F$39,F$27,F28)</f>
        <v>0.73942585498633207</v>
      </c>
      <c r="N28" cm="1">
        <f t="array" ref="N28">DELTAGREEK($D$42,$C28,G$39,G$27,G28)</f>
        <v>0.72508666667193755</v>
      </c>
    </row>
    <row r="29" spans="2:14" x14ac:dyDescent="0.3">
      <c r="C29">
        <v>1880</v>
      </c>
      <c r="D29">
        <v>0.36249999999999999</v>
      </c>
      <c r="E29">
        <v>0.35039999999999999</v>
      </c>
      <c r="F29">
        <v>0.36880000000000002</v>
      </c>
      <c r="G29">
        <v>0.38479999999999998</v>
      </c>
      <c r="J29">
        <v>1880</v>
      </c>
      <c r="K29" cm="1">
        <f t="array" ref="K29">DELTAGREEK($D$42,$C29,D$39,D$27,D29)</f>
        <v>0.81595414499360586</v>
      </c>
      <c r="L29" cm="1">
        <f t="array" ref="L29">DELTAGREEK($D$42,$C29,E$39,E$27,E29)</f>
        <v>0.76803470329510271</v>
      </c>
      <c r="M29" cm="1">
        <f t="array" ref="M29">DELTAGREEK($D$42,$C29,F$39,F$27,F29)</f>
        <v>0.69594041833848674</v>
      </c>
      <c r="N29" cm="1">
        <f t="array" ref="N29">DELTAGREEK($D$42,$C29,G$39,G$27,G29)</f>
        <v>0.68755056732668374</v>
      </c>
    </row>
    <row r="30" spans="2:14" x14ac:dyDescent="0.3">
      <c r="C30">
        <v>2000</v>
      </c>
      <c r="D30">
        <v>0.2828</v>
      </c>
      <c r="E30">
        <v>0.28739999999999999</v>
      </c>
      <c r="F30">
        <v>0.33960000000000001</v>
      </c>
      <c r="G30">
        <v>0.3569</v>
      </c>
      <c r="J30">
        <v>2000</v>
      </c>
      <c r="K30" cm="1">
        <f t="array" ref="K30">DELTAGREEK($D$42,$C30,D$39,D$27,D30)</f>
        <v>0.64413407849155913</v>
      </c>
      <c r="L30" cm="1">
        <f t="array" ref="L30">DELTAGREEK($D$42,$C30,E$39,E$27,E30)</f>
        <v>0.63195528962129566</v>
      </c>
      <c r="M30" cm="1">
        <f t="array" ref="M30">DELTAGREEK($D$42,$C30,F$39,F$27,F30)</f>
        <v>0.60060980009283216</v>
      </c>
      <c r="N30" cm="1">
        <f t="array" ref="N30">DELTAGREEK($D$42,$C30,G$39,G$27,G30)</f>
        <v>0.61452639850486679</v>
      </c>
    </row>
    <row r="31" spans="2:14" x14ac:dyDescent="0.3">
      <c r="C31">
        <v>2100</v>
      </c>
      <c r="D31">
        <v>0.24310000000000001</v>
      </c>
      <c r="E31">
        <v>0.25080000000000002</v>
      </c>
      <c r="F31">
        <v>0.31169999999999998</v>
      </c>
      <c r="G31">
        <v>0.33839999999999998</v>
      </c>
      <c r="J31">
        <v>2100</v>
      </c>
      <c r="K31" cm="1">
        <f t="array" ref="K31">DELTAGREEK($D$42,$C31,D$39,D$27,D31)</f>
        <v>0.39059714978091936</v>
      </c>
      <c r="L31" cm="1">
        <f t="array" ref="L31">DELTAGREEK($D$42,$C31,E$39,E$27,E31)</f>
        <v>0.45766022057313555</v>
      </c>
      <c r="M31" cm="1">
        <f t="array" ref="M31">DELTAGREEK($D$42,$C31,F$39,F$27,F31)</f>
        <v>0.50655615063186288</v>
      </c>
      <c r="N31" cm="1">
        <f t="array" ref="N31">DELTAGREEK($D$42,$C31,G$39,G$27,G31)</f>
        <v>0.54575830933860614</v>
      </c>
    </row>
    <row r="32" spans="2:14" x14ac:dyDescent="0.3">
      <c r="C32">
        <v>2200</v>
      </c>
      <c r="D32">
        <v>0.24260000000000001</v>
      </c>
      <c r="E32">
        <v>0.24199999999999999</v>
      </c>
      <c r="F32">
        <v>0.29659999999999997</v>
      </c>
      <c r="G32">
        <v>0.32619999999999999</v>
      </c>
      <c r="J32">
        <v>2200</v>
      </c>
      <c r="K32" cm="1">
        <f t="array" ref="K32">DELTAGREEK($D$42,$C32,D$39,D$27,D32)</f>
        <v>0.17290634910344202</v>
      </c>
      <c r="L32" cm="1">
        <f t="array" ref="L32">DELTAGREEK($D$42,$C32,E$39,E$27,E32)</f>
        <v>0.27936679842583478</v>
      </c>
      <c r="M32" cm="1">
        <f t="array" ref="M32">DELTAGREEK($D$42,$C32,F$39,F$27,F32)</f>
        <v>0.4068304133554892</v>
      </c>
      <c r="N32" cm="1">
        <f t="array" ref="N32">DELTAGREEK($D$42,$C32,G$39,G$27,G32)</f>
        <v>0.47386414255267661</v>
      </c>
    </row>
    <row r="34" spans="4:14" x14ac:dyDescent="0.3">
      <c r="D34" t="s">
        <v>84</v>
      </c>
      <c r="I34" t="s">
        <v>79</v>
      </c>
      <c r="K34" t="s">
        <v>76</v>
      </c>
    </row>
    <row r="35" spans="4:14" x14ac:dyDescent="0.3">
      <c r="D35">
        <v>0.99839999999999995</v>
      </c>
      <c r="E35">
        <v>0.99260000000000004</v>
      </c>
      <c r="F35">
        <v>0.99339999999999995</v>
      </c>
      <c r="G35">
        <v>0.98299999999999998</v>
      </c>
      <c r="K35" s="10">
        <f>12^(-1)</f>
        <v>8.3333333333333329E-2</v>
      </c>
      <c r="L35" s="10">
        <f>12^(-1)*2</f>
        <v>0.16666666666666666</v>
      </c>
      <c r="M35" s="10">
        <f>12^(-1)*5</f>
        <v>0.41666666666666663</v>
      </c>
      <c r="N35" s="10">
        <f>12^(-1)*8</f>
        <v>0.66666666666666663</v>
      </c>
    </row>
    <row r="36" spans="4:14" x14ac:dyDescent="0.3">
      <c r="I36" t="s">
        <v>75</v>
      </c>
      <c r="J36">
        <v>1810</v>
      </c>
      <c r="K36" cm="1">
        <f t="array" ref="K36">GAMMAGREEK($D$42,$C28,D$39,D$27,D28)</f>
        <v>8.7228506953566541E-4</v>
      </c>
      <c r="L36" cm="1">
        <f t="array" ref="L36">GAMMAGREEK($D$42,$C28,E$39,E$27,E28)</f>
        <v>8.0302668837764024E-4</v>
      </c>
      <c r="M36" cm="1">
        <f t="array" ref="M36">GAMMAGREEK($D$42,$C28,F$39,F$27,F28)</f>
        <v>6.1718686836695596E-4</v>
      </c>
      <c r="N36" cm="1">
        <f t="array" ref="N36">GAMMAGREEK($D$42,$C28,G$39,G$27,G28)</f>
        <v>4.9678043688750864E-4</v>
      </c>
    </row>
    <row r="37" spans="4:14" x14ac:dyDescent="0.3">
      <c r="D37" t="s">
        <v>83</v>
      </c>
      <c r="J37">
        <v>1880</v>
      </c>
      <c r="K37" cm="1">
        <f t="array" ref="K37">GAMMAGREEK($D$42,$C29,D$39,D$27,D29)</f>
        <v>1.2396340512611295E-3</v>
      </c>
      <c r="L37" cm="1">
        <f t="array" ref="L37">GAMMAGREEK($D$42,$C29,E$39,E$27,E29)</f>
        <v>1.0398146691979592E-3</v>
      </c>
      <c r="M37" cm="1">
        <f t="array" ref="M37">GAMMAGREEK($D$42,$C29,F$39,F$27,F29)</f>
        <v>7.1637899266617749E-4</v>
      </c>
      <c r="N37" cm="1">
        <f t="array" ref="N37">GAMMAGREEK($D$42,$C29,G$39,G$27,G29)</f>
        <v>5.4931867224997382E-4</v>
      </c>
    </row>
    <row r="38" spans="4:14" x14ac:dyDescent="0.3">
      <c r="J38">
        <v>2000</v>
      </c>
      <c r="K38" cm="1">
        <f t="array" ref="K38">GAMMAGREEK($D$42,$C30,D$39,D$27,D30)</f>
        <v>2.2252569301229384E-3</v>
      </c>
      <c r="L38" cm="1">
        <f t="array" ref="L38">GAMMAGREEK($D$42,$C30,E$39,E$27,E30)</f>
        <v>1.5661863868793975E-3</v>
      </c>
      <c r="M38" cm="1">
        <f t="array" ref="M38">GAMMAGREEK($D$42,$C30,F$39,F$27,F30)</f>
        <v>8.5890922759133753E-4</v>
      </c>
      <c r="N38" cm="1">
        <f t="array" ref="N38">GAMMAGREEK($D$42,$C30,G$39,G$27,G30)</f>
        <v>6.3975654985509484E-4</v>
      </c>
    </row>
    <row r="39" spans="4:14" x14ac:dyDescent="0.3">
      <c r="D39">
        <f>-LN(D35)/D27</f>
        <v>1.9215376403686552E-2</v>
      </c>
      <c r="E39">
        <f t="shared" ref="E39:G39" si="0">-LN(E35)/E27</f>
        <v>4.4565094972779509E-2</v>
      </c>
      <c r="F39">
        <f t="shared" si="0"/>
        <v>1.5892503141328729E-2</v>
      </c>
      <c r="G39">
        <f t="shared" si="0"/>
        <v>2.5719238252455773E-2</v>
      </c>
      <c r="J39">
        <v>2100</v>
      </c>
      <c r="K39" cm="1">
        <f t="array" ref="K39">GAMMAGREEK($D$42,$C31,D$39,D$27,D31)</f>
        <v>2.666695161896783E-3</v>
      </c>
      <c r="L39" cm="1">
        <f t="array" ref="L39">GAMMAGREEK($D$42,$C31,E$39,E$27,E31)</f>
        <v>1.888922414196637E-3</v>
      </c>
      <c r="M39" cm="1">
        <f t="array" ref="M39">GAMMAGREEK($D$42,$C31,F$39,F$27,F31)</f>
        <v>9.6656548298413398E-4</v>
      </c>
      <c r="N39" cm="1">
        <f t="array" ref="N39">GAMMAGREEK($D$42,$C31,G$39,G$27,G31)</f>
        <v>6.9930563365500867E-4</v>
      </c>
    </row>
    <row r="40" spans="4:14" x14ac:dyDescent="0.3">
      <c r="J40">
        <v>2200</v>
      </c>
      <c r="K40" cm="1">
        <f t="array" ref="K40">GAMMAGREEK($D$42,$C32,D$39,D$27,D32)</f>
        <v>1.7808546345405884E-3</v>
      </c>
      <c r="L40" cm="1">
        <f t="array" ref="L40">GAMMAGREEK($D$42,$C32,E$39,E$27,E32)</f>
        <v>1.6593514151318686E-3</v>
      </c>
      <c r="M40" cm="1">
        <f t="array" ref="M40">GAMMAGREEK($D$42,$C32,F$39,F$27,F32)</f>
        <v>9.8807854979501841E-4</v>
      </c>
      <c r="N40" cm="1">
        <f t="array" ref="N40">GAMMAGREEK($D$42,$C32,G$39,G$27,G32)</f>
        <v>7.2870117277563972E-4</v>
      </c>
    </row>
    <row r="41" spans="4:14" x14ac:dyDescent="0.3">
      <c r="D41" t="s">
        <v>86</v>
      </c>
    </row>
    <row r="42" spans="4:14" x14ac:dyDescent="0.3">
      <c r="D42">
        <v>2051.11</v>
      </c>
      <c r="I42" t="s">
        <v>80</v>
      </c>
      <c r="K42" t="s">
        <v>76</v>
      </c>
    </row>
    <row r="43" spans="4:14" x14ac:dyDescent="0.3">
      <c r="K43" s="10">
        <f>12^(-1)</f>
        <v>8.3333333333333329E-2</v>
      </c>
      <c r="L43" s="10">
        <f>12^(-1)*2</f>
        <v>0.16666666666666666</v>
      </c>
      <c r="M43" s="10">
        <f>12^(-1)*5</f>
        <v>0.41666666666666663</v>
      </c>
      <c r="N43" s="10">
        <f>12^(-1)*8</f>
        <v>0.66666666666666663</v>
      </c>
    </row>
    <row r="44" spans="4:14" x14ac:dyDescent="0.3">
      <c r="I44" t="s">
        <v>75</v>
      </c>
      <c r="J44">
        <v>1810</v>
      </c>
      <c r="K44" cm="1">
        <f t="array" ref="K44">RHOGREEK($D$42,$C28,D$39,D$27,D28)</f>
        <v>123.7172727787146</v>
      </c>
      <c r="L44" cm="1">
        <f t="array" ref="L44">RHOGREEK($D$42,$C28,E$39,E$27,E28)</f>
        <v>230.79447570535737</v>
      </c>
      <c r="M44" cm="1">
        <f t="array" ref="M44">RHOGREEK($D$42,$C28,F$39,F$27,F28)</f>
        <v>486.89949809320842</v>
      </c>
      <c r="N44" cm="1">
        <f t="array" ref="N44">RHOGREEK($D$42,$C28,G$39,G$27,G28)</f>
        <v>719.58286164693573</v>
      </c>
    </row>
    <row r="45" spans="4:14" x14ac:dyDescent="0.3">
      <c r="J45">
        <v>1880</v>
      </c>
      <c r="K45" cm="1">
        <f t="array" ref="K45">RHOGREEK($D$42,$C29,D$39,D$27,D29)</f>
        <v>123.07001027166561</v>
      </c>
      <c r="L45" cm="1">
        <f t="array" ref="L45">RHOGREEK($D$42,$C29,E$39,E$27,E29)</f>
        <v>224.60960020845076</v>
      </c>
      <c r="M45" cm="1">
        <f t="array" ref="M45">RHOGREEK($D$42,$C29,F$39,F$27,F29)</f>
        <v>473.29987306384635</v>
      </c>
      <c r="N45" cm="1">
        <f t="array" ref="N45">RHOGREEK($D$42,$C29,G$39,G$27,G29)</f>
        <v>701.46009975502102</v>
      </c>
    </row>
    <row r="46" spans="4:14" x14ac:dyDescent="0.3">
      <c r="J46">
        <v>2000</v>
      </c>
      <c r="K46" cm="1">
        <f t="array" ref="K46">RHOGREEK($D$42,$C30,D$39,D$27,D30)</f>
        <v>102.05079044040954</v>
      </c>
      <c r="L46" cm="1">
        <f t="array" ref="L46">RHOGREEK($D$42,$C30,E$39,E$27,E30)</f>
        <v>194.20215459288625</v>
      </c>
      <c r="M46" cm="1">
        <f t="array" ref="M46">RHOGREEK($D$42,$C30,F$39,F$27,F30)</f>
        <v>425.70929891300062</v>
      </c>
      <c r="N46" cm="1">
        <f t="array" ref="N46">RHOGREEK($D$42,$C30,G$39,G$27,G30)</f>
        <v>655.19137515967645</v>
      </c>
    </row>
    <row r="47" spans="4:14" x14ac:dyDescent="0.3">
      <c r="J47">
        <v>2100</v>
      </c>
      <c r="K47" cm="1">
        <f t="array" ref="K47">RHOGREEK($D$42,$C31,D$39,D$27,D31)</f>
        <v>63.588060180912606</v>
      </c>
      <c r="L47" cm="1">
        <f t="array" ref="L47">RHOGREEK($D$42,$C31,E$39,E$27,E31)</f>
        <v>144.98596606732136</v>
      </c>
      <c r="M47" cm="1">
        <f t="array" ref="M47">RHOGREEK($D$42,$C31,F$39,F$27,F31)</f>
        <v>370.90346242794942</v>
      </c>
      <c r="N47" cm="1">
        <f t="array" ref="N47">RHOGREEK($D$42,$C31,G$39,G$27,G31)</f>
        <v>599.89740442132609</v>
      </c>
    </row>
    <row r="48" spans="4:14" x14ac:dyDescent="0.3">
      <c r="J48">
        <v>2200</v>
      </c>
      <c r="K48" cm="1">
        <f t="array" ref="K48">RHOGREEK($D$42,$C32,D$39,D$27,D32)</f>
        <v>28.478064903950681</v>
      </c>
      <c r="L48" cm="1">
        <f t="array" ref="L48">RHOGREEK($D$42,$C32,E$39,E$27,E32)</f>
        <v>89.947158953005385</v>
      </c>
      <c r="M48" cm="1">
        <f t="array" ref="M48">RHOGREEK($D$42,$C32,F$39,F$27,F32)</f>
        <v>304.72077457130803</v>
      </c>
      <c r="N48" cm="1">
        <f t="array" ref="N48">RHOGREEK($D$42,$C32,G$39,G$27,G32)</f>
        <v>533.41539458133593</v>
      </c>
    </row>
    <row r="50" spans="9:14" x14ac:dyDescent="0.3">
      <c r="I50" t="s">
        <v>81</v>
      </c>
      <c r="K50" t="s">
        <v>76</v>
      </c>
    </row>
    <row r="51" spans="9:14" x14ac:dyDescent="0.3">
      <c r="K51" s="10">
        <f>12^(-1)</f>
        <v>8.3333333333333329E-2</v>
      </c>
      <c r="L51" s="10">
        <f>12^(-1)*2</f>
        <v>0.16666666666666666</v>
      </c>
      <c r="M51" s="10">
        <f>12^(-1)*5</f>
        <v>0.41666666666666663</v>
      </c>
      <c r="N51" s="10">
        <f>12^(-1)*8</f>
        <v>0.66666666666666663</v>
      </c>
    </row>
    <row r="52" spans="9:14" x14ac:dyDescent="0.3">
      <c r="I52" t="s">
        <v>75</v>
      </c>
      <c r="J52">
        <v>1810</v>
      </c>
      <c r="K52" cm="1">
        <f t="array" ref="K52">THETAGREEK($D$42,$C28,D$39,D$27,D28)</f>
        <v>-845.41338131574787</v>
      </c>
      <c r="L52" cm="1">
        <f t="array" ref="L52">THETAGREEK($D$42,$C28,E$39,E$27,E28)</f>
        <v>-728.60353515240206</v>
      </c>
      <c r="M52" cm="1">
        <f t="array" ref="M52">THETAGREEK($D$42,$C28,F$39,F$27,F28)</f>
        <v>-534.50330415445887</v>
      </c>
      <c r="N52" cm="1">
        <f t="array" ref="N52">THETAGREEK($D$42,$C28,G$39,G$27,G28)</f>
        <v>-446.80192438879914</v>
      </c>
    </row>
    <row r="53" spans="9:14" x14ac:dyDescent="0.3">
      <c r="J53">
        <v>1880</v>
      </c>
      <c r="K53" cm="1">
        <f t="array" ref="K53">THETAGREEK($D$42,$C29,D$39,D$27,D29)</f>
        <v>-973.63398178159343</v>
      </c>
      <c r="L53" cm="1">
        <f t="array" ref="L53">THETAGREEK($D$42,$C29,E$39,E$27,E29)</f>
        <v>-826.48045929395948</v>
      </c>
      <c r="M53" cm="1">
        <f t="array" ref="M53">THETAGREEK($D$42,$C29,F$39,F$27,F29)</f>
        <v>-573.80541144589449</v>
      </c>
      <c r="N53" cm="1">
        <f t="array" ref="N53">THETAGREEK($D$42,$C29,G$39,G$27,G29)</f>
        <v>-471.70030455868005</v>
      </c>
    </row>
    <row r="54" spans="9:14" x14ac:dyDescent="0.3">
      <c r="J54">
        <v>2000</v>
      </c>
      <c r="K54" cm="1">
        <f t="array" ref="K54">THETAGREEK($D$42,$C30,D$39,D$27,D30)</f>
        <v>-1347.2859120778505</v>
      </c>
      <c r="L54" cm="1">
        <f t="array" ref="L54">THETAGREEK($D$42,$C30,E$39,E$27,E30)</f>
        <v>-998.77113901166751</v>
      </c>
      <c r="M54" cm="1">
        <f t="array" ref="M54">THETAGREEK($D$42,$C30,F$39,F$27,F30)</f>
        <v>-629.80562922062268</v>
      </c>
      <c r="N54" cm="1">
        <f t="array" ref="N54">THETAGREEK($D$42,$C30,G$39,G$27,G30)</f>
        <v>-505.5727861176976</v>
      </c>
    </row>
    <row r="55" spans="9:14" x14ac:dyDescent="0.3">
      <c r="J55">
        <v>2100</v>
      </c>
      <c r="K55" cm="1">
        <f t="array" ref="K55">THETAGREEK($D$42,$C31,D$39,D$27,D31)</f>
        <v>-1378.3228571578959</v>
      </c>
      <c r="L55" cm="1">
        <f t="array" ref="L55">THETAGREEK($D$42,$C31,E$39,E$27,E31)</f>
        <v>-1035.2960055523365</v>
      </c>
      <c r="M55" cm="1">
        <f t="array" ref="M55">THETAGREEK($D$42,$C31,F$39,F$27,F31)</f>
        <v>-647.89411367417688</v>
      </c>
      <c r="N55" cm="1">
        <f t="array" ref="N55">THETAGREEK($D$42,$C31,G$39,G$27,G31)</f>
        <v>-520.9323497334517</v>
      </c>
    </row>
    <row r="56" spans="9:14" x14ac:dyDescent="0.3">
      <c r="J56">
        <v>2200</v>
      </c>
      <c r="K56" cm="1">
        <f t="array" ref="K56">THETAGREEK($D$42,$C32,D$39,D$27,D32)</f>
        <v>-915.36420967616641</v>
      </c>
      <c r="L56" cm="1">
        <f t="array" ref="L56">THETAGREEK($D$42,$C32,E$39,E$27,E32)</f>
        <v>-868.74936914676175</v>
      </c>
      <c r="M56" cm="1">
        <f t="array" ref="M56">THETAGREEK($D$42,$C32,F$39,F$27,F32)</f>
        <v>-628.09064562554693</v>
      </c>
      <c r="N56" cm="1">
        <f t="array" ref="N56">THETAGREEK($D$42,$C32,G$39,G$27,G32)</f>
        <v>-520.59159978061541</v>
      </c>
    </row>
    <row r="58" spans="9:14" x14ac:dyDescent="0.3">
      <c r="I58" t="s">
        <v>82</v>
      </c>
      <c r="K58" t="s">
        <v>76</v>
      </c>
    </row>
    <row r="59" spans="9:14" x14ac:dyDescent="0.3">
      <c r="K59" s="10">
        <f>12^(-1)</f>
        <v>8.3333333333333329E-2</v>
      </c>
      <c r="L59" s="10">
        <f>12^(-1)*2</f>
        <v>0.16666666666666666</v>
      </c>
      <c r="M59" s="10">
        <f>12^(-1)*5</f>
        <v>0.41666666666666663</v>
      </c>
      <c r="N59" s="10">
        <f>12^(-1)*8</f>
        <v>0.66666666666666663</v>
      </c>
    </row>
    <row r="60" spans="9:14" x14ac:dyDescent="0.3">
      <c r="I60" t="s">
        <v>75</v>
      </c>
      <c r="J60">
        <v>1810</v>
      </c>
      <c r="K60" cm="1">
        <f t="array" ref="K60">VEGAGREEK($D$42,$C28,D$39,D$27,D28)</f>
        <v>136.14768229113017</v>
      </c>
      <c r="L60" cm="1">
        <f t="array" ref="L60">VEGAGREEK($D$42,$C28,E$39,E$27,E28)</f>
        <v>222.29708959279651</v>
      </c>
      <c r="M60" cm="1">
        <f t="array" ref="M60">VEGAGREEK($D$42,$C28,F$39,F$27,F28)</f>
        <v>429.94331652280033</v>
      </c>
      <c r="N60" cm="1">
        <f t="array" ref="N60">VEGAGREEK($D$42,$C28,G$39,G$27,G28)</f>
        <v>558.72165306290253</v>
      </c>
    </row>
    <row r="61" spans="9:14" x14ac:dyDescent="0.3">
      <c r="J61">
        <v>1880</v>
      </c>
      <c r="K61" cm="1">
        <f t="array" ref="K61">VEGAGREEK($D$42,$C29,D$39,D$27,D29)</f>
        <v>157.54265715418097</v>
      </c>
      <c r="L61" cm="1">
        <f t="array" ref="L61">VEGAGREEK($D$42,$C29,E$39,E$27,E29)</f>
        <v>255.47399010114452</v>
      </c>
      <c r="M61" cm="1">
        <f t="array" ref="M61">VEGAGREEK($D$42,$C29,F$39,F$27,F29)</f>
        <v>463.12733676599674</v>
      </c>
      <c r="N61" cm="1">
        <f t="array" ref="N61">VEGAGREEK($D$42,$C29,G$39,G$27,G29)</f>
        <v>592.85170055119181</v>
      </c>
    </row>
    <row r="62" spans="9:14" x14ac:dyDescent="0.3">
      <c r="J62">
        <v>2000</v>
      </c>
      <c r="K62" cm="1">
        <f t="array" ref="K62">VEGAGREEK($D$42,$C30,D$39,D$27,D30)</f>
        <v>220.62576331176265</v>
      </c>
      <c r="L62" cm="1">
        <f t="array" ref="L62">VEGAGREEK($D$42,$C30,E$39,E$27,E30)</f>
        <v>315.61443807718842</v>
      </c>
      <c r="M62" cm="1">
        <f t="array" ref="M62">VEGAGREEK($D$42,$C30,F$39,F$27,F30)</f>
        <v>511.30685160998348</v>
      </c>
      <c r="N62" cm="1">
        <f t="array" ref="N62">VEGAGREEK($D$42,$C30,G$39,G$27,G30)</f>
        <v>640.39500199955842</v>
      </c>
    </row>
    <row r="63" spans="9:14" x14ac:dyDescent="0.3">
      <c r="J63">
        <v>2100</v>
      </c>
      <c r="K63" cm="1">
        <f t="array" ref="K63">VEGAGREEK($D$42,$C31,D$39,D$27,D31)</f>
        <v>227.2767391706696</v>
      </c>
      <c r="L63" cm="1">
        <f t="array" ref="L63">VEGAGREEK($D$42,$C31,E$39,E$27,E31)</f>
        <v>332.17604182242479</v>
      </c>
      <c r="M63" cm="1">
        <f t="array" ref="M63">VEGAGREEK($D$42,$C31,F$39,F$27,F31)</f>
        <v>528.12259251161561</v>
      </c>
      <c r="N63" cm="1">
        <f t="array" ref="N63">VEGAGREEK($D$42,$C31,G$39,G$27,G31)</f>
        <v>663.71865776858522</v>
      </c>
    </row>
    <row r="64" spans="9:14" x14ac:dyDescent="0.3">
      <c r="J64">
        <v>2200</v>
      </c>
      <c r="K64" cm="1">
        <f t="array" ref="K64">VEGAGREEK($D$42,$C32,D$39,D$27,D32)</f>
        <v>151.46626813993834</v>
      </c>
      <c r="L64" cm="1">
        <f t="array" ref="L64">VEGAGREEK($D$42,$C32,E$39,E$27,E32)</f>
        <v>281.56611568637584</v>
      </c>
      <c r="M64" cm="1">
        <f t="array" ref="M64">VEGAGREEK($D$42,$C32,F$39,F$27,F32)</f>
        <v>513.7233196204171</v>
      </c>
      <c r="N64" cm="1">
        <f t="array" ref="N64">VEGAGREEK($D$42,$C32,G$39,G$27,G32)</f>
        <v>666.68405779929037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Company information</vt:lpstr>
      <vt:lpstr>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Palmeri</dc:creator>
  <cp:lastModifiedBy>Claudio Palmeri</cp:lastModifiedBy>
  <cp:lastPrinted>2023-04-28T15:49:42Z</cp:lastPrinted>
  <dcterms:created xsi:type="dcterms:W3CDTF">2023-04-28T13:46:47Z</dcterms:created>
  <dcterms:modified xsi:type="dcterms:W3CDTF">2023-04-28T20:22:17Z</dcterms:modified>
</cp:coreProperties>
</file>