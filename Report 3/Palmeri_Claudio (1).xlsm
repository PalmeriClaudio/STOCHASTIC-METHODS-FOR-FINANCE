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cc668a1dc8ecca/Desktop/Uni/Financial/"/>
    </mc:Choice>
  </mc:AlternateContent>
  <xr:revisionPtr revIDLastSave="0" documentId="14_{EC43146D-E6C7-4B42-854D-AA736E01326C}" xr6:coauthVersionLast="47" xr6:coauthVersionMax="47" xr10:uidLastSave="{00000000-0000-0000-0000-000000000000}"/>
  <bookViews>
    <workbookView xWindow="-108" yWindow="-108" windowWidth="23256" windowHeight="12456" activeTab="1" xr2:uid="{A6D8873A-84DD-4594-B552-3F6BA0DAFAF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9" i="1" l="1" a="1"/>
  <c r="D139" i="1" a="1"/>
  <c r="F139" i="1" a="1"/>
  <c r="E139" i="1" a="1"/>
  <c r="G139" i="1" a="1"/>
  <c r="B139" i="1" a="1"/>
  <c r="B138" i="1" a="1"/>
  <c r="G139" i="1" l="1"/>
  <c r="E139" i="1"/>
  <c r="F139" i="1"/>
  <c r="D139" i="1"/>
  <c r="C139" i="1"/>
  <c r="B139" i="1"/>
  <c r="B138" i="1"/>
  <c r="D138" i="1" a="1"/>
  <c r="F138" i="1" a="1"/>
  <c r="E138" i="1" a="1"/>
  <c r="G138" i="1" a="1"/>
  <c r="C138" i="1" a="1"/>
  <c r="C2" i="2" a="1"/>
  <c r="C138" i="1" l="1"/>
  <c r="G138" i="1"/>
  <c r="E138" i="1"/>
  <c r="F138" i="1"/>
  <c r="D138" i="1"/>
  <c r="C2" i="2"/>
  <c r="B2" i="2" a="1"/>
  <c r="B2" i="2" l="1"/>
  <c r="D2" i="2"/>
  <c r="AA23" i="2" a="1"/>
  <c r="AA15" i="2" a="1"/>
  <c r="AA7" i="2" a="1"/>
  <c r="AA12" i="2" a="1"/>
  <c r="AA9" i="2" a="1"/>
  <c r="AA8" i="2" a="1"/>
  <c r="AA22" i="2" a="1"/>
  <c r="AA14" i="2" a="1"/>
  <c r="AA6" i="2" a="1"/>
  <c r="AA21" i="2" a="1"/>
  <c r="AA13" i="2" a="1"/>
  <c r="AA5" i="2" a="1"/>
  <c r="AA20" i="2" a="1"/>
  <c r="AA4" i="2" a="1"/>
  <c r="AA18" i="2" a="1"/>
  <c r="AA2" i="2" a="1"/>
  <c r="AA25" i="2" a="1"/>
  <c r="AA24" i="2" a="1"/>
  <c r="AA19" i="2" a="1"/>
  <c r="AA11" i="2" a="1"/>
  <c r="AA3" i="2" a="1"/>
  <c r="AA26" i="2" a="1"/>
  <c r="AA10" i="2" a="1"/>
  <c r="AA17" i="2" a="1"/>
  <c r="AA16" i="2" a="1"/>
  <c r="Z3" i="2" a="1"/>
  <c r="Z11" i="2" a="1"/>
  <c r="Z12" i="2" a="1"/>
  <c r="Z4" i="2" a="1"/>
  <c r="Z20" i="2" a="1"/>
  <c r="Z5" i="2" a="1"/>
  <c r="Z13" i="2" a="1"/>
  <c r="Z21" i="2" a="1"/>
  <c r="Z24" i="2" a="1"/>
  <c r="Z6" i="2" a="1"/>
  <c r="Z14" i="2" a="1"/>
  <c r="Z22" i="2" a="1"/>
  <c r="Z16" i="2" a="1"/>
  <c r="Z25" i="2" a="1"/>
  <c r="Z10" i="2" a="1"/>
  <c r="Z19" i="2" a="1"/>
  <c r="Z17" i="2" a="1"/>
  <c r="Z7" i="2" a="1"/>
  <c r="Z15" i="2" a="1"/>
  <c r="Z23" i="2" a="1"/>
  <c r="Z9" i="2" a="1"/>
  <c r="Z18" i="2" a="1"/>
  <c r="Z8" i="2" a="1"/>
  <c r="Z26" i="2" a="1"/>
  <c r="Z2" i="2" a="1"/>
  <c r="N49" i="2" a="1"/>
  <c r="N50" i="2" a="1"/>
  <c r="N51" i="2" a="1"/>
  <c r="N42" i="2" a="1"/>
  <c r="N43" i="2" a="1"/>
  <c r="N44" i="2" a="1"/>
  <c r="N45" i="2" a="1"/>
  <c r="N48" i="2" a="1"/>
  <c r="N46" i="2" a="1"/>
  <c r="N47" i="2" a="1"/>
  <c r="N32" i="2" a="1"/>
  <c r="N40" i="2" a="1"/>
  <c r="N41" i="2" a="1"/>
  <c r="N33" i="2" a="1"/>
  <c r="N34" i="2" a="1"/>
  <c r="N35" i="2" a="1"/>
  <c r="N37" i="2" a="1"/>
  <c r="N36" i="2" a="1"/>
  <c r="N38" i="2" a="1"/>
  <c r="N39" i="2" a="1"/>
  <c r="N19" i="2" a="1"/>
  <c r="N27" i="2" a="1"/>
  <c r="N20" i="2" a="1"/>
  <c r="N26" i="2" a="1"/>
  <c r="N28" i="2" a="1"/>
  <c r="N21" i="2" a="1"/>
  <c r="N29" i="2" a="1"/>
  <c r="N30" i="2" a="1"/>
  <c r="N22" i="2" a="1"/>
  <c r="N31" i="2" a="1"/>
  <c r="N23" i="2" a="1"/>
  <c r="N24" i="2" a="1"/>
  <c r="N25" i="2" a="1"/>
  <c r="N3" i="2" a="1"/>
  <c r="N4" i="2" a="1"/>
  <c r="N12" i="2" a="1"/>
  <c r="N13" i="2" a="1"/>
  <c r="N5" i="2" a="1"/>
  <c r="N11" i="2" a="1"/>
  <c r="N6" i="2" a="1"/>
  <c r="N14" i="2" a="1"/>
  <c r="N18" i="2" a="1"/>
  <c r="N7" i="2" a="1"/>
  <c r="N15" i="2" a="1"/>
  <c r="N8" i="2" a="1"/>
  <c r="N16" i="2" a="1"/>
  <c r="N9" i="2" a="1"/>
  <c r="N17" i="2" a="1"/>
  <c r="N10" i="2" a="1"/>
  <c r="O51" i="2" a="1"/>
  <c r="O45" i="2" a="1"/>
  <c r="O44" i="2" a="1"/>
  <c r="O43" i="2" a="1"/>
  <c r="O50" i="2" a="1"/>
  <c r="O42" i="2" a="1"/>
  <c r="O41" i="2" a="1"/>
  <c r="O46" i="2" a="1"/>
  <c r="O49" i="2" a="1"/>
  <c r="O48" i="2" a="1"/>
  <c r="O47" i="2" a="1"/>
  <c r="O32" i="2" a="1"/>
  <c r="O31" i="2" a="1"/>
  <c r="O30" i="2" a="1"/>
  <c r="O40" i="2" a="1"/>
  <c r="O39" i="2" a="1"/>
  <c r="O38" i="2" a="1"/>
  <c r="O37" i="2" a="1"/>
  <c r="O28" i="2" a="1"/>
  <c r="O35" i="2" a="1"/>
  <c r="O33" i="2" a="1"/>
  <c r="O29" i="2" a="1"/>
  <c r="O34" i="2" a="1"/>
  <c r="O36" i="2" a="1"/>
  <c r="O27" i="2" a="1"/>
  <c r="O26" i="2" a="1"/>
  <c r="O16" i="2" a="1"/>
  <c r="O24" i="2" a="1"/>
  <c r="O21" i="2" a="1"/>
  <c r="O20" i="2" a="1"/>
  <c r="O19" i="2" a="1"/>
  <c r="O25" i="2" a="1"/>
  <c r="O17" i="2" a="1"/>
  <c r="O15" i="2" a="1"/>
  <c r="O23" i="2" a="1"/>
  <c r="O22" i="2" a="1"/>
  <c r="O18" i="2" a="1"/>
  <c r="O14" i="2" a="1"/>
  <c r="O6" i="2" a="1"/>
  <c r="O12" i="2" a="1"/>
  <c r="O11" i="2" a="1"/>
  <c r="O2" i="2" a="1"/>
  <c r="O9" i="2" a="1"/>
  <c r="O5" i="2" a="1"/>
  <c r="O4" i="2" a="1"/>
  <c r="O3" i="2" a="1"/>
  <c r="O8" i="2" a="1"/>
  <c r="O13" i="2" a="1"/>
  <c r="O10" i="2" a="1"/>
  <c r="O7" i="2" a="1"/>
  <c r="N2" i="2" a="1"/>
  <c r="AA16" i="2" l="1"/>
  <c r="AA17" i="2"/>
  <c r="AA10" i="2"/>
  <c r="AA26" i="2"/>
  <c r="AA3" i="2"/>
  <c r="AA11" i="2"/>
  <c r="AA19" i="2"/>
  <c r="AA24" i="2"/>
  <c r="AA25" i="2"/>
  <c r="AA2" i="2"/>
  <c r="AA18" i="2"/>
  <c r="AA4" i="2"/>
  <c r="AA20" i="2"/>
  <c r="AA5" i="2"/>
  <c r="AA13" i="2"/>
  <c r="AA21" i="2"/>
  <c r="AA6" i="2"/>
  <c r="AA14" i="2"/>
  <c r="AA22" i="2"/>
  <c r="AA8" i="2"/>
  <c r="AA9" i="2"/>
  <c r="AA12" i="2"/>
  <c r="AA7" i="2"/>
  <c r="AA15" i="2"/>
  <c r="AA23" i="2"/>
  <c r="Z26" i="2"/>
  <c r="AC26" i="2" s="1"/>
  <c r="Z8" i="2"/>
  <c r="AC8" i="2" s="1"/>
  <c r="Z18" i="2"/>
  <c r="AC18" i="2" s="1"/>
  <c r="Z9" i="2"/>
  <c r="AC9" i="2" s="1"/>
  <c r="Z23" i="2"/>
  <c r="AC23" i="2" s="1"/>
  <c r="Z15" i="2"/>
  <c r="AC15" i="2" s="1"/>
  <c r="Z7" i="2"/>
  <c r="AC7" i="2" s="1"/>
  <c r="Z17" i="2"/>
  <c r="AC17" i="2" s="1"/>
  <c r="Z19" i="2"/>
  <c r="AC19" i="2" s="1"/>
  <c r="Z10" i="2"/>
  <c r="AC10" i="2" s="1"/>
  <c r="Z25" i="2"/>
  <c r="Z16" i="2"/>
  <c r="Z22" i="2"/>
  <c r="AC22" i="2" s="1"/>
  <c r="Z14" i="2"/>
  <c r="AC14" i="2" s="1"/>
  <c r="Z6" i="2"/>
  <c r="AC6" i="2" s="1"/>
  <c r="Z24" i="2"/>
  <c r="AC24" i="2" s="1"/>
  <c r="Z21" i="2"/>
  <c r="Z13" i="2"/>
  <c r="Z5" i="2"/>
  <c r="AC5" i="2" s="1"/>
  <c r="Z20" i="2"/>
  <c r="AC20" i="2" s="1"/>
  <c r="Z4" i="2"/>
  <c r="AC4" i="2" s="1"/>
  <c r="Z12" i="2"/>
  <c r="AC12" i="2" s="1"/>
  <c r="Z11" i="2"/>
  <c r="AC11" i="2" s="1"/>
  <c r="Z3" i="2"/>
  <c r="AC3" i="2" s="1"/>
  <c r="Z2" i="2"/>
  <c r="AC2" i="2" s="1"/>
  <c r="N51" i="2"/>
  <c r="N50" i="2"/>
  <c r="N49" i="2"/>
  <c r="N47" i="2"/>
  <c r="P47" i="2" s="1"/>
  <c r="N46" i="2"/>
  <c r="N48" i="2"/>
  <c r="P48" i="2" s="1"/>
  <c r="N45" i="2"/>
  <c r="N44" i="2"/>
  <c r="N43" i="2"/>
  <c r="N42" i="2"/>
  <c r="P42" i="2" s="1"/>
  <c r="N39" i="2"/>
  <c r="P39" i="2" s="1"/>
  <c r="N38" i="2"/>
  <c r="P38" i="2" s="1"/>
  <c r="N36" i="2"/>
  <c r="N37" i="2"/>
  <c r="P37" i="2" s="1"/>
  <c r="N35" i="2"/>
  <c r="P35" i="2" s="1"/>
  <c r="N34" i="2"/>
  <c r="N33" i="2"/>
  <c r="N41" i="2"/>
  <c r="N40" i="2"/>
  <c r="N32" i="2"/>
  <c r="N25" i="2"/>
  <c r="N24" i="2"/>
  <c r="P24" i="2" s="1"/>
  <c r="N23" i="2"/>
  <c r="N31" i="2"/>
  <c r="P31" i="2" s="1"/>
  <c r="N22" i="2"/>
  <c r="N30" i="2"/>
  <c r="P30" i="2" s="1"/>
  <c r="N29" i="2"/>
  <c r="N21" i="2"/>
  <c r="P21" i="2" s="1"/>
  <c r="N28" i="2"/>
  <c r="P28" i="2" s="1"/>
  <c r="N26" i="2"/>
  <c r="P26" i="2" s="1"/>
  <c r="N20" i="2"/>
  <c r="P20" i="2" s="1"/>
  <c r="N27" i="2"/>
  <c r="P27" i="2" s="1"/>
  <c r="N19" i="2"/>
  <c r="N10" i="2"/>
  <c r="N17" i="2"/>
  <c r="N9" i="2"/>
  <c r="N16" i="2"/>
  <c r="P16" i="2" s="1"/>
  <c r="N8" i="2"/>
  <c r="N15" i="2"/>
  <c r="N7" i="2"/>
  <c r="P7" i="2" s="1"/>
  <c r="N18" i="2"/>
  <c r="P18" i="2" s="1"/>
  <c r="N14" i="2"/>
  <c r="P14" i="2" s="1"/>
  <c r="N6" i="2"/>
  <c r="P6" i="2" s="1"/>
  <c r="N11" i="2"/>
  <c r="N5" i="2"/>
  <c r="N13" i="2"/>
  <c r="P13" i="2" s="1"/>
  <c r="N12" i="2"/>
  <c r="P12" i="2" s="1"/>
  <c r="N4" i="2"/>
  <c r="P4" i="2" s="1"/>
  <c r="N3" i="2"/>
  <c r="O47" i="2"/>
  <c r="O48" i="2"/>
  <c r="O49" i="2"/>
  <c r="O46" i="2"/>
  <c r="O41" i="2"/>
  <c r="O42" i="2"/>
  <c r="O50" i="2"/>
  <c r="O43" i="2"/>
  <c r="O44" i="2"/>
  <c r="O45" i="2"/>
  <c r="O51" i="2"/>
  <c r="O36" i="2"/>
  <c r="O34" i="2"/>
  <c r="O29" i="2"/>
  <c r="O33" i="2"/>
  <c r="O35" i="2"/>
  <c r="O28" i="2"/>
  <c r="O37" i="2"/>
  <c r="O38" i="2"/>
  <c r="O39" i="2"/>
  <c r="O40" i="2"/>
  <c r="O30" i="2"/>
  <c r="O31" i="2"/>
  <c r="O32" i="2"/>
  <c r="O18" i="2"/>
  <c r="O22" i="2"/>
  <c r="O23" i="2"/>
  <c r="O15" i="2"/>
  <c r="O17" i="2"/>
  <c r="O25" i="2"/>
  <c r="O19" i="2"/>
  <c r="O20" i="2"/>
  <c r="O21" i="2"/>
  <c r="O24" i="2"/>
  <c r="O16" i="2"/>
  <c r="O26" i="2"/>
  <c r="O27" i="2"/>
  <c r="O7" i="2"/>
  <c r="O10" i="2"/>
  <c r="O13" i="2"/>
  <c r="O8" i="2"/>
  <c r="O3" i="2"/>
  <c r="O4" i="2"/>
  <c r="O5" i="2"/>
  <c r="O9" i="2"/>
  <c r="O2" i="2"/>
  <c r="O11" i="2"/>
  <c r="O12" i="2"/>
  <c r="O6" i="2"/>
  <c r="O14" i="2"/>
  <c r="N2" i="2"/>
  <c r="C44" i="2" a="1"/>
  <c r="C51" i="2" a="1"/>
  <c r="C43" i="2" a="1"/>
  <c r="C45" i="2" a="1"/>
  <c r="C50" i="2" a="1"/>
  <c r="C48" i="2" a="1"/>
  <c r="C46" i="2" a="1"/>
  <c r="C42" i="2" a="1"/>
  <c r="C49" i="2" a="1"/>
  <c r="C47" i="2" a="1"/>
  <c r="C41" i="2" a="1"/>
  <c r="C31" i="2" a="1"/>
  <c r="C38" i="2" a="1"/>
  <c r="C30" i="2" a="1"/>
  <c r="C36" i="2" a="1"/>
  <c r="C28" i="2" a="1"/>
  <c r="C29" i="2" a="1"/>
  <c r="C35" i="2" a="1"/>
  <c r="C34" i="2" a="1"/>
  <c r="C33" i="2" a="1"/>
  <c r="C40" i="2" a="1"/>
  <c r="C39" i="2" a="1"/>
  <c r="C37" i="2" a="1"/>
  <c r="C32" i="2" a="1"/>
  <c r="C6" i="2" a="1"/>
  <c r="C14" i="2" a="1"/>
  <c r="C5" i="2" a="1"/>
  <c r="C13" i="2" a="1"/>
  <c r="C12" i="2" a="1"/>
  <c r="C4" i="2" a="1"/>
  <c r="C3" i="2" a="1"/>
  <c r="C11" i="2" a="1"/>
  <c r="C7" i="2" a="1"/>
  <c r="C10" i="2" a="1"/>
  <c r="C8" i="2" a="1"/>
  <c r="C9" i="2" a="1"/>
  <c r="B3" i="2" a="1"/>
  <c r="B4" i="2" a="1"/>
  <c r="B12" i="2" a="1"/>
  <c r="B20" i="2" a="1"/>
  <c r="B28" i="2" a="1"/>
  <c r="B36" i="2" a="1"/>
  <c r="B44" i="2" a="1"/>
  <c r="B21" i="2" a="1"/>
  <c r="B29" i="2" a="1"/>
  <c r="B37" i="2" a="1"/>
  <c r="B14" i="2" a="1"/>
  <c r="B30" i="2" a="1"/>
  <c r="B46" i="2" a="1"/>
  <c r="B39" i="2" a="1"/>
  <c r="B40" i="2" a="1"/>
  <c r="B22" i="2" a="1"/>
  <c r="B23" i="2" a="1"/>
  <c r="B47" i="2" a="1"/>
  <c r="B24" i="2" a="1"/>
  <c r="B5" i="2" a="1"/>
  <c r="B13" i="2" a="1"/>
  <c r="B45" i="2" a="1"/>
  <c r="B38" i="2" a="1"/>
  <c r="B15" i="2" a="1"/>
  <c r="B32" i="2" a="1"/>
  <c r="B6" i="2" a="1"/>
  <c r="B7" i="2" a="1"/>
  <c r="B8" i="2" a="1"/>
  <c r="B17" i="2" a="1"/>
  <c r="B33" i="2" a="1"/>
  <c r="B41" i="2" a="1"/>
  <c r="B49" i="2" a="1"/>
  <c r="B18" i="2" a="1"/>
  <c r="B26" i="2" a="1"/>
  <c r="B34" i="2" a="1"/>
  <c r="B42" i="2" a="1"/>
  <c r="B50" i="2" a="1"/>
  <c r="B11" i="2" a="1"/>
  <c r="B27" i="2" a="1"/>
  <c r="B35" i="2" a="1"/>
  <c r="B43" i="2" a="1"/>
  <c r="B51" i="2" a="1"/>
  <c r="B31" i="2" a="1"/>
  <c r="B16" i="2" a="1"/>
  <c r="B48" i="2" a="1"/>
  <c r="B9" i="2" a="1"/>
  <c r="B25" i="2" a="1"/>
  <c r="B19" i="2" a="1"/>
  <c r="B10" i="2" a="1"/>
  <c r="C16" i="2" a="1"/>
  <c r="C17" i="2" a="1"/>
  <c r="C26" i="2" a="1"/>
  <c r="C24" i="2" a="1"/>
  <c r="C18" i="2" a="1"/>
  <c r="C25" i="2" a="1"/>
  <c r="C19" i="2" a="1"/>
  <c r="C27" i="2" a="1"/>
  <c r="C20" i="2" a="1"/>
  <c r="C21" i="2" a="1"/>
  <c r="C23" i="2" a="1"/>
  <c r="C22" i="2" a="1"/>
  <c r="C15" i="2" a="1"/>
  <c r="P36" i="2" l="1"/>
  <c r="P5" i="2"/>
  <c r="P15" i="2"/>
  <c r="AC13" i="2"/>
  <c r="AC21" i="2"/>
  <c r="P46" i="2"/>
  <c r="P40" i="2"/>
  <c r="AC16" i="2"/>
  <c r="P10" i="2"/>
  <c r="P41" i="2"/>
  <c r="P50" i="2"/>
  <c r="AC25" i="2"/>
  <c r="P11" i="2"/>
  <c r="P29" i="2"/>
  <c r="P22" i="2"/>
  <c r="P43" i="2"/>
  <c r="P44" i="2"/>
  <c r="P23" i="2"/>
  <c r="P45" i="2"/>
  <c r="P8" i="2"/>
  <c r="P25" i="2"/>
  <c r="P2" i="2"/>
  <c r="P9" i="2"/>
  <c r="P32" i="2"/>
  <c r="P17" i="2"/>
  <c r="P49" i="2"/>
  <c r="P3" i="2"/>
  <c r="P19" i="2"/>
  <c r="P33" i="2"/>
  <c r="P51" i="2"/>
  <c r="P34" i="2"/>
  <c r="C41" i="2"/>
  <c r="C47" i="2"/>
  <c r="C49" i="2"/>
  <c r="C42" i="2"/>
  <c r="C46" i="2"/>
  <c r="C48" i="2"/>
  <c r="C50" i="2"/>
  <c r="C45" i="2"/>
  <c r="C43" i="2"/>
  <c r="C51" i="2"/>
  <c r="C44" i="2"/>
  <c r="C32" i="2"/>
  <c r="C37" i="2"/>
  <c r="C39" i="2"/>
  <c r="C40" i="2"/>
  <c r="C33" i="2"/>
  <c r="C34" i="2"/>
  <c r="C35" i="2"/>
  <c r="C29" i="2"/>
  <c r="C28" i="2"/>
  <c r="C36" i="2"/>
  <c r="C30" i="2"/>
  <c r="C38" i="2"/>
  <c r="C31" i="2"/>
  <c r="C9" i="2"/>
  <c r="C8" i="2"/>
  <c r="C10" i="2"/>
  <c r="C7" i="2"/>
  <c r="C11" i="2"/>
  <c r="C3" i="2"/>
  <c r="C4" i="2"/>
  <c r="C12" i="2"/>
  <c r="C13" i="2"/>
  <c r="C5" i="2"/>
  <c r="C14" i="2"/>
  <c r="C6" i="2"/>
  <c r="B10" i="2"/>
  <c r="D10" i="2" s="1"/>
  <c r="B19" i="2"/>
  <c r="D19" i="2" s="1"/>
  <c r="B25" i="2"/>
  <c r="B9" i="2"/>
  <c r="D9" i="2" s="1"/>
  <c r="B48" i="2"/>
  <c r="B16" i="2"/>
  <c r="B31" i="2"/>
  <c r="B51" i="2"/>
  <c r="D51" i="2" s="1"/>
  <c r="B43" i="2"/>
  <c r="D43" i="2" s="1"/>
  <c r="B35" i="2"/>
  <c r="D35" i="2" s="1"/>
  <c r="B27" i="2"/>
  <c r="D27" i="2" s="1"/>
  <c r="B11" i="2"/>
  <c r="D11" i="2" s="1"/>
  <c r="B50" i="2"/>
  <c r="D50" i="2" s="1"/>
  <c r="B42" i="2"/>
  <c r="B34" i="2"/>
  <c r="B26" i="2"/>
  <c r="B18" i="2"/>
  <c r="D18" i="2" s="1"/>
  <c r="B49" i="2"/>
  <c r="D49" i="2" s="1"/>
  <c r="B41" i="2"/>
  <c r="B33" i="2"/>
  <c r="B17" i="2"/>
  <c r="B8" i="2"/>
  <c r="D8" i="2" s="1"/>
  <c r="B7" i="2"/>
  <c r="B6" i="2"/>
  <c r="D6" i="2" s="1"/>
  <c r="B32" i="2"/>
  <c r="D32" i="2" s="1"/>
  <c r="B15" i="2"/>
  <c r="D15" i="2" s="1"/>
  <c r="B38" i="2"/>
  <c r="D38" i="2" s="1"/>
  <c r="B45" i="2"/>
  <c r="D45" i="2" s="1"/>
  <c r="B13" i="2"/>
  <c r="D13" i="2" s="1"/>
  <c r="B5" i="2"/>
  <c r="D5" i="2" s="1"/>
  <c r="B24" i="2"/>
  <c r="B47" i="2"/>
  <c r="D47" i="2" s="1"/>
  <c r="B23" i="2"/>
  <c r="D23" i="2" s="1"/>
  <c r="B22" i="2"/>
  <c r="B40" i="2"/>
  <c r="B39" i="2"/>
  <c r="B46" i="2"/>
  <c r="B30" i="2"/>
  <c r="B14" i="2"/>
  <c r="D14" i="2" s="1"/>
  <c r="B37" i="2"/>
  <c r="B29" i="2"/>
  <c r="D29" i="2" s="1"/>
  <c r="B21" i="2"/>
  <c r="D21" i="2" s="1"/>
  <c r="B44" i="2"/>
  <c r="D44" i="2" s="1"/>
  <c r="B36" i="2"/>
  <c r="D36" i="2" s="1"/>
  <c r="B28" i="2"/>
  <c r="D28" i="2" s="1"/>
  <c r="B20" i="2"/>
  <c r="D20" i="2" s="1"/>
  <c r="B12" i="2"/>
  <c r="B4" i="2"/>
  <c r="D4" i="2" s="1"/>
  <c r="B3" i="2"/>
  <c r="D3" i="2" s="1"/>
  <c r="C22" i="2"/>
  <c r="C23" i="2"/>
  <c r="C21" i="2"/>
  <c r="C20" i="2"/>
  <c r="C27" i="2"/>
  <c r="C19" i="2"/>
  <c r="C25" i="2"/>
  <c r="C18" i="2"/>
  <c r="C24" i="2"/>
  <c r="C26" i="2"/>
  <c r="C17" i="2"/>
  <c r="C16" i="2"/>
  <c r="C15" i="2"/>
  <c r="D7" i="2" l="1"/>
  <c r="D31" i="2"/>
  <c r="D30" i="2"/>
  <c r="D16" i="2"/>
  <c r="D46" i="2"/>
  <c r="D17" i="2"/>
  <c r="D48" i="2"/>
  <c r="D33" i="2"/>
  <c r="D37" i="2"/>
  <c r="D39" i="2"/>
  <c r="D40" i="2"/>
  <c r="D41" i="2"/>
  <c r="D25" i="2"/>
  <c r="D22" i="2"/>
  <c r="D26" i="2"/>
  <c r="D12" i="2"/>
  <c r="D24" i="2"/>
  <c r="D34" i="2"/>
  <c r="D4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<sst xmlns="http://schemas.openxmlformats.org/spreadsheetml/2006/main" count="85" uniqueCount="76">
  <si>
    <t>Claudio Palmeri N° 2062671</t>
  </si>
  <si>
    <t>Report 3</t>
  </si>
  <si>
    <t>1) Binomial Model</t>
  </si>
  <si>
    <t>We will use as a set of parameters for our option the following:</t>
  </si>
  <si>
    <t>Firstly we need to calculate the factors:</t>
  </si>
  <si>
    <t>d1=(ln(S/K)+T(r+0.5vol^2))/(vol*sqrt(T))</t>
  </si>
  <si>
    <t>d2=d1-vol*sqrt(T)</t>
  </si>
  <si>
    <t>2) Black–Scholes model</t>
  </si>
  <si>
    <t>3) Leisen-Reimer Model</t>
  </si>
  <si>
    <t>p=h^-1(d2)</t>
  </si>
  <si>
    <t>p'=h^-1(d1)</t>
  </si>
  <si>
    <t>q=p</t>
  </si>
  <si>
    <t>u=e^(r*dt)*(p'/p)</t>
  </si>
  <si>
    <t>d=e^(r*dt)*((1-p')/(1-p))</t>
  </si>
  <si>
    <t>Conclusion:</t>
  </si>
  <si>
    <t>n</t>
  </si>
  <si>
    <t>Error</t>
  </si>
  <si>
    <t>Binomial Model</t>
  </si>
  <si>
    <t>B-S Model</t>
  </si>
  <si>
    <t>Leisen-Reimer model</t>
  </si>
  <si>
    <t>Error Binomial</t>
  </si>
  <si>
    <t>Error Leisen-Reimer</t>
  </si>
  <si>
    <t>1</t>
  </si>
  <si>
    <t>9</t>
  </si>
  <si>
    <t>19</t>
  </si>
  <si>
    <t>29</t>
  </si>
  <si>
    <t>39</t>
  </si>
  <si>
    <t>49</t>
  </si>
  <si>
    <t>The objective of this report is to investigate 3 different pricing models:</t>
  </si>
  <si>
    <r>
      <t xml:space="preserve">In order to do so we will compute the </t>
    </r>
    <r>
      <rPr>
        <b/>
        <sz val="11"/>
        <color theme="1"/>
        <rFont val="Calibri"/>
        <family val="2"/>
        <scheme val="minor"/>
      </rPr>
      <t>price of a call option</t>
    </r>
    <r>
      <rPr>
        <sz val="11"/>
        <color theme="1"/>
        <rFont val="Calibri"/>
        <family val="2"/>
        <scheme val="minor"/>
      </rPr>
      <t xml:space="preserve"> using them.</t>
    </r>
  </si>
  <si>
    <r>
      <rPr>
        <b/>
        <sz val="11"/>
        <color theme="1"/>
        <rFont val="Calibri"/>
        <family val="2"/>
        <scheme val="minor"/>
      </rPr>
      <t>Underlying price S</t>
    </r>
    <r>
      <rPr>
        <sz val="11"/>
        <color theme="1"/>
        <rFont val="Calibri"/>
        <family val="2"/>
        <scheme val="minor"/>
      </rPr>
      <t>=100+5.3=105.3 $</t>
    </r>
  </si>
  <si>
    <r>
      <rPr>
        <b/>
        <sz val="11"/>
        <color theme="1"/>
        <rFont val="Calibri"/>
        <family val="2"/>
        <scheme val="minor"/>
      </rPr>
      <t>Interest rate r</t>
    </r>
    <r>
      <rPr>
        <sz val="11"/>
        <color theme="1"/>
        <rFont val="Calibri"/>
        <family val="2"/>
        <scheme val="minor"/>
      </rPr>
      <t>=0.01-0.0003=0.0097=0.97%</t>
    </r>
  </si>
  <si>
    <r>
      <rPr>
        <b/>
        <sz val="11"/>
        <color theme="1"/>
        <rFont val="Calibri"/>
        <family val="2"/>
        <scheme val="minor"/>
      </rPr>
      <t>Time period T</t>
    </r>
    <r>
      <rPr>
        <sz val="11"/>
        <color theme="1"/>
        <rFont val="Calibri"/>
        <family val="2"/>
        <scheme val="minor"/>
      </rPr>
      <t>=1 year</t>
    </r>
  </si>
  <si>
    <r>
      <rPr>
        <b/>
        <sz val="11"/>
        <color theme="1"/>
        <rFont val="Calibri"/>
        <family val="2"/>
        <scheme val="minor"/>
      </rPr>
      <t>Strike price K</t>
    </r>
    <r>
      <rPr>
        <sz val="11"/>
        <color theme="1"/>
        <rFont val="Calibri"/>
        <family val="2"/>
        <scheme val="minor"/>
      </rPr>
      <t>=100+4.7=104.7 $</t>
    </r>
  </si>
  <si>
    <r>
      <rPr>
        <b/>
        <sz val="11"/>
        <color theme="1"/>
        <rFont val="Calibri"/>
        <family val="2"/>
        <scheme val="minor"/>
      </rPr>
      <t>Volatility vol</t>
    </r>
    <r>
      <rPr>
        <sz val="11"/>
        <color theme="1"/>
        <rFont val="Calibri"/>
        <family val="2"/>
        <scheme val="minor"/>
      </rPr>
      <t>=0.2-0.008=0.192=19.2%</t>
    </r>
  </si>
  <si>
    <r>
      <t xml:space="preserve">(I added a </t>
    </r>
    <r>
      <rPr>
        <b/>
        <sz val="11"/>
        <color theme="1"/>
        <rFont val="Calibri"/>
        <family val="2"/>
        <scheme val="minor"/>
      </rPr>
      <t>randomly choosen value</t>
    </r>
    <r>
      <rPr>
        <sz val="11"/>
        <color theme="1"/>
        <rFont val="Calibri"/>
        <family val="2"/>
        <scheme val="minor"/>
      </rPr>
      <t xml:space="preserve">, more or less </t>
    </r>
    <r>
      <rPr>
        <b/>
        <sz val="11"/>
        <color theme="1"/>
        <rFont val="Calibri"/>
        <family val="2"/>
        <scheme val="minor"/>
      </rPr>
      <t>smaller by 2 orders of magnitude</t>
    </r>
    <r>
      <rPr>
        <sz val="11"/>
        <color theme="1"/>
        <rFont val="Calibri"/>
        <family val="2"/>
        <scheme val="minor"/>
      </rPr>
      <t xml:space="preserve">, to the ones that </t>
    </r>
  </si>
  <si>
    <r>
      <t xml:space="preserve">were given in the instruction of the report in order to have a </t>
    </r>
    <r>
      <rPr>
        <b/>
        <sz val="11"/>
        <color theme="1"/>
        <rFont val="Calibri"/>
        <family val="2"/>
        <scheme val="minor"/>
      </rPr>
      <t>unique</t>
    </r>
    <r>
      <rPr>
        <sz val="11"/>
        <color theme="1"/>
        <rFont val="Calibri"/>
        <family val="2"/>
        <scheme val="minor"/>
      </rPr>
      <t xml:space="preserve"> set of parameters)</t>
    </r>
  </si>
  <si>
    <r>
      <t xml:space="preserve">I can now write a </t>
    </r>
    <r>
      <rPr>
        <b/>
        <sz val="11"/>
        <color theme="1"/>
        <rFont val="Calibri"/>
        <family val="2"/>
        <scheme val="minor"/>
      </rPr>
      <t>VBA script</t>
    </r>
    <r>
      <rPr>
        <sz val="11"/>
        <color theme="1"/>
        <rFont val="Calibri"/>
        <family val="2"/>
        <scheme val="minor"/>
      </rPr>
      <t xml:space="preserve"> for each of the 3 models that will take as </t>
    </r>
    <r>
      <rPr>
        <b/>
        <sz val="11"/>
        <color theme="1"/>
        <rFont val="Calibri"/>
        <family val="2"/>
        <scheme val="minor"/>
      </rPr>
      <t>inputs</t>
    </r>
    <r>
      <rPr>
        <sz val="11"/>
        <color theme="1"/>
        <rFont val="Calibri"/>
        <family val="2"/>
        <scheme val="minor"/>
      </rPr>
      <t xml:space="preserve"> the aformentioned </t>
    </r>
    <r>
      <rPr>
        <b/>
        <sz val="11"/>
        <color theme="1"/>
        <rFont val="Calibri"/>
        <family val="2"/>
        <scheme val="minor"/>
      </rPr>
      <t>parameters</t>
    </r>
  </si>
  <si>
    <r>
      <t xml:space="preserve">and the </t>
    </r>
    <r>
      <rPr>
        <b/>
        <sz val="11"/>
        <color theme="1"/>
        <rFont val="Calibri"/>
        <family val="2"/>
        <scheme val="minor"/>
      </rPr>
      <t>number of steps n</t>
    </r>
    <r>
      <rPr>
        <sz val="11"/>
        <color theme="1"/>
        <rFont val="Calibri"/>
        <family val="2"/>
        <scheme val="minor"/>
      </rPr>
      <t xml:space="preserve"> for the </t>
    </r>
    <r>
      <rPr>
        <b/>
        <sz val="11"/>
        <color theme="1"/>
        <rFont val="Calibri"/>
        <family val="2"/>
        <scheme val="minor"/>
      </rPr>
      <t>models 1)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3)</t>
    </r>
  </si>
  <si>
    <t>Models descriptions:</t>
  </si>
  <si>
    <r>
      <t xml:space="preserve">The </t>
    </r>
    <r>
      <rPr>
        <b/>
        <sz val="11"/>
        <color theme="1"/>
        <rFont val="Calibri"/>
        <family val="2"/>
        <scheme val="minor"/>
      </rPr>
      <t>binomial model</t>
    </r>
    <r>
      <rPr>
        <sz val="11"/>
        <color theme="1"/>
        <rFont val="Calibri"/>
        <family val="2"/>
        <scheme val="minor"/>
      </rPr>
      <t xml:space="preserve"> operates in </t>
    </r>
    <r>
      <rPr>
        <b/>
        <sz val="11"/>
        <color theme="1"/>
        <rFont val="Calibri"/>
        <family val="2"/>
        <scheme val="minor"/>
      </rPr>
      <t>discrete time</t>
    </r>
    <r>
      <rPr>
        <sz val="11"/>
        <color theme="1"/>
        <rFont val="Calibri"/>
        <family val="2"/>
        <scheme val="minor"/>
      </rPr>
      <t>.</t>
    </r>
  </si>
  <si>
    <r>
      <t xml:space="preserve">The </t>
    </r>
    <r>
      <rPr>
        <b/>
        <sz val="11"/>
        <color theme="1"/>
        <rFont val="Calibri"/>
        <family val="2"/>
        <scheme val="minor"/>
      </rPr>
      <t>smallest possible time step</t>
    </r>
    <r>
      <rPr>
        <sz val="11"/>
        <color theme="1"/>
        <rFont val="Calibri"/>
        <family val="2"/>
        <scheme val="minor"/>
      </rPr>
      <t xml:space="preserve"> is given by </t>
    </r>
    <r>
      <rPr>
        <b/>
        <sz val="11"/>
        <color theme="1"/>
        <rFont val="Calibri"/>
        <family val="2"/>
        <scheme val="minor"/>
      </rPr>
      <t>dt=T/n</t>
    </r>
    <r>
      <rPr>
        <sz val="11"/>
        <color theme="1"/>
        <rFont val="Calibri"/>
        <family val="2"/>
        <scheme val="minor"/>
      </rPr>
      <t xml:space="preserve"> and we assume that the </t>
    </r>
    <r>
      <rPr>
        <b/>
        <sz val="11"/>
        <color theme="1"/>
        <rFont val="Calibri"/>
        <family val="2"/>
        <scheme val="minor"/>
      </rPr>
      <t>price of our underlying</t>
    </r>
  </si>
  <si>
    <r>
      <t xml:space="preserve">can go either </t>
    </r>
    <r>
      <rPr>
        <b/>
        <sz val="11"/>
        <color theme="1"/>
        <rFont val="Calibri"/>
        <family val="2"/>
        <scheme val="minor"/>
      </rPr>
      <t>up or down</t>
    </r>
    <r>
      <rPr>
        <sz val="11"/>
        <color theme="1"/>
        <rFont val="Calibri"/>
        <family val="2"/>
        <scheme val="minor"/>
      </rPr>
      <t xml:space="preserve"> at each </t>
    </r>
    <r>
      <rPr>
        <b/>
        <sz val="11"/>
        <color theme="1"/>
        <rFont val="Calibri"/>
        <family val="2"/>
        <scheme val="minor"/>
      </rPr>
      <t>time step</t>
    </r>
    <r>
      <rPr>
        <sz val="11"/>
        <color theme="1"/>
        <rFont val="Calibri"/>
        <family val="2"/>
        <scheme val="minor"/>
      </rPr>
      <t xml:space="preserve"> by a factor </t>
    </r>
    <r>
      <rPr>
        <b/>
        <sz val="11"/>
        <color theme="1"/>
        <rFont val="Calibri"/>
        <family val="2"/>
        <scheme val="minor"/>
      </rPr>
      <t>u=e^(vol*sqrt(dt))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d=1/u</t>
    </r>
    <r>
      <rPr>
        <sz val="11"/>
        <color theme="1"/>
        <rFont val="Calibri"/>
        <family val="2"/>
        <scheme val="minor"/>
      </rPr>
      <t>.</t>
    </r>
  </si>
  <si>
    <r>
      <t xml:space="preserve">The probability </t>
    </r>
    <r>
      <rPr>
        <b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price</t>
    </r>
    <r>
      <rPr>
        <sz val="11"/>
        <color theme="1"/>
        <rFont val="Calibri"/>
        <family val="2"/>
        <scheme val="minor"/>
      </rPr>
      <t xml:space="preserve"> of our asset to </t>
    </r>
    <r>
      <rPr>
        <b/>
        <sz val="11"/>
        <color theme="1"/>
        <rFont val="Calibri"/>
        <family val="2"/>
        <scheme val="minor"/>
      </rPr>
      <t>go up</t>
    </r>
    <r>
      <rPr>
        <sz val="11"/>
        <color theme="1"/>
        <rFont val="Calibri"/>
        <family val="2"/>
        <scheme val="minor"/>
      </rPr>
      <t xml:space="preserve"> is given by </t>
    </r>
    <r>
      <rPr>
        <b/>
        <sz val="11"/>
        <color theme="1"/>
        <rFont val="Calibri"/>
        <family val="2"/>
        <scheme val="minor"/>
      </rPr>
      <t>q=(e^(r*dt)-d)/(u-d)</t>
    </r>
    <r>
      <rPr>
        <sz val="11"/>
        <color theme="1"/>
        <rFont val="Calibri"/>
        <family val="2"/>
        <scheme val="minor"/>
      </rPr>
      <t>.</t>
    </r>
  </si>
  <si>
    <r>
      <t xml:space="preserve">Thus there are </t>
    </r>
    <r>
      <rPr>
        <b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possible </t>
    </r>
    <r>
      <rPr>
        <b/>
        <sz val="11"/>
        <color theme="1"/>
        <rFont val="Calibri"/>
        <family val="2"/>
        <scheme val="minor"/>
      </rPr>
      <t>price values</t>
    </r>
    <r>
      <rPr>
        <sz val="11"/>
        <color theme="1"/>
        <rFont val="Calibri"/>
        <family val="2"/>
        <scheme val="minor"/>
      </rPr>
      <t xml:space="preserve"> at the end given by S</t>
    </r>
    <r>
      <rPr>
        <b/>
        <sz val="11"/>
        <color theme="1"/>
        <rFont val="Calibri"/>
        <family val="2"/>
        <scheme val="minor"/>
      </rPr>
      <t>*u^j*d^(n-j)</t>
    </r>
    <r>
      <rPr>
        <sz val="11"/>
        <color theme="1"/>
        <rFont val="Calibri"/>
        <family val="2"/>
        <scheme val="minor"/>
      </rPr>
      <t xml:space="preserve"> where </t>
    </r>
    <r>
      <rPr>
        <b/>
        <sz val="11"/>
        <color theme="1"/>
        <rFont val="Calibri"/>
        <family val="2"/>
        <scheme val="minor"/>
      </rPr>
      <t>j=0,…,n</t>
    </r>
    <r>
      <rPr>
        <sz val="11"/>
        <color theme="1"/>
        <rFont val="Calibri"/>
        <family val="2"/>
        <scheme val="minor"/>
      </rPr>
      <t>.</t>
    </r>
  </si>
  <si>
    <r>
      <t>In order to c</t>
    </r>
    <r>
      <rPr>
        <b/>
        <sz val="11"/>
        <color theme="1"/>
        <rFont val="Calibri"/>
        <family val="2"/>
        <scheme val="minor"/>
      </rPr>
      <t>ompute the price</t>
    </r>
    <r>
      <rPr>
        <sz val="11"/>
        <color theme="1"/>
        <rFont val="Calibri"/>
        <family val="2"/>
        <scheme val="minor"/>
      </rPr>
      <t xml:space="preserve"> of an option call we need to</t>
    </r>
    <r>
      <rPr>
        <b/>
        <sz val="11"/>
        <color theme="1"/>
        <rFont val="Calibri"/>
        <family val="2"/>
        <scheme val="minor"/>
      </rPr>
      <t xml:space="preserve"> actualize the expected value</t>
    </r>
    <r>
      <rPr>
        <sz val="11"/>
        <color theme="1"/>
        <rFont val="Calibri"/>
        <family val="2"/>
        <scheme val="minor"/>
      </rPr>
      <t xml:space="preserve"> of our </t>
    </r>
    <r>
      <rPr>
        <b/>
        <sz val="11"/>
        <color theme="1"/>
        <rFont val="Calibri"/>
        <family val="2"/>
        <scheme val="minor"/>
      </rPr>
      <t xml:space="preserve">payoff </t>
    </r>
  </si>
  <si>
    <r>
      <t xml:space="preserve">which in our case is the </t>
    </r>
    <r>
      <rPr>
        <b/>
        <sz val="11"/>
        <color theme="1"/>
        <rFont val="Calibri"/>
        <family val="2"/>
        <scheme val="minor"/>
      </rPr>
      <t>positive part of the final price minus the strike price</t>
    </r>
    <r>
      <rPr>
        <sz val="11"/>
        <color theme="1"/>
        <rFont val="Calibri"/>
        <family val="2"/>
        <scheme val="minor"/>
      </rPr>
      <t>.</t>
    </r>
  </si>
  <si>
    <r>
      <t xml:space="preserve">I decided to compute the option prices </t>
    </r>
    <r>
      <rPr>
        <b/>
        <sz val="11"/>
        <color theme="1"/>
        <rFont val="Calibri"/>
        <family val="2"/>
        <scheme val="minor"/>
      </rPr>
      <t>recursively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from time step n to time step 0</t>
    </r>
    <r>
      <rPr>
        <sz val="11"/>
        <color theme="1"/>
        <rFont val="Calibri"/>
        <family val="2"/>
        <scheme val="minor"/>
      </rPr>
      <t>.</t>
    </r>
  </si>
  <si>
    <r>
      <t xml:space="preserve">At </t>
    </r>
    <r>
      <rPr>
        <b/>
        <sz val="11"/>
        <color theme="1"/>
        <rFont val="Calibri"/>
        <family val="2"/>
        <scheme val="minor"/>
      </rPr>
      <t>time step n</t>
    </r>
    <r>
      <rPr>
        <sz val="11"/>
        <color theme="1"/>
        <rFont val="Calibri"/>
        <family val="2"/>
        <scheme val="minor"/>
      </rPr>
      <t xml:space="preserve"> the option </t>
    </r>
    <r>
      <rPr>
        <b/>
        <sz val="11"/>
        <color theme="1"/>
        <rFont val="Calibri"/>
        <family val="2"/>
        <scheme val="minor"/>
      </rPr>
      <t>price</t>
    </r>
    <r>
      <rPr>
        <sz val="11"/>
        <color theme="1"/>
        <rFont val="Calibri"/>
        <family val="2"/>
        <scheme val="minor"/>
      </rPr>
      <t xml:space="preserve"> is the corresponding</t>
    </r>
    <r>
      <rPr>
        <b/>
        <sz val="11"/>
        <color theme="1"/>
        <rFont val="Calibri"/>
        <family val="2"/>
        <scheme val="minor"/>
      </rPr>
      <t xml:space="preserve"> payoff</t>
    </r>
    <r>
      <rPr>
        <sz val="11"/>
        <color theme="1"/>
        <rFont val="Calibri"/>
        <family val="2"/>
        <scheme val="minor"/>
      </rPr>
      <t xml:space="preserve">, then in order to compute the prices </t>
    </r>
  </si>
  <si>
    <r>
      <t xml:space="preserve">at </t>
    </r>
    <r>
      <rPr>
        <b/>
        <sz val="11"/>
        <color theme="1"/>
        <rFont val="Calibri"/>
        <family val="2"/>
        <scheme val="minor"/>
      </rPr>
      <t>time step i</t>
    </r>
    <r>
      <rPr>
        <sz val="11"/>
        <color theme="1"/>
        <rFont val="Calibri"/>
        <family val="2"/>
        <scheme val="minor"/>
      </rPr>
      <t xml:space="preserve"> we calculate </t>
    </r>
    <r>
      <rPr>
        <b/>
        <sz val="11"/>
        <color theme="1"/>
        <rFont val="Calibri"/>
        <family val="2"/>
        <scheme val="minor"/>
      </rPr>
      <t>e^(-r*dt)*(q*a+(1-q)*b)</t>
    </r>
    <r>
      <rPr>
        <sz val="11"/>
        <color theme="1"/>
        <rFont val="Calibri"/>
        <family val="2"/>
        <scheme val="minor"/>
      </rPr>
      <t xml:space="preserve"> where </t>
    </r>
    <r>
      <rPr>
        <b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are the </t>
    </r>
    <r>
      <rPr>
        <b/>
        <sz val="11"/>
        <color theme="1"/>
        <rFont val="Calibri"/>
        <family val="2"/>
        <scheme val="minor"/>
      </rPr>
      <t>prices</t>
    </r>
    <r>
      <rPr>
        <sz val="11"/>
        <color theme="1"/>
        <rFont val="Calibri"/>
        <family val="2"/>
        <scheme val="minor"/>
      </rPr>
      <t xml:space="preserve"> of our </t>
    </r>
    <r>
      <rPr>
        <b/>
        <sz val="11"/>
        <color theme="1"/>
        <rFont val="Calibri"/>
        <family val="2"/>
        <scheme val="minor"/>
      </rPr>
      <t>option</t>
    </r>
    <r>
      <rPr>
        <sz val="11"/>
        <color theme="1"/>
        <rFont val="Calibri"/>
        <family val="2"/>
        <scheme val="minor"/>
      </rPr>
      <t xml:space="preserve"> at </t>
    </r>
    <r>
      <rPr>
        <b/>
        <sz val="11"/>
        <color theme="1"/>
        <rFont val="Calibri"/>
        <family val="2"/>
        <scheme val="minor"/>
      </rPr>
      <t>time i+1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</si>
  <si>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if it </t>
    </r>
    <r>
      <rPr>
        <b/>
        <sz val="11"/>
        <color theme="1"/>
        <rFont val="Calibri"/>
        <family val="2"/>
        <scheme val="minor"/>
      </rPr>
      <t>respectively</t>
    </r>
    <r>
      <rPr>
        <sz val="11"/>
        <color theme="1"/>
        <rFont val="Calibri"/>
        <family val="2"/>
        <scheme val="minor"/>
      </rPr>
      <t xml:space="preserve"> went </t>
    </r>
    <r>
      <rPr>
        <b/>
        <sz val="11"/>
        <color theme="1"/>
        <rFont val="Calibri"/>
        <family val="2"/>
        <scheme val="minor"/>
      </rPr>
      <t>up or down</t>
    </r>
    <r>
      <rPr>
        <sz val="11"/>
        <color theme="1"/>
        <rFont val="Calibri"/>
        <family val="2"/>
        <scheme val="minor"/>
      </rPr>
      <t>.</t>
    </r>
  </si>
  <si>
    <r>
      <t xml:space="preserve">Continuing to do so </t>
    </r>
    <r>
      <rPr>
        <b/>
        <sz val="11"/>
        <color theme="1"/>
        <rFont val="Calibri"/>
        <family val="2"/>
        <scheme val="minor"/>
      </rPr>
      <t>until n=0</t>
    </r>
    <r>
      <rPr>
        <sz val="11"/>
        <color theme="1"/>
        <rFont val="Calibri"/>
        <family val="2"/>
        <scheme val="minor"/>
      </rPr>
      <t xml:space="preserve"> give us the </t>
    </r>
    <r>
      <rPr>
        <b/>
        <sz val="11"/>
        <color theme="1"/>
        <rFont val="Calibri"/>
        <family val="2"/>
        <scheme val="minor"/>
      </rPr>
      <t>option price at time n=0</t>
    </r>
    <r>
      <rPr>
        <sz val="11"/>
        <color theme="1"/>
        <rFont val="Calibri"/>
        <family val="2"/>
        <scheme val="minor"/>
      </rPr>
      <t>.</t>
    </r>
  </si>
  <si>
    <r>
      <t xml:space="preserve">As </t>
    </r>
    <r>
      <rPr>
        <b/>
        <sz val="11"/>
        <color theme="1"/>
        <rFont val="Calibri"/>
        <family val="2"/>
        <scheme val="minor"/>
      </rPr>
      <t>n goes to infinity</t>
    </r>
    <r>
      <rPr>
        <sz val="11"/>
        <color theme="1"/>
        <rFont val="Calibri"/>
        <family val="2"/>
        <scheme val="minor"/>
      </rPr>
      <t xml:space="preserve">, the </t>
    </r>
    <r>
      <rPr>
        <b/>
        <sz val="11"/>
        <color theme="1"/>
        <rFont val="Calibri"/>
        <family val="2"/>
        <scheme val="minor"/>
      </rPr>
      <t>price converges</t>
    </r>
    <r>
      <rPr>
        <sz val="11"/>
        <color theme="1"/>
        <rFont val="Calibri"/>
        <family val="2"/>
        <scheme val="minor"/>
      </rPr>
      <t xml:space="preserve"> to the </t>
    </r>
    <r>
      <rPr>
        <b/>
        <sz val="11"/>
        <color theme="1"/>
        <rFont val="Calibri"/>
        <family val="2"/>
        <scheme val="minor"/>
      </rPr>
      <t>one</t>
    </r>
    <r>
      <rPr>
        <sz val="11"/>
        <color theme="1"/>
        <rFont val="Calibri"/>
        <family val="2"/>
        <scheme val="minor"/>
      </rPr>
      <t xml:space="preserve"> calculated with the </t>
    </r>
    <r>
      <rPr>
        <b/>
        <sz val="11"/>
        <color theme="1"/>
        <rFont val="Calibri"/>
        <family val="2"/>
        <scheme val="minor"/>
      </rPr>
      <t>Black-Scholes model</t>
    </r>
    <r>
      <rPr>
        <sz val="11"/>
        <color theme="1"/>
        <rFont val="Calibri"/>
        <family val="2"/>
        <scheme val="minor"/>
      </rPr>
      <t>.</t>
    </r>
  </si>
  <si>
    <t>2) Black-Scholes model</t>
  </si>
  <si>
    <r>
      <t xml:space="preserve">The </t>
    </r>
    <r>
      <rPr>
        <b/>
        <sz val="11"/>
        <color theme="1"/>
        <rFont val="Calibri"/>
        <family val="2"/>
        <scheme val="minor"/>
      </rPr>
      <t>Black-Scholes model</t>
    </r>
    <r>
      <rPr>
        <sz val="11"/>
        <color theme="1"/>
        <rFont val="Calibri"/>
        <family val="2"/>
        <scheme val="minor"/>
      </rPr>
      <t xml:space="preserve"> operates in </t>
    </r>
    <r>
      <rPr>
        <b/>
        <sz val="11"/>
        <color theme="1"/>
        <rFont val="Calibri"/>
        <family val="2"/>
        <scheme val="minor"/>
      </rPr>
      <t>continuous time</t>
    </r>
    <r>
      <rPr>
        <sz val="11"/>
        <color theme="1"/>
        <rFont val="Calibri"/>
        <family val="2"/>
        <scheme val="minor"/>
      </rPr>
      <t>.</t>
    </r>
  </si>
  <si>
    <r>
      <t xml:space="preserve">Then the </t>
    </r>
    <r>
      <rPr>
        <b/>
        <sz val="11"/>
        <color theme="1"/>
        <rFont val="Calibri"/>
        <family val="2"/>
        <scheme val="minor"/>
      </rPr>
      <t>price of a call option</t>
    </r>
    <r>
      <rPr>
        <sz val="11"/>
        <color theme="1"/>
        <rFont val="Calibri"/>
        <family val="2"/>
        <scheme val="minor"/>
      </rPr>
      <t xml:space="preserve"> is given by the formula:</t>
    </r>
  </si>
  <si>
    <r>
      <t xml:space="preserve">The </t>
    </r>
    <r>
      <rPr>
        <b/>
        <sz val="11"/>
        <color theme="1"/>
        <rFont val="Calibri"/>
        <family val="2"/>
        <scheme val="minor"/>
      </rPr>
      <t>Leisen-Reimer model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similar</t>
    </r>
    <r>
      <rPr>
        <sz val="11"/>
        <color theme="1"/>
        <rFont val="Calibri"/>
        <family val="2"/>
        <scheme val="minor"/>
      </rPr>
      <t xml:space="preserve"> to the </t>
    </r>
    <r>
      <rPr>
        <b/>
        <sz val="11"/>
        <color theme="1"/>
        <rFont val="Calibri"/>
        <family val="2"/>
        <scheme val="minor"/>
      </rPr>
      <t>Binomial model</t>
    </r>
    <r>
      <rPr>
        <sz val="11"/>
        <color theme="1"/>
        <rFont val="Calibri"/>
        <family val="2"/>
        <scheme val="minor"/>
      </rPr>
      <t>, the only difference between the two</t>
    </r>
  </si>
  <si>
    <r>
      <t xml:space="preserve"> is the </t>
    </r>
    <r>
      <rPr>
        <b/>
        <sz val="11"/>
        <color theme="1"/>
        <rFont val="Calibri"/>
        <family val="2"/>
        <scheme val="minor"/>
      </rPr>
      <t>estimation</t>
    </r>
    <r>
      <rPr>
        <sz val="11"/>
        <color theme="1"/>
        <rFont val="Calibri"/>
        <family val="2"/>
        <scheme val="minor"/>
      </rPr>
      <t xml:space="preserve"> of the parameter </t>
    </r>
    <r>
      <rPr>
        <b/>
        <sz val="11"/>
        <color theme="1"/>
        <rFont val="Calibri"/>
        <family val="2"/>
        <scheme val="minor"/>
      </rPr>
      <t>u,d,q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</si>
  <si>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More precisely</t>
    </r>
    <r>
      <rPr>
        <sz val="11"/>
        <color theme="1"/>
        <rFont val="Calibri"/>
        <family val="2"/>
        <scheme val="minor"/>
      </rPr>
      <t xml:space="preserve"> we have that, </t>
    </r>
    <r>
      <rPr>
        <b/>
        <sz val="11"/>
        <color theme="1"/>
        <rFont val="Calibri"/>
        <family val="2"/>
        <scheme val="minor"/>
      </rPr>
      <t>given d1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d2</t>
    </r>
    <r>
      <rPr>
        <sz val="11"/>
        <color theme="1"/>
        <rFont val="Calibri"/>
        <family val="2"/>
        <scheme val="minor"/>
      </rPr>
      <t xml:space="preserve"> computed as in the </t>
    </r>
    <r>
      <rPr>
        <b/>
        <sz val="11"/>
        <color theme="1"/>
        <rFont val="Calibri"/>
        <family val="2"/>
        <scheme val="minor"/>
      </rPr>
      <t>Black-Scholes model</t>
    </r>
    <r>
      <rPr>
        <sz val="11"/>
        <color theme="1"/>
        <rFont val="Calibri"/>
        <family val="2"/>
        <scheme val="minor"/>
      </rPr>
      <t>:</t>
    </r>
  </si>
  <si>
    <r>
      <t xml:space="preserve">This model was </t>
    </r>
    <r>
      <rPr>
        <b/>
        <sz val="11"/>
        <color theme="1"/>
        <rFont val="Calibri"/>
        <family val="2"/>
        <scheme val="minor"/>
      </rPr>
      <t>created</t>
    </r>
    <r>
      <rPr>
        <sz val="11"/>
        <color theme="1"/>
        <rFont val="Calibri"/>
        <family val="2"/>
        <scheme val="minor"/>
      </rPr>
      <t xml:space="preserve"> in order to have a </t>
    </r>
    <r>
      <rPr>
        <b/>
        <sz val="11"/>
        <color theme="1"/>
        <rFont val="Calibri"/>
        <family val="2"/>
        <scheme val="minor"/>
      </rPr>
      <t>faster convergence</t>
    </r>
    <r>
      <rPr>
        <sz val="11"/>
        <color theme="1"/>
        <rFont val="Calibri"/>
        <family val="2"/>
        <scheme val="minor"/>
      </rPr>
      <t xml:space="preserve"> as </t>
    </r>
    <r>
      <rPr>
        <b/>
        <sz val="11"/>
        <color theme="1"/>
        <rFont val="Calibri"/>
        <family val="2"/>
        <scheme val="minor"/>
      </rPr>
      <t>n goes to infinity</t>
    </r>
    <r>
      <rPr>
        <sz val="11"/>
        <color theme="1"/>
        <rFont val="Calibri"/>
        <family val="2"/>
        <scheme val="minor"/>
      </rPr>
      <t xml:space="preserve"> to the </t>
    </r>
    <r>
      <rPr>
        <b/>
        <sz val="11"/>
        <color theme="1"/>
        <rFont val="Calibri"/>
        <family val="2"/>
        <scheme val="minor"/>
      </rPr>
      <t>Black-Sholes</t>
    </r>
    <r>
      <rPr>
        <sz val="11"/>
        <color theme="1"/>
        <rFont val="Calibri"/>
        <family val="2"/>
        <scheme val="minor"/>
      </rPr>
      <t xml:space="preserve"> </t>
    </r>
  </si>
  <si>
    <r>
      <rPr>
        <b/>
        <sz val="11"/>
        <color theme="1"/>
        <rFont val="Calibri"/>
        <family val="2"/>
        <scheme val="minor"/>
      </rPr>
      <t>formula</t>
    </r>
    <r>
      <rPr>
        <sz val="11"/>
        <color theme="1"/>
        <rFont val="Calibri"/>
        <family val="2"/>
        <scheme val="minor"/>
      </rPr>
      <t xml:space="preserve"> compared to the </t>
    </r>
    <r>
      <rPr>
        <b/>
        <sz val="11"/>
        <color theme="1"/>
        <rFont val="Calibri"/>
        <family val="2"/>
        <scheme val="minor"/>
      </rPr>
      <t>binomial model</t>
    </r>
    <r>
      <rPr>
        <sz val="11"/>
        <color theme="1"/>
        <rFont val="Calibri"/>
        <family val="2"/>
        <scheme val="minor"/>
      </rPr>
      <t>.</t>
    </r>
  </si>
  <si>
    <r>
      <t xml:space="preserve">I can plot here the </t>
    </r>
    <r>
      <rPr>
        <b/>
        <sz val="11"/>
        <color theme="1"/>
        <rFont val="Calibri"/>
        <family val="2"/>
        <scheme val="minor"/>
      </rPr>
      <t>price of the binomial model</t>
    </r>
    <r>
      <rPr>
        <sz val="11"/>
        <color theme="1"/>
        <rFont val="Calibri"/>
        <family val="2"/>
        <scheme val="minor"/>
      </rPr>
      <t xml:space="preserve"> compared to the </t>
    </r>
    <r>
      <rPr>
        <b/>
        <sz val="11"/>
        <color theme="1"/>
        <rFont val="Calibri"/>
        <family val="2"/>
        <scheme val="minor"/>
      </rPr>
      <t>fixed price of the Black-Scholes formula</t>
    </r>
  </si>
  <si>
    <r>
      <t xml:space="preserve">and the corresponding </t>
    </r>
    <r>
      <rPr>
        <b/>
        <sz val="11"/>
        <color theme="1"/>
        <rFont val="Calibri"/>
        <family val="2"/>
        <scheme val="minor"/>
      </rPr>
      <t>absolute error</t>
    </r>
    <r>
      <rPr>
        <sz val="11"/>
        <color theme="1"/>
        <rFont val="Calibri"/>
        <family val="2"/>
        <scheme val="minor"/>
      </rPr>
      <t>:</t>
    </r>
  </si>
  <si>
    <r>
      <t xml:space="preserve">where in the </t>
    </r>
    <r>
      <rPr>
        <b/>
        <sz val="11"/>
        <color theme="1"/>
        <rFont val="Calibri"/>
        <family val="2"/>
        <scheme val="minor"/>
      </rPr>
      <t>x-axis</t>
    </r>
    <r>
      <rPr>
        <sz val="11"/>
        <color theme="1"/>
        <rFont val="Calibri"/>
        <family val="2"/>
        <scheme val="minor"/>
      </rPr>
      <t xml:space="preserve"> corresponds to </t>
    </r>
    <r>
      <rPr>
        <b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in both plots.</t>
    </r>
  </si>
  <si>
    <r>
      <t xml:space="preserve">As we can see as </t>
    </r>
    <r>
      <rPr>
        <b/>
        <sz val="11"/>
        <color theme="1"/>
        <rFont val="Calibri"/>
        <family val="2"/>
        <scheme val="minor"/>
      </rPr>
      <t>n goes to infinity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>price of the binomial model</t>
    </r>
    <r>
      <rPr>
        <sz val="11"/>
        <color theme="1"/>
        <rFont val="Calibri"/>
        <family val="2"/>
        <scheme val="minor"/>
      </rPr>
      <t xml:space="preserve"> converges to the </t>
    </r>
    <r>
      <rPr>
        <b/>
        <sz val="11"/>
        <color theme="1"/>
        <rFont val="Calibri"/>
        <family val="2"/>
        <scheme val="minor"/>
      </rPr>
      <t>one</t>
    </r>
    <r>
      <rPr>
        <sz val="11"/>
        <color theme="1"/>
        <rFont val="Calibri"/>
        <family val="2"/>
        <scheme val="minor"/>
      </rPr>
      <t xml:space="preserve"> given by</t>
    </r>
  </si>
  <si>
    <r>
      <t xml:space="preserve">the </t>
    </r>
    <r>
      <rPr>
        <b/>
        <sz val="11"/>
        <color theme="1"/>
        <rFont val="Calibri"/>
        <family val="2"/>
        <scheme val="minor"/>
      </rPr>
      <t>Black-Scholes formula</t>
    </r>
    <r>
      <rPr>
        <sz val="11"/>
        <color theme="1"/>
        <rFont val="Calibri"/>
        <family val="2"/>
        <scheme val="minor"/>
      </rPr>
      <t>.</t>
    </r>
  </si>
  <si>
    <r>
      <t xml:space="preserve">We can now </t>
    </r>
    <r>
      <rPr>
        <b/>
        <sz val="11"/>
        <color theme="1"/>
        <rFont val="Calibri"/>
        <family val="2"/>
        <scheme val="minor"/>
      </rPr>
      <t>compare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>two plot above</t>
    </r>
    <r>
      <rPr>
        <sz val="11"/>
        <color theme="1"/>
        <rFont val="Calibri"/>
        <family val="2"/>
        <scheme val="minor"/>
      </rPr>
      <t xml:space="preserve"> with the </t>
    </r>
    <r>
      <rPr>
        <b/>
        <sz val="11"/>
        <color theme="1"/>
        <rFont val="Calibri"/>
        <family val="2"/>
        <scheme val="minor"/>
      </rPr>
      <t>corresponding one</t>
    </r>
    <r>
      <rPr>
        <sz val="11"/>
        <color theme="1"/>
        <rFont val="Calibri"/>
        <family val="2"/>
        <scheme val="minor"/>
      </rPr>
      <t xml:space="preserve"> made by the </t>
    </r>
    <r>
      <rPr>
        <b/>
        <sz val="11"/>
        <color theme="1"/>
        <rFont val="Calibri"/>
        <family val="2"/>
        <scheme val="minor"/>
      </rPr>
      <t>Leisen-Reimer model</t>
    </r>
    <r>
      <rPr>
        <sz val="11"/>
        <color theme="1"/>
        <rFont val="Calibri"/>
        <family val="2"/>
        <scheme val="minor"/>
      </rPr>
      <t>:</t>
    </r>
  </si>
  <si>
    <r>
      <t xml:space="preserve">As we can see the </t>
    </r>
    <r>
      <rPr>
        <b/>
        <sz val="11"/>
        <color theme="1"/>
        <rFont val="Calibri"/>
        <family val="2"/>
        <scheme val="minor"/>
      </rPr>
      <t>price</t>
    </r>
    <r>
      <rPr>
        <sz val="11"/>
        <color theme="1"/>
        <rFont val="Calibri"/>
        <family val="2"/>
        <scheme val="minor"/>
      </rPr>
      <t xml:space="preserve"> of the</t>
    </r>
    <r>
      <rPr>
        <b/>
        <sz val="11"/>
        <color theme="1"/>
        <rFont val="Calibri"/>
        <family val="2"/>
        <scheme val="minor"/>
      </rPr>
      <t xml:space="preserve"> Leiner-Reimer model oscillates</t>
    </r>
    <r>
      <rPr>
        <sz val="11"/>
        <color theme="1"/>
        <rFont val="Calibri"/>
        <family val="2"/>
        <scheme val="minor"/>
      </rPr>
      <t xml:space="preserve"> between being </t>
    </r>
    <r>
      <rPr>
        <b/>
        <sz val="11"/>
        <color theme="1"/>
        <rFont val="Calibri"/>
        <family val="2"/>
        <scheme val="minor"/>
      </rPr>
      <t>almost equal</t>
    </r>
    <r>
      <rPr>
        <sz val="11"/>
        <color theme="1"/>
        <rFont val="Calibri"/>
        <family val="2"/>
        <scheme val="minor"/>
      </rPr>
      <t xml:space="preserve"> to the </t>
    </r>
  </si>
  <si>
    <r>
      <rPr>
        <b/>
        <sz val="11"/>
        <color theme="1"/>
        <rFont val="Calibri"/>
        <family val="2"/>
        <scheme val="minor"/>
      </rPr>
      <t>Black-Sholes price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converging to it</t>
    </r>
    <r>
      <rPr>
        <sz val="11"/>
        <color theme="1"/>
        <rFont val="Calibri"/>
        <family val="2"/>
        <scheme val="minor"/>
      </rPr>
      <t xml:space="preserve">. This is because the </t>
    </r>
    <r>
      <rPr>
        <b/>
        <sz val="11"/>
        <color theme="1"/>
        <rFont val="Calibri"/>
        <family val="2"/>
        <scheme val="minor"/>
      </rPr>
      <t>Leiner-Reimer model</t>
    </r>
    <r>
      <rPr>
        <sz val="11"/>
        <color theme="1"/>
        <rFont val="Calibri"/>
        <family val="2"/>
        <scheme val="minor"/>
      </rPr>
      <t xml:space="preserve"> works much </t>
    </r>
    <r>
      <rPr>
        <b/>
        <sz val="11"/>
        <color theme="1"/>
        <rFont val="Calibri"/>
        <family val="2"/>
        <scheme val="minor"/>
      </rPr>
      <t>better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</si>
  <si>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when </t>
    </r>
    <r>
      <rPr>
        <b/>
        <sz val="11"/>
        <color theme="1"/>
        <rFont val="Calibri"/>
        <family val="2"/>
        <scheme val="minor"/>
      </rPr>
      <t>n is an odd number</t>
    </r>
    <r>
      <rPr>
        <sz val="11"/>
        <color theme="1"/>
        <rFont val="Calibri"/>
        <family val="2"/>
        <scheme val="minor"/>
      </rPr>
      <t xml:space="preserve">. By </t>
    </r>
    <r>
      <rPr>
        <b/>
        <sz val="11"/>
        <color theme="1"/>
        <rFont val="Calibri"/>
        <family val="2"/>
        <scheme val="minor"/>
      </rPr>
      <t xml:space="preserve">only plotting them </t>
    </r>
    <r>
      <rPr>
        <sz val="11"/>
        <color theme="1"/>
        <rFont val="Calibri"/>
        <family val="2"/>
        <scheme val="minor"/>
      </rPr>
      <t xml:space="preserve">we get the </t>
    </r>
    <r>
      <rPr>
        <b/>
        <sz val="11"/>
        <color theme="1"/>
        <rFont val="Calibri"/>
        <family val="2"/>
        <scheme val="minor"/>
      </rPr>
      <t>following</t>
    </r>
    <r>
      <rPr>
        <sz val="11"/>
        <color theme="1"/>
        <rFont val="Calibri"/>
        <family val="2"/>
        <scheme val="minor"/>
      </rPr>
      <t xml:space="preserve"> result:</t>
    </r>
  </si>
  <si>
    <r>
      <t xml:space="preserve">We can see, by comparing the </t>
    </r>
    <r>
      <rPr>
        <b/>
        <sz val="11"/>
        <color theme="1"/>
        <rFont val="Calibri"/>
        <family val="2"/>
        <scheme val="minor"/>
      </rPr>
      <t>y-axis of the error plots</t>
    </r>
    <r>
      <rPr>
        <sz val="11"/>
        <color theme="1"/>
        <rFont val="Calibri"/>
        <family val="2"/>
        <scheme val="minor"/>
      </rPr>
      <t>, how the</t>
    </r>
    <r>
      <rPr>
        <b/>
        <sz val="11"/>
        <color theme="1"/>
        <rFont val="Calibri"/>
        <family val="2"/>
        <scheme val="minor"/>
      </rPr>
      <t xml:space="preserve"> Leisen-Reimer model</t>
    </r>
    <r>
      <rPr>
        <sz val="11"/>
        <color theme="1"/>
        <rFont val="Calibri"/>
        <family val="2"/>
        <scheme val="minor"/>
      </rPr>
      <t xml:space="preserve"> with </t>
    </r>
    <r>
      <rPr>
        <b/>
        <sz val="11"/>
        <color theme="1"/>
        <rFont val="Calibri"/>
        <family val="2"/>
        <scheme val="minor"/>
      </rPr>
      <t>odd</t>
    </r>
    <r>
      <rPr>
        <sz val="11"/>
        <color theme="1"/>
        <rFont val="Calibri"/>
        <family val="2"/>
        <scheme val="minor"/>
      </rPr>
      <t xml:space="preserve"> numbers </t>
    </r>
  </si>
  <si>
    <r>
      <t xml:space="preserve">price=S*N(d1)-Ke^(-r*T)*N(d2) </t>
    </r>
    <r>
      <rPr>
        <sz val="11"/>
        <color theme="1"/>
        <rFont val="Calibri"/>
        <family val="2"/>
        <scheme val="minor"/>
      </rPr>
      <t>where</t>
    </r>
    <r>
      <rPr>
        <b/>
        <sz val="11"/>
        <color theme="1"/>
        <rFont val="Calibri"/>
        <family val="2"/>
        <scheme val="minor"/>
      </rPr>
      <t xml:space="preserve"> N(x)=Prob(N(0.1)&lt;=x)</t>
    </r>
  </si>
  <si>
    <r>
      <t xml:space="preserve">where </t>
    </r>
    <r>
      <rPr>
        <b/>
        <sz val="11"/>
        <color theme="1"/>
        <rFont val="Calibri"/>
        <family val="2"/>
        <scheme val="minor"/>
      </rPr>
      <t>h^-1(z)=0.5+(sign(z)/2)*sqrt(1-e^(-(z/(n+1/3+(0.1/n+1)))^2*(n+1/6)))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</si>
  <si>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is the </t>
    </r>
    <r>
      <rPr>
        <b/>
        <sz val="11"/>
        <color theme="1"/>
        <rFont val="Calibri"/>
        <family val="2"/>
        <scheme val="minor"/>
      </rPr>
      <t>Peizer-Pratt inversion function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</si>
  <si>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 xml:space="preserve">converges much faster </t>
    </r>
    <r>
      <rPr>
        <sz val="11"/>
        <color theme="1"/>
        <rFont val="Calibri"/>
        <family val="2"/>
        <scheme val="minor"/>
      </rPr>
      <t xml:space="preserve">than the </t>
    </r>
    <r>
      <rPr>
        <b/>
        <sz val="11"/>
        <color theme="1"/>
        <rFont val="Calibri"/>
        <family val="2"/>
        <scheme val="minor"/>
      </rPr>
      <t>binomial model</t>
    </r>
    <r>
      <rPr>
        <sz val="11"/>
        <color theme="1"/>
        <rFont val="Calibri"/>
        <family val="2"/>
        <scheme val="minor"/>
      </rPr>
      <t xml:space="preserve">. I </t>
    </r>
    <r>
      <rPr>
        <b/>
        <sz val="11"/>
        <color theme="1"/>
        <rFont val="Calibri"/>
        <family val="2"/>
        <scheme val="minor"/>
      </rPr>
      <t>reported</t>
    </r>
    <r>
      <rPr>
        <sz val="11"/>
        <color theme="1"/>
        <rFont val="Calibri"/>
        <family val="2"/>
        <scheme val="minor"/>
      </rPr>
      <t xml:space="preserve"> some </t>
    </r>
    <r>
      <rPr>
        <b/>
        <sz val="11"/>
        <color theme="1"/>
        <rFont val="Calibri"/>
        <family val="2"/>
        <scheme val="minor"/>
      </rPr>
      <t>values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error</t>
    </r>
    <r>
      <rPr>
        <sz val="11"/>
        <color theme="1"/>
        <rFont val="Calibri"/>
        <family val="2"/>
        <scheme val="minor"/>
      </rPr>
      <t xml:space="preserve"> in the table below:</t>
    </r>
  </si>
  <si>
    <r>
      <t xml:space="preserve">n </t>
    </r>
    <r>
      <rPr>
        <sz val="11"/>
        <color theme="1"/>
        <rFont val="Calibri"/>
        <family val="2"/>
        <scheme val="minor"/>
      </rPr>
      <t>(copy)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</si>
</sst>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</a:t>
            </a:r>
            <a:r>
              <a:rPr lang="en-US" baseline="0"/>
              <a:t> Model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Binomial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Sheet2!$B$2:$B$51</c:f>
              <c:numCache>
                <c:formatCode>General</c:formatCode>
                <c:ptCount val="50"/>
                <c:pt idx="0">
                  <c:v>10.821114642736875</c:v>
                </c:pt>
                <c:pt idx="1">
                  <c:v>8.0558537017555665</c:v>
                </c:pt>
                <c:pt idx="2">
                  <c:v>9.4954543420259903</c:v>
                </c:pt>
                <c:pt idx="3">
                  <c:v>8.4495470466938123</c:v>
                </c:pt>
                <c:pt idx="4">
                  <c:v>9.2226481315185058</c:v>
                </c:pt>
                <c:pt idx="5">
                  <c:v>8.586323636529265</c:v>
                </c:pt>
                <c:pt idx="6">
                  <c:v>9.1062455214620339</c:v>
                </c:pt>
                <c:pt idx="7">
                  <c:v>8.6543991095416253</c:v>
                </c:pt>
                <c:pt idx="8">
                  <c:v>9.041871351442003</c:v>
                </c:pt>
                <c:pt idx="9">
                  <c:v>8.6946798699663361</c:v>
                </c:pt>
                <c:pt idx="10">
                  <c:v>9.0010487284047098</c:v>
                </c:pt>
                <c:pt idx="11">
                  <c:v>8.7210920103843179</c:v>
                </c:pt>
                <c:pt idx="12">
                  <c:v>8.9728616215084216</c:v>
                </c:pt>
                <c:pt idx="13">
                  <c:v>8.7396333891988665</c:v>
                </c:pt>
                <c:pt idx="14">
                  <c:v>8.9522333881104856</c:v>
                </c:pt>
                <c:pt idx="15">
                  <c:v>8.7532990116115688</c:v>
                </c:pt>
                <c:pt idx="16">
                  <c:v>8.9364844569395263</c:v>
                </c:pt>
                <c:pt idx="17">
                  <c:v>8.7637457780750747</c:v>
                </c:pt>
                <c:pt idx="18">
                  <c:v>8.9240674351168092</c:v>
                </c:pt>
                <c:pt idx="19">
                  <c:v>8.771962177521738</c:v>
                </c:pt>
                <c:pt idx="20">
                  <c:v>8.9140264652847137</c:v>
                </c:pt>
                <c:pt idx="21">
                  <c:v>8.7785731673228558</c:v>
                </c:pt>
                <c:pt idx="22">
                  <c:v>8.9057392965989468</c:v>
                </c:pt>
                <c:pt idx="23">
                  <c:v>8.7839924977889527</c:v>
                </c:pt>
                <c:pt idx="24">
                  <c:v>8.8987834579854805</c:v>
                </c:pt>
                <c:pt idx="25">
                  <c:v>8.788504556875921</c:v>
                </c:pt>
                <c:pt idx="26">
                  <c:v>8.892862055406388</c:v>
                </c:pt>
                <c:pt idx="27">
                  <c:v>8.7923109971193583</c:v>
                </c:pt>
                <c:pt idx="28">
                  <c:v>8.8877603490067987</c:v>
                </c:pt>
                <c:pt idx="29">
                  <c:v>8.7955586111831554</c:v>
                </c:pt>
                <c:pt idx="30">
                  <c:v>8.8833191799692859</c:v>
                </c:pt>
                <c:pt idx="31">
                  <c:v>8.7983566847908303</c:v>
                </c:pt>
                <c:pt idx="32">
                  <c:v>8.8794180834586598</c:v>
                </c:pt>
                <c:pt idx="33">
                  <c:v>8.8007881775612038</c:v>
                </c:pt>
                <c:pt idx="34">
                  <c:v>8.8759642049951779</c:v>
                </c:pt>
                <c:pt idx="35">
                  <c:v>8.8029171440641409</c:v>
                </c:pt>
                <c:pt idx="36">
                  <c:v>8.8728848197505279</c:v>
                </c:pt>
                <c:pt idx="37">
                  <c:v>8.8047937884219394</c:v>
                </c:pt>
                <c:pt idx="38">
                  <c:v>8.8701221587469821</c:v>
                </c:pt>
                <c:pt idx="39">
                  <c:v>8.8064579862771541</c:v>
                </c:pt>
                <c:pt idx="40">
                  <c:v>8.8676297526314123</c:v>
                </c:pt>
                <c:pt idx="41">
                  <c:v>8.8079417888020917</c:v>
                </c:pt>
                <c:pt idx="42">
                  <c:v>8.8653697979573067</c:v>
                </c:pt>
                <c:pt idx="43">
                  <c:v>8.8092712352988762</c:v>
                </c:pt>
                <c:pt idx="44">
                  <c:v>8.8633112272372845</c:v>
                </c:pt>
                <c:pt idx="45">
                  <c:v>8.8104676866807594</c:v>
                </c:pt>
                <c:pt idx="46">
                  <c:v>8.8614282727381557</c:v>
                </c:pt>
                <c:pt idx="47">
                  <c:v>8.8115488209073654</c:v>
                </c:pt>
                <c:pt idx="48">
                  <c:v>8.8596993826861183</c:v>
                </c:pt>
                <c:pt idx="49">
                  <c:v>8.8125293859840159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B6-49A4-A8FB-46E36B26C10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B-S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Sheet2!$C$2:$C$51</c:f>
              <c:numCache>
                <c:formatCode>General</c:formatCode>
                <c:ptCount val="50"/>
                <c:pt idx="0">
                  <c:v>8.8226930063155411</c:v>
                </c:pt>
                <c:pt idx="1">
                  <c:v>8.8226930063155411</c:v>
                </c:pt>
                <c:pt idx="2">
                  <c:v>8.8226930063155411</c:v>
                </c:pt>
                <c:pt idx="3">
                  <c:v>8.8226930063155411</c:v>
                </c:pt>
                <c:pt idx="4">
                  <c:v>8.8226930063155411</c:v>
                </c:pt>
                <c:pt idx="5">
                  <c:v>8.8226930063155411</c:v>
                </c:pt>
                <c:pt idx="6">
                  <c:v>8.8226930063155411</c:v>
                </c:pt>
                <c:pt idx="7">
                  <c:v>8.8226930063155411</c:v>
                </c:pt>
                <c:pt idx="8">
                  <c:v>8.8226930063155411</c:v>
                </c:pt>
                <c:pt idx="9">
                  <c:v>8.8226930063155411</c:v>
                </c:pt>
                <c:pt idx="10">
                  <c:v>8.8226930063155411</c:v>
                </c:pt>
                <c:pt idx="11">
                  <c:v>8.8226930063155411</c:v>
                </c:pt>
                <c:pt idx="12">
                  <c:v>8.8226930063155411</c:v>
                </c:pt>
                <c:pt idx="13">
                  <c:v>8.8226930063155411</c:v>
                </c:pt>
                <c:pt idx="14">
                  <c:v>8.8226930063155411</c:v>
                </c:pt>
                <c:pt idx="15">
                  <c:v>8.8226930063155411</c:v>
                </c:pt>
                <c:pt idx="16">
                  <c:v>8.8226930063155411</c:v>
                </c:pt>
                <c:pt idx="17">
                  <c:v>8.8226930063155411</c:v>
                </c:pt>
                <c:pt idx="18">
                  <c:v>8.8226930063155411</c:v>
                </c:pt>
                <c:pt idx="19">
                  <c:v>8.8226930063155411</c:v>
                </c:pt>
                <c:pt idx="20">
                  <c:v>8.8226930063155411</c:v>
                </c:pt>
                <c:pt idx="21">
                  <c:v>8.8226930063155411</c:v>
                </c:pt>
                <c:pt idx="22">
                  <c:v>8.8226930063155411</c:v>
                </c:pt>
                <c:pt idx="23">
                  <c:v>8.8226930063155411</c:v>
                </c:pt>
                <c:pt idx="24">
                  <c:v>8.8226930063155411</c:v>
                </c:pt>
                <c:pt idx="25">
                  <c:v>8.8226930063155411</c:v>
                </c:pt>
                <c:pt idx="26">
                  <c:v>8.8226930063155411</c:v>
                </c:pt>
                <c:pt idx="27">
                  <c:v>8.8226930063155411</c:v>
                </c:pt>
                <c:pt idx="28">
                  <c:v>8.8226930063155411</c:v>
                </c:pt>
                <c:pt idx="29">
                  <c:v>8.8226930063155411</c:v>
                </c:pt>
                <c:pt idx="30">
                  <c:v>8.8226930063155411</c:v>
                </c:pt>
                <c:pt idx="31">
                  <c:v>8.8226930063155411</c:v>
                </c:pt>
                <c:pt idx="32">
                  <c:v>8.8226930063155411</c:v>
                </c:pt>
                <c:pt idx="33">
                  <c:v>8.8226930063155411</c:v>
                </c:pt>
                <c:pt idx="34">
                  <c:v>8.8226930063155411</c:v>
                </c:pt>
                <c:pt idx="35">
                  <c:v>8.8226930063155411</c:v>
                </c:pt>
                <c:pt idx="36">
                  <c:v>8.8226930063155411</c:v>
                </c:pt>
                <c:pt idx="37">
                  <c:v>8.8226930063155411</c:v>
                </c:pt>
                <c:pt idx="38">
                  <c:v>8.8226930063155411</c:v>
                </c:pt>
                <c:pt idx="39">
                  <c:v>8.8226930063155411</c:v>
                </c:pt>
                <c:pt idx="40">
                  <c:v>8.8226930063155411</c:v>
                </c:pt>
                <c:pt idx="41">
                  <c:v>8.8226930063155411</c:v>
                </c:pt>
                <c:pt idx="42">
                  <c:v>8.8226930063155411</c:v>
                </c:pt>
                <c:pt idx="43">
                  <c:v>8.8226930063155411</c:v>
                </c:pt>
                <c:pt idx="44">
                  <c:v>8.8226930063155411</c:v>
                </c:pt>
                <c:pt idx="45">
                  <c:v>8.8226930063155411</c:v>
                </c:pt>
                <c:pt idx="46">
                  <c:v>8.8226930063155411</c:v>
                </c:pt>
                <c:pt idx="47">
                  <c:v>8.8226930063155411</c:v>
                </c:pt>
                <c:pt idx="48">
                  <c:v>8.8226930063155411</c:v>
                </c:pt>
                <c:pt idx="49">
                  <c:v>8.8226930063155411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B6-49A4-A8FB-46E36B26C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877584"/>
        <c:axId val="1876879024"/>
      </c:scatterChart>
      <c:valAx>
        <c:axId val="187687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879024"/>
        <c:crosses val="autoZero"/>
        <c:crossBetween val="midCat"/>
      </c:valAx>
      <c:valAx>
        <c:axId val="1876879024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87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</a:t>
            </a:r>
            <a:r>
              <a:rPr lang="en-US" baseline="0"/>
              <a:t> model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Sheet2!$D$2:$D$51</c:f>
              <c:numCache>
                <c:formatCode>General</c:formatCode>
                <c:ptCount val="50"/>
                <c:pt idx="0">
                  <c:v>1.9984216364213339</c:v>
                </c:pt>
                <c:pt idx="1">
                  <c:v>0.76683930455997462</c:v>
                </c:pt>
                <c:pt idx="2">
                  <c:v>0.67276133571044916</c:v>
                </c:pt>
                <c:pt idx="3">
                  <c:v>0.37314595962172881</c:v>
                </c:pt>
                <c:pt idx="4">
                  <c:v>0.39995512520296472</c:v>
                </c:pt>
                <c:pt idx="5">
                  <c:v>0.2363693697862761</c:v>
                </c:pt>
                <c:pt idx="6">
                  <c:v>0.28355251514649282</c:v>
                </c:pt>
                <c:pt idx="7">
                  <c:v>0.16829389677391582</c:v>
                </c:pt>
                <c:pt idx="8">
                  <c:v>0.21917834512646195</c:v>
                </c:pt>
                <c:pt idx="9">
                  <c:v>0.12801313634920497</c:v>
                </c:pt>
                <c:pt idx="10">
                  <c:v>0.17835572208916872</c:v>
                </c:pt>
                <c:pt idx="11">
                  <c:v>0.10160099593122318</c:v>
                </c:pt>
                <c:pt idx="12">
                  <c:v>0.15016861519288049</c:v>
                </c:pt>
                <c:pt idx="13">
                  <c:v>8.3059617116674644E-2</c:v>
                </c:pt>
                <c:pt idx="14">
                  <c:v>0.12954038179494454</c:v>
                </c:pt>
                <c:pt idx="15">
                  <c:v>6.9393994703972339E-2</c:v>
                </c:pt>
                <c:pt idx="16">
                  <c:v>0.11379145062398521</c:v>
                </c:pt>
                <c:pt idx="17">
                  <c:v>5.8947228240466387E-2</c:v>
                </c:pt>
                <c:pt idx="18">
                  <c:v>0.10137442880126812</c:v>
                </c:pt>
                <c:pt idx="19">
                  <c:v>5.0730828793803084E-2</c:v>
                </c:pt>
                <c:pt idx="20">
                  <c:v>9.1333458969172554E-2</c:v>
                </c:pt>
                <c:pt idx="21">
                  <c:v>4.4119838992685345E-2</c:v>
                </c:pt>
                <c:pt idx="22">
                  <c:v>8.304629028340571E-2</c:v>
                </c:pt>
                <c:pt idx="23">
                  <c:v>3.8700508526588351E-2</c:v>
                </c:pt>
                <c:pt idx="24">
                  <c:v>7.6090451669939441E-2</c:v>
                </c:pt>
                <c:pt idx="25">
                  <c:v>3.4188449439620072E-2</c:v>
                </c:pt>
                <c:pt idx="26">
                  <c:v>7.0169049090846869E-2</c:v>
                </c:pt>
                <c:pt idx="27">
                  <c:v>3.0382009196182835E-2</c:v>
                </c:pt>
                <c:pt idx="28">
                  <c:v>6.5067342691257579E-2</c:v>
                </c:pt>
                <c:pt idx="29">
                  <c:v>2.7134395132385691E-2</c:v>
                </c:pt>
                <c:pt idx="30">
                  <c:v>6.0626173653744786E-2</c:v>
                </c:pt>
                <c:pt idx="31">
                  <c:v>2.4336321524710769E-2</c:v>
                </c:pt>
                <c:pt idx="32">
                  <c:v>5.6725077143118696E-2</c:v>
                </c:pt>
                <c:pt idx="33">
                  <c:v>2.1904828754337302E-2</c:v>
                </c:pt>
                <c:pt idx="34">
                  <c:v>5.3271198679636811E-2</c:v>
                </c:pt>
                <c:pt idx="35">
                  <c:v>1.9775862251400156E-2</c:v>
                </c:pt>
                <c:pt idx="36">
                  <c:v>5.0191813434986798E-2</c:v>
                </c:pt>
                <c:pt idx="37">
                  <c:v>1.7899217893601715E-2</c:v>
                </c:pt>
                <c:pt idx="38">
                  <c:v>4.7429152431440968E-2</c:v>
                </c:pt>
                <c:pt idx="39">
                  <c:v>1.6235020038386949E-2</c:v>
                </c:pt>
                <c:pt idx="40">
                  <c:v>4.493674631587119E-2</c:v>
                </c:pt>
                <c:pt idx="41">
                  <c:v>1.4751217513449433E-2</c:v>
                </c:pt>
                <c:pt idx="42">
                  <c:v>4.2676791641765632E-2</c:v>
                </c:pt>
                <c:pt idx="43">
                  <c:v>1.3421771016664863E-2</c:v>
                </c:pt>
                <c:pt idx="44">
                  <c:v>4.0618220921743386E-2</c:v>
                </c:pt>
                <c:pt idx="45">
                  <c:v>1.2225319634781684E-2</c:v>
                </c:pt>
                <c:pt idx="46">
                  <c:v>3.87352664226146E-2</c:v>
                </c:pt>
                <c:pt idx="47">
                  <c:v>1.1144185408175744E-2</c:v>
                </c:pt>
                <c:pt idx="48">
                  <c:v>3.7006376370577243E-2</c:v>
                </c:pt>
                <c:pt idx="49">
                  <c:v>1.0163620331525181E-2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2-4E9B-86F9-AC97A1CAB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037824"/>
        <c:axId val="1111038784"/>
      </c:scatterChart>
      <c:valAx>
        <c:axId val="111103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038784"/>
        <c:crosses val="autoZero"/>
        <c:crossBetween val="midCat"/>
      </c:valAx>
      <c:valAx>
        <c:axId val="11110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03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Leisen-Reimer</a:t>
            </a:r>
            <a:r>
              <a:rPr lang="en-US" baseline="0"/>
              <a:t>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Leisen-Reimer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Sheet2!$M$2:$M$51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Sheet2!$N$2:$N$51</c:f>
              <c:numCache>
                <c:formatCode>General</c:formatCode>
                <c:ptCount val="50"/>
                <c:pt idx="0">
                  <c:v>8.6543168972014684</c:v>
                </c:pt>
                <c:pt idx="1">
                  <c:v>7.1579602735243597</c:v>
                </c:pt>
                <c:pt idx="2">
                  <c:v>8.792549592839098</c:v>
                </c:pt>
                <c:pt idx="3">
                  <c:v>7.9165515427385111</c:v>
                </c:pt>
                <c:pt idx="4">
                  <c:v>8.8102862014442422</c:v>
                </c:pt>
                <c:pt idx="5">
                  <c:v>8.2019550501152167</c:v>
                </c:pt>
                <c:pt idx="6">
                  <c:v>8.8159313041003529</c:v>
                </c:pt>
                <c:pt idx="7">
                  <c:v>8.3508563578725639</c:v>
                </c:pt>
                <c:pt idx="8">
                  <c:v>8.8184379226434864</c:v>
                </c:pt>
                <c:pt idx="9">
                  <c:v>8.4421677284272647</c:v>
                </c:pt>
                <c:pt idx="10">
                  <c:v>8.8197686997893019</c:v>
                </c:pt>
                <c:pt idx="11">
                  <c:v>8.5038612215078047</c:v>
                </c:pt>
                <c:pt idx="12">
                  <c:v>8.8205596174810275</c:v>
                </c:pt>
                <c:pt idx="13">
                  <c:v>8.5483303790334535</c:v>
                </c:pt>
                <c:pt idx="14">
                  <c:v>8.8210678972540926</c:v>
                </c:pt>
                <c:pt idx="15">
                  <c:v>8.581903697043936</c:v>
                </c:pt>
                <c:pt idx="16">
                  <c:v>8.8214138722265947</c:v>
                </c:pt>
                <c:pt idx="17">
                  <c:v>8.6081486546925419</c:v>
                </c:pt>
                <c:pt idx="18">
                  <c:v>8.8216599966326061</c:v>
                </c:pt>
                <c:pt idx="19">
                  <c:v>8.6292288754774233</c:v>
                </c:pt>
                <c:pt idx="20">
                  <c:v>8.821841321016203</c:v>
                </c:pt>
                <c:pt idx="21">
                  <c:v>8.6465326605349109</c:v>
                </c:pt>
                <c:pt idx="22">
                  <c:v>8.8219787571542074</c:v>
                </c:pt>
                <c:pt idx="23">
                  <c:v>8.660991667060161</c:v>
                </c:pt>
                <c:pt idx="24">
                  <c:v>8.822085411075749</c:v>
                </c:pt>
                <c:pt idx="25">
                  <c:v>8.6732543726713018</c:v>
                </c:pt>
                <c:pt idx="26">
                  <c:v>8.8221698365401338</c:v>
                </c:pt>
                <c:pt idx="27">
                  <c:v>8.6837860616998572</c:v>
                </c:pt>
                <c:pt idx="28">
                  <c:v>8.8222378091992777</c:v>
                </c:pt>
                <c:pt idx="29">
                  <c:v>8.6929292457625298</c:v>
                </c:pt>
                <c:pt idx="30">
                  <c:v>8.822293343284171</c:v>
                </c:pt>
                <c:pt idx="31">
                  <c:v>8.7009416523990843</c:v>
                </c:pt>
                <c:pt idx="32">
                  <c:v>8.8223392991663907</c:v>
                </c:pt>
                <c:pt idx="33">
                  <c:v>8.7080209309446115</c:v>
                </c:pt>
                <c:pt idx="34">
                  <c:v>8.8223777597111486</c:v>
                </c:pt>
                <c:pt idx="35">
                  <c:v>8.7143211952764634</c:v>
                </c:pt>
                <c:pt idx="36">
                  <c:v>8.8224102708124139</c:v>
                </c:pt>
                <c:pt idx="37">
                  <c:v>8.7199643857440581</c:v>
                </c:pt>
                <c:pt idx="38">
                  <c:v>8.8224379993742303</c:v>
                </c:pt>
                <c:pt idx="39">
                  <c:v>8.7250482493046135</c:v>
                </c:pt>
                <c:pt idx="40">
                  <c:v>8.8224618395716679</c:v>
                </c:pt>
                <c:pt idx="41">
                  <c:v>8.7296520566346771</c:v>
                </c:pt>
                <c:pt idx="42">
                  <c:v>8.8224824859528095</c:v>
                </c:pt>
                <c:pt idx="43">
                  <c:v>8.7338407711170216</c:v>
                </c:pt>
                <c:pt idx="44">
                  <c:v>8.8225004846083959</c:v>
                </c:pt>
                <c:pt idx="45">
                  <c:v>8.7376681377167564</c:v>
                </c:pt>
                <c:pt idx="46">
                  <c:v>8.8225162697142103</c:v>
                </c:pt>
                <c:pt idx="47">
                  <c:v>8.7411790046714763</c:v>
                </c:pt>
                <c:pt idx="48">
                  <c:v>8.8225301899303439</c:v>
                </c:pt>
                <c:pt idx="49">
                  <c:v>8.7444110914862918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73-4A2A-ACA8-9BAD9D01A8B6}"/>
            </c:ext>
          </c:extLst>
        </c:ser>
        <c:ser>
          <c:idx val="1"/>
          <c:order val="1"/>
          <c:tx>
            <c:strRef>
              <c:f>Sheet2!$O$1</c:f>
              <c:strCache>
                <c:ptCount val="1"/>
                <c:pt idx="0">
                  <c:v>B-S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Sheet2!$M$2:$M$51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Sheet2!$O$2:$O$51</c:f>
              <c:numCache>
                <c:formatCode>General</c:formatCode>
                <c:ptCount val="50"/>
                <c:pt idx="0">
                  <c:v>8.8226930063155411</c:v>
                </c:pt>
                <c:pt idx="1">
                  <c:v>8.8226930063155411</c:v>
                </c:pt>
                <c:pt idx="2">
                  <c:v>8.8226930063155411</c:v>
                </c:pt>
                <c:pt idx="3">
                  <c:v>8.8226930063155411</c:v>
                </c:pt>
                <c:pt idx="4">
                  <c:v>8.8226930063155411</c:v>
                </c:pt>
                <c:pt idx="5">
                  <c:v>8.8226930063155411</c:v>
                </c:pt>
                <c:pt idx="6">
                  <c:v>8.8226930063155411</c:v>
                </c:pt>
                <c:pt idx="7">
                  <c:v>8.8226930063155411</c:v>
                </c:pt>
                <c:pt idx="8">
                  <c:v>8.8226930063155411</c:v>
                </c:pt>
                <c:pt idx="9">
                  <c:v>8.8226930063155411</c:v>
                </c:pt>
                <c:pt idx="10">
                  <c:v>8.8226930063155411</c:v>
                </c:pt>
                <c:pt idx="11">
                  <c:v>8.8226930063155411</c:v>
                </c:pt>
                <c:pt idx="12">
                  <c:v>8.8226930063155411</c:v>
                </c:pt>
                <c:pt idx="13">
                  <c:v>8.8226930063155411</c:v>
                </c:pt>
                <c:pt idx="14">
                  <c:v>8.8226930063155411</c:v>
                </c:pt>
                <c:pt idx="15">
                  <c:v>8.8226930063155411</c:v>
                </c:pt>
                <c:pt idx="16">
                  <c:v>8.8226930063155411</c:v>
                </c:pt>
                <c:pt idx="17">
                  <c:v>8.8226930063155411</c:v>
                </c:pt>
                <c:pt idx="18">
                  <c:v>8.8226930063155411</c:v>
                </c:pt>
                <c:pt idx="19">
                  <c:v>8.8226930063155411</c:v>
                </c:pt>
                <c:pt idx="20">
                  <c:v>8.8226930063155411</c:v>
                </c:pt>
                <c:pt idx="21">
                  <c:v>8.8226930063155411</c:v>
                </c:pt>
                <c:pt idx="22">
                  <c:v>8.8226930063155411</c:v>
                </c:pt>
                <c:pt idx="23">
                  <c:v>8.8226930063155411</c:v>
                </c:pt>
                <c:pt idx="24">
                  <c:v>8.8226930063155411</c:v>
                </c:pt>
                <c:pt idx="25">
                  <c:v>8.8226930063155411</c:v>
                </c:pt>
                <c:pt idx="26">
                  <c:v>8.8226930063155411</c:v>
                </c:pt>
                <c:pt idx="27">
                  <c:v>8.8226930063155411</c:v>
                </c:pt>
                <c:pt idx="28">
                  <c:v>8.8226930063155411</c:v>
                </c:pt>
                <c:pt idx="29">
                  <c:v>8.8226930063155411</c:v>
                </c:pt>
                <c:pt idx="30">
                  <c:v>8.8226930063155411</c:v>
                </c:pt>
                <c:pt idx="31">
                  <c:v>8.8226930063155411</c:v>
                </c:pt>
                <c:pt idx="32">
                  <c:v>8.8226930063155411</c:v>
                </c:pt>
                <c:pt idx="33">
                  <c:v>8.8226930063155411</c:v>
                </c:pt>
                <c:pt idx="34">
                  <c:v>8.8226930063155411</c:v>
                </c:pt>
                <c:pt idx="35">
                  <c:v>8.8226930063155411</c:v>
                </c:pt>
                <c:pt idx="36">
                  <c:v>8.8226930063155411</c:v>
                </c:pt>
                <c:pt idx="37">
                  <c:v>8.8226930063155411</c:v>
                </c:pt>
                <c:pt idx="38">
                  <c:v>8.8226930063155411</c:v>
                </c:pt>
                <c:pt idx="39">
                  <c:v>8.8226930063155411</c:v>
                </c:pt>
                <c:pt idx="40">
                  <c:v>8.8226930063155411</c:v>
                </c:pt>
                <c:pt idx="41">
                  <c:v>8.8226930063155411</c:v>
                </c:pt>
                <c:pt idx="42">
                  <c:v>8.8226930063155411</c:v>
                </c:pt>
                <c:pt idx="43">
                  <c:v>8.8226930063155411</c:v>
                </c:pt>
                <c:pt idx="44">
                  <c:v>8.8226930063155411</c:v>
                </c:pt>
                <c:pt idx="45">
                  <c:v>8.8226930063155411</c:v>
                </c:pt>
                <c:pt idx="46">
                  <c:v>8.8226930063155411</c:v>
                </c:pt>
                <c:pt idx="47">
                  <c:v>8.8226930063155411</c:v>
                </c:pt>
                <c:pt idx="48">
                  <c:v>8.8226930063155411</c:v>
                </c:pt>
                <c:pt idx="49">
                  <c:v>8.8226930063155411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73-4A2A-ACA8-9BAD9D01A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43536"/>
        <c:axId val="186645936"/>
      </c:scatterChart>
      <c:valAx>
        <c:axId val="18664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45936"/>
        <c:crosses val="autoZero"/>
        <c:crossBetween val="midCat"/>
      </c:valAx>
      <c:valAx>
        <c:axId val="18664593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4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</a:t>
            </a:r>
            <a:r>
              <a:rPr lang="en-US" baseline="0"/>
              <a:t> Leisen-Reimer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Sheet2!$P$2:$P$51</c:f>
              <c:numCache>
                <c:formatCode>General</c:formatCode>
                <c:ptCount val="50"/>
                <c:pt idx="0">
                  <c:v>0.16837610911407275</c:v>
                </c:pt>
                <c:pt idx="1">
                  <c:v>1.6647327327911814</c:v>
                </c:pt>
                <c:pt idx="2">
                  <c:v>3.0143413476443115E-2</c:v>
                </c:pt>
                <c:pt idx="3">
                  <c:v>0.90614146357702996</c:v>
                </c:pt>
                <c:pt idx="4">
                  <c:v>1.240680487129886E-2</c:v>
                </c:pt>
                <c:pt idx="5">
                  <c:v>0.62073795620032435</c:v>
                </c:pt>
                <c:pt idx="6">
                  <c:v>6.7617022151882367E-3</c:v>
                </c:pt>
                <c:pt idx="7">
                  <c:v>0.47183664844297724</c:v>
                </c:pt>
                <c:pt idx="8">
                  <c:v>4.255083672054738E-3</c:v>
                </c:pt>
                <c:pt idx="9">
                  <c:v>0.38052527788827639</c:v>
                </c:pt>
                <c:pt idx="10">
                  <c:v>2.9243065262392065E-3</c:v>
                </c:pt>
                <c:pt idx="11">
                  <c:v>0.31883178480773644</c:v>
                </c:pt>
                <c:pt idx="12">
                  <c:v>2.1333888345136387E-3</c:v>
                </c:pt>
                <c:pt idx="13">
                  <c:v>0.2743626272820876</c:v>
                </c:pt>
                <c:pt idx="14">
                  <c:v>1.6251090614485264E-3</c:v>
                </c:pt>
                <c:pt idx="15">
                  <c:v>0.24078930927160513</c:v>
                </c:pt>
                <c:pt idx="16">
                  <c:v>1.2791340889464209E-3</c:v>
                </c:pt>
                <c:pt idx="17">
                  <c:v>0.21454435162299923</c:v>
                </c:pt>
                <c:pt idx="18">
                  <c:v>1.03300968293496E-3</c:v>
                </c:pt>
                <c:pt idx="19">
                  <c:v>0.19346413083811775</c:v>
                </c:pt>
                <c:pt idx="20">
                  <c:v>8.5168529933810078E-4</c:v>
                </c:pt>
                <c:pt idx="21">
                  <c:v>0.17616034578063022</c:v>
                </c:pt>
                <c:pt idx="22">
                  <c:v>7.1424916133366878E-4</c:v>
                </c:pt>
                <c:pt idx="23">
                  <c:v>0.16170133925538011</c:v>
                </c:pt>
                <c:pt idx="24">
                  <c:v>6.0759523979214691E-4</c:v>
                </c:pt>
                <c:pt idx="25">
                  <c:v>0.14943863364423926</c:v>
                </c:pt>
                <c:pt idx="26">
                  <c:v>5.2316977540733944E-4</c:v>
                </c:pt>
                <c:pt idx="27">
                  <c:v>0.13890694461568387</c:v>
                </c:pt>
                <c:pt idx="28">
                  <c:v>4.5519711626340609E-4</c:v>
                </c:pt>
                <c:pt idx="29">
                  <c:v>0.12976376055301131</c:v>
                </c:pt>
                <c:pt idx="30">
                  <c:v>3.9966303137006776E-4</c:v>
                </c:pt>
                <c:pt idx="31">
                  <c:v>0.12175135391645675</c:v>
                </c:pt>
                <c:pt idx="32">
                  <c:v>3.5370714915039514E-4</c:v>
                </c:pt>
                <c:pt idx="33">
                  <c:v>0.1146720753709296</c:v>
                </c:pt>
                <c:pt idx="34">
                  <c:v>3.1524660439252727E-4</c:v>
                </c:pt>
                <c:pt idx="35">
                  <c:v>0.10837181103907767</c:v>
                </c:pt>
                <c:pt idx="36">
                  <c:v>2.8273550312718498E-4</c:v>
                </c:pt>
                <c:pt idx="37">
                  <c:v>0.10272862057148302</c:v>
                </c:pt>
                <c:pt idx="38">
                  <c:v>2.5500694131075363E-4</c:v>
                </c:pt>
                <c:pt idx="39">
                  <c:v>9.7644757010927563E-2</c:v>
                </c:pt>
                <c:pt idx="40">
                  <c:v>2.3116674387324565E-4</c:v>
                </c:pt>
                <c:pt idx="41">
                  <c:v>9.304094968086396E-2</c:v>
                </c:pt>
                <c:pt idx="42">
                  <c:v>2.1052036273161434E-4</c:v>
                </c:pt>
                <c:pt idx="43">
                  <c:v>8.885223519851948E-2</c:v>
                </c:pt>
                <c:pt idx="44">
                  <c:v>1.9252170714523231E-4</c:v>
                </c:pt>
                <c:pt idx="45">
                  <c:v>8.5024868598784664E-2</c:v>
                </c:pt>
                <c:pt idx="46">
                  <c:v>1.7673660133077362E-4</c:v>
                </c:pt>
                <c:pt idx="47">
                  <c:v>8.1514001644064749E-2</c:v>
                </c:pt>
                <c:pt idx="48">
                  <c:v>1.6281638519721753E-4</c:v>
                </c:pt>
                <c:pt idx="49">
                  <c:v>7.8281914829249288E-2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DB-4E45-98C6-C8A2A8FDC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58736"/>
        <c:axId val="1103757296"/>
      </c:scatterChart>
      <c:valAx>
        <c:axId val="110375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757296"/>
        <c:crosses val="autoZero"/>
        <c:crossBetween val="midCat"/>
      </c:valAx>
      <c:valAx>
        <c:axId val="11037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75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Leisen-Reimer</a:t>
            </a:r>
            <a:r>
              <a:rPr lang="en-US" baseline="0"/>
              <a:t> (Odd)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Sheet2!$Z$1</c:f>
              <c:strCache>
                <c:ptCount val="1"/>
                <c:pt idx="0">
                  <c:v>Leisen-Reimer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Sheet2!$AB$2:$AB$26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</c:numCache>
            </c:numRef>
          </c:xVal>
          <c:yVal>
            <c:numRef>
              <c:f>Sheet2!$Z$2:$Z$26</c:f>
              <c:numCache>
                <c:formatCode>General</c:formatCode>
                <c:ptCount val="25"/>
                <c:pt idx="0">
                  <c:v>8.6543168972014684</c:v>
                </c:pt>
                <c:pt idx="1">
                  <c:v>8.792549592839098</c:v>
                </c:pt>
                <c:pt idx="2">
                  <c:v>8.8102862014442422</c:v>
                </c:pt>
                <c:pt idx="3">
                  <c:v>8.8159313041003529</c:v>
                </c:pt>
                <c:pt idx="4">
                  <c:v>8.8184379226434864</c:v>
                </c:pt>
                <c:pt idx="5">
                  <c:v>8.8197686997893019</c:v>
                </c:pt>
                <c:pt idx="6">
                  <c:v>8.8205596174810275</c:v>
                </c:pt>
                <c:pt idx="7">
                  <c:v>8.8210678972540926</c:v>
                </c:pt>
                <c:pt idx="8">
                  <c:v>8.8214138722265947</c:v>
                </c:pt>
                <c:pt idx="9">
                  <c:v>8.8216599966326061</c:v>
                </c:pt>
                <c:pt idx="10">
                  <c:v>8.821841321016203</c:v>
                </c:pt>
                <c:pt idx="11">
                  <c:v>8.8219787571542074</c:v>
                </c:pt>
                <c:pt idx="12">
                  <c:v>8.822085411075749</c:v>
                </c:pt>
                <c:pt idx="13">
                  <c:v>8.8221698365401338</c:v>
                </c:pt>
                <c:pt idx="14">
                  <c:v>8.8222378091992777</c:v>
                </c:pt>
                <c:pt idx="15">
                  <c:v>8.822293343284171</c:v>
                </c:pt>
                <c:pt idx="16">
                  <c:v>8.8223392991663907</c:v>
                </c:pt>
                <c:pt idx="17">
                  <c:v>8.8223777597111486</c:v>
                </c:pt>
                <c:pt idx="18">
                  <c:v>8.8224102708124139</c:v>
                </c:pt>
                <c:pt idx="19">
                  <c:v>8.8224379993742303</c:v>
                </c:pt>
                <c:pt idx="20">
                  <c:v>8.8224618395716679</c:v>
                </c:pt>
                <c:pt idx="21">
                  <c:v>8.8224824859528095</c:v>
                </c:pt>
                <c:pt idx="22">
                  <c:v>8.8225004846083959</c:v>
                </c:pt>
                <c:pt idx="23">
                  <c:v>8.8225162697142103</c:v>
                </c:pt>
                <c:pt idx="24">
                  <c:v>8.8225301899303439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5D-4B1C-B0A1-675764200E03}"/>
            </c:ext>
          </c:extLst>
        </c:ser>
        <c:ser>
          <c:idx val="1"/>
          <c:order val="1"/>
          <c:tx>
            <c:strRef>
              <c:f>Sheet2!$AA$1</c:f>
              <c:strCache>
                <c:ptCount val="1"/>
                <c:pt idx="0">
                  <c:v>B-S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Sheet2!$AB$2:$AB$26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</c:numCache>
            </c:numRef>
          </c:xVal>
          <c:yVal>
            <c:numRef>
              <c:f>Sheet2!$AA$2:$AA$26</c:f>
              <c:numCache>
                <c:formatCode>General</c:formatCode>
                <c:ptCount val="25"/>
                <c:pt idx="0">
                  <c:v>8.8226930063155411</c:v>
                </c:pt>
                <c:pt idx="1">
                  <c:v>8.8226930063155411</c:v>
                </c:pt>
                <c:pt idx="2">
                  <c:v>8.8226930063155411</c:v>
                </c:pt>
                <c:pt idx="3">
                  <c:v>8.8226930063155411</c:v>
                </c:pt>
                <c:pt idx="4">
                  <c:v>8.8226930063155411</c:v>
                </c:pt>
                <c:pt idx="5">
                  <c:v>8.8226930063155411</c:v>
                </c:pt>
                <c:pt idx="6">
                  <c:v>8.8226930063155411</c:v>
                </c:pt>
                <c:pt idx="7">
                  <c:v>8.8226930063155411</c:v>
                </c:pt>
                <c:pt idx="8">
                  <c:v>8.8226930063155411</c:v>
                </c:pt>
                <c:pt idx="9">
                  <c:v>8.8226930063155411</c:v>
                </c:pt>
                <c:pt idx="10">
                  <c:v>8.8226930063155411</c:v>
                </c:pt>
                <c:pt idx="11">
                  <c:v>8.8226930063155411</c:v>
                </c:pt>
                <c:pt idx="12">
                  <c:v>8.8226930063155411</c:v>
                </c:pt>
                <c:pt idx="13">
                  <c:v>8.8226930063155411</c:v>
                </c:pt>
                <c:pt idx="14">
                  <c:v>8.8226930063155411</c:v>
                </c:pt>
                <c:pt idx="15">
                  <c:v>8.8226930063155411</c:v>
                </c:pt>
                <c:pt idx="16">
                  <c:v>8.8226930063155411</c:v>
                </c:pt>
                <c:pt idx="17">
                  <c:v>8.8226930063155411</c:v>
                </c:pt>
                <c:pt idx="18">
                  <c:v>8.8226930063155411</c:v>
                </c:pt>
                <c:pt idx="19">
                  <c:v>8.8226930063155411</c:v>
                </c:pt>
                <c:pt idx="20">
                  <c:v>8.8226930063155411</c:v>
                </c:pt>
                <c:pt idx="21">
                  <c:v>8.8226930063155411</c:v>
                </c:pt>
                <c:pt idx="22">
                  <c:v>8.8226930063155411</c:v>
                </c:pt>
                <c:pt idx="23">
                  <c:v>8.8226930063155411</c:v>
                </c:pt>
                <c:pt idx="24">
                  <c:v>8.8226930063155411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5D-4B1C-B0A1-67576420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432128"/>
        <c:axId val="1999432608"/>
      </c:scatterChart>
      <c:valAx>
        <c:axId val="199943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9432608"/>
        <c:crosses val="autoZero"/>
        <c:crossBetween val="midCat"/>
      </c:valAx>
      <c:valAx>
        <c:axId val="199943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943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</a:t>
            </a:r>
            <a:r>
              <a:rPr lang="en-US" baseline="0"/>
              <a:t> Leisen-Reimer (Odd)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Sheet2!$AB$2:$AB$26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</c:numCache>
            </c:numRef>
          </c:xVal>
          <c:yVal>
            <c:numRef>
              <c:f>Sheet2!$AC$2:$AC$26</c:f>
              <c:numCache>
                <c:formatCode>General</c:formatCode>
                <c:ptCount val="25"/>
                <c:pt idx="0">
                  <c:v>0.16837610911407275</c:v>
                </c:pt>
                <c:pt idx="1">
                  <c:v>3.0143413476443115E-2</c:v>
                </c:pt>
                <c:pt idx="2">
                  <c:v>1.240680487129886E-2</c:v>
                </c:pt>
                <c:pt idx="3">
                  <c:v>6.7617022151882367E-3</c:v>
                </c:pt>
                <c:pt idx="4">
                  <c:v>4.255083672054738E-3</c:v>
                </c:pt>
                <c:pt idx="5">
                  <c:v>2.9243065262392065E-3</c:v>
                </c:pt>
                <c:pt idx="6">
                  <c:v>2.1333888345136387E-3</c:v>
                </c:pt>
                <c:pt idx="7">
                  <c:v>1.6251090614485264E-3</c:v>
                </c:pt>
                <c:pt idx="8">
                  <c:v>1.2791340889464209E-3</c:v>
                </c:pt>
                <c:pt idx="9">
                  <c:v>1.03300968293496E-3</c:v>
                </c:pt>
                <c:pt idx="10">
                  <c:v>8.5168529933810078E-4</c:v>
                </c:pt>
                <c:pt idx="11">
                  <c:v>7.1424916133366878E-4</c:v>
                </c:pt>
                <c:pt idx="12">
                  <c:v>6.0759523979214691E-4</c:v>
                </c:pt>
                <c:pt idx="13">
                  <c:v>5.2316977540733944E-4</c:v>
                </c:pt>
                <c:pt idx="14">
                  <c:v>4.5519711626340609E-4</c:v>
                </c:pt>
                <c:pt idx="15">
                  <c:v>3.9966303137006776E-4</c:v>
                </c:pt>
                <c:pt idx="16">
                  <c:v>3.5370714915039514E-4</c:v>
                </c:pt>
                <c:pt idx="17">
                  <c:v>3.1524660439252727E-4</c:v>
                </c:pt>
                <c:pt idx="18">
                  <c:v>2.8273550312718498E-4</c:v>
                </c:pt>
                <c:pt idx="19">
                  <c:v>2.5500694131075363E-4</c:v>
                </c:pt>
                <c:pt idx="20">
                  <c:v>2.3116674387324565E-4</c:v>
                </c:pt>
                <c:pt idx="21">
                  <c:v>2.1052036273161434E-4</c:v>
                </c:pt>
                <c:pt idx="22">
                  <c:v>1.9252170714523231E-4</c:v>
                </c:pt>
                <c:pt idx="23">
                  <c:v>1.7673660133077362E-4</c:v>
                </c:pt>
                <c:pt idx="24">
                  <c:v>1.6281638519721753E-4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7F-4DCC-8D8B-F0E04A6B2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380128"/>
        <c:axId val="298348320"/>
      </c:scatterChart>
      <c:valAx>
        <c:axId val="29638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48320"/>
        <c:crosses val="autoZero"/>
        <c:crossBetween val="midCat"/>
      </c:valAx>
      <c:valAx>
        <c:axId val="2983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</a:t>
            </a:r>
            <a:r>
              <a:rPr lang="en-US" baseline="0"/>
              <a:t> model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Sheet2!$D$2:$D$51</c:f>
              <c:numCache>
                <c:formatCode>General</c:formatCode>
                <c:ptCount val="50"/>
                <c:pt idx="0">
                  <c:v>1.9984216364213339</c:v>
                </c:pt>
                <c:pt idx="1">
                  <c:v>0.76683930455997462</c:v>
                </c:pt>
                <c:pt idx="2">
                  <c:v>0.67276133571044916</c:v>
                </c:pt>
                <c:pt idx="3">
                  <c:v>0.37314595962172881</c:v>
                </c:pt>
                <c:pt idx="4">
                  <c:v>0.39995512520296472</c:v>
                </c:pt>
                <c:pt idx="5">
                  <c:v>0.2363693697862761</c:v>
                </c:pt>
                <c:pt idx="6">
                  <c:v>0.28355251514649282</c:v>
                </c:pt>
                <c:pt idx="7">
                  <c:v>0.16829389677391582</c:v>
                </c:pt>
                <c:pt idx="8">
                  <c:v>0.21917834512646195</c:v>
                </c:pt>
                <c:pt idx="9">
                  <c:v>0.12801313634920497</c:v>
                </c:pt>
                <c:pt idx="10">
                  <c:v>0.17835572208916872</c:v>
                </c:pt>
                <c:pt idx="11">
                  <c:v>0.10160099593122318</c:v>
                </c:pt>
                <c:pt idx="12">
                  <c:v>0.15016861519288049</c:v>
                </c:pt>
                <c:pt idx="13">
                  <c:v>8.3059617116674644E-2</c:v>
                </c:pt>
                <c:pt idx="14">
                  <c:v>0.12954038179494454</c:v>
                </c:pt>
                <c:pt idx="15">
                  <c:v>6.9393994703972339E-2</c:v>
                </c:pt>
                <c:pt idx="16">
                  <c:v>0.11379145062398521</c:v>
                </c:pt>
                <c:pt idx="17">
                  <c:v>5.8947228240466387E-2</c:v>
                </c:pt>
                <c:pt idx="18">
                  <c:v>0.10137442880126812</c:v>
                </c:pt>
                <c:pt idx="19">
                  <c:v>5.0730828793803084E-2</c:v>
                </c:pt>
                <c:pt idx="20">
                  <c:v>9.1333458969172554E-2</c:v>
                </c:pt>
                <c:pt idx="21">
                  <c:v>4.4119838992685345E-2</c:v>
                </c:pt>
                <c:pt idx="22">
                  <c:v>8.304629028340571E-2</c:v>
                </c:pt>
                <c:pt idx="23">
                  <c:v>3.8700508526588351E-2</c:v>
                </c:pt>
                <c:pt idx="24">
                  <c:v>7.6090451669939441E-2</c:v>
                </c:pt>
                <c:pt idx="25">
                  <c:v>3.4188449439620072E-2</c:v>
                </c:pt>
                <c:pt idx="26">
                  <c:v>7.0169049090846869E-2</c:v>
                </c:pt>
                <c:pt idx="27">
                  <c:v>3.0382009196182835E-2</c:v>
                </c:pt>
                <c:pt idx="28">
                  <c:v>6.5067342691257579E-2</c:v>
                </c:pt>
                <c:pt idx="29">
                  <c:v>2.7134395132385691E-2</c:v>
                </c:pt>
                <c:pt idx="30">
                  <c:v>6.0626173653744786E-2</c:v>
                </c:pt>
                <c:pt idx="31">
                  <c:v>2.4336321524710769E-2</c:v>
                </c:pt>
                <c:pt idx="32">
                  <c:v>5.6725077143118696E-2</c:v>
                </c:pt>
                <c:pt idx="33">
                  <c:v>2.1904828754337302E-2</c:v>
                </c:pt>
                <c:pt idx="34">
                  <c:v>5.3271198679636811E-2</c:v>
                </c:pt>
                <c:pt idx="35">
                  <c:v>1.9775862251400156E-2</c:v>
                </c:pt>
                <c:pt idx="36">
                  <c:v>5.0191813434986798E-2</c:v>
                </c:pt>
                <c:pt idx="37">
                  <c:v>1.7899217893601715E-2</c:v>
                </c:pt>
                <c:pt idx="38">
                  <c:v>4.7429152431440968E-2</c:v>
                </c:pt>
                <c:pt idx="39">
                  <c:v>1.6235020038386949E-2</c:v>
                </c:pt>
                <c:pt idx="40">
                  <c:v>4.493674631587119E-2</c:v>
                </c:pt>
                <c:pt idx="41">
                  <c:v>1.4751217513449433E-2</c:v>
                </c:pt>
                <c:pt idx="42">
                  <c:v>4.2676791641765632E-2</c:v>
                </c:pt>
                <c:pt idx="43">
                  <c:v>1.3421771016664863E-2</c:v>
                </c:pt>
                <c:pt idx="44">
                  <c:v>4.0618220921743386E-2</c:v>
                </c:pt>
                <c:pt idx="45">
                  <c:v>1.2225319634781684E-2</c:v>
                </c:pt>
                <c:pt idx="46">
                  <c:v>3.87352664226146E-2</c:v>
                </c:pt>
                <c:pt idx="47">
                  <c:v>1.1144185408175744E-2</c:v>
                </c:pt>
                <c:pt idx="48">
                  <c:v>3.7006376370577243E-2</c:v>
                </c:pt>
                <c:pt idx="49">
                  <c:v>1.0163620331525181E-2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45-4900-928F-EA738F2E3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037824"/>
        <c:axId val="1111038784"/>
      </c:scatterChart>
      <c:valAx>
        <c:axId val="111103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038784"/>
        <c:crosses val="autoZero"/>
        <c:crossBetween val="midCat"/>
      </c:valAx>
      <c:valAx>
        <c:axId val="11110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03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</a:t>
            </a:r>
            <a:r>
              <a:rPr lang="en-US" baseline="0"/>
              <a:t> Leisen-Reimer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Sheet2!$P$2:$P$51</c:f>
              <c:numCache>
                <c:formatCode>General</c:formatCode>
                <c:ptCount val="50"/>
                <c:pt idx="0">
                  <c:v>0.16837610911407275</c:v>
                </c:pt>
                <c:pt idx="1">
                  <c:v>1.6647327327911814</c:v>
                </c:pt>
                <c:pt idx="2">
                  <c:v>3.0143413476443115E-2</c:v>
                </c:pt>
                <c:pt idx="3">
                  <c:v>0.90614146357702996</c:v>
                </c:pt>
                <c:pt idx="4">
                  <c:v>1.240680487129886E-2</c:v>
                </c:pt>
                <c:pt idx="5">
                  <c:v>0.62073795620032435</c:v>
                </c:pt>
                <c:pt idx="6">
                  <c:v>6.7617022151882367E-3</c:v>
                </c:pt>
                <c:pt idx="7">
                  <c:v>0.47183664844297724</c:v>
                </c:pt>
                <c:pt idx="8">
                  <c:v>4.255083672054738E-3</c:v>
                </c:pt>
                <c:pt idx="9">
                  <c:v>0.38052527788827639</c:v>
                </c:pt>
                <c:pt idx="10">
                  <c:v>2.9243065262392065E-3</c:v>
                </c:pt>
                <c:pt idx="11">
                  <c:v>0.31883178480773644</c:v>
                </c:pt>
                <c:pt idx="12">
                  <c:v>2.1333888345136387E-3</c:v>
                </c:pt>
                <c:pt idx="13">
                  <c:v>0.2743626272820876</c:v>
                </c:pt>
                <c:pt idx="14">
                  <c:v>1.6251090614485264E-3</c:v>
                </c:pt>
                <c:pt idx="15">
                  <c:v>0.24078930927160513</c:v>
                </c:pt>
                <c:pt idx="16">
                  <c:v>1.2791340889464209E-3</c:v>
                </c:pt>
                <c:pt idx="17">
                  <c:v>0.21454435162299923</c:v>
                </c:pt>
                <c:pt idx="18">
                  <c:v>1.03300968293496E-3</c:v>
                </c:pt>
                <c:pt idx="19">
                  <c:v>0.19346413083811775</c:v>
                </c:pt>
                <c:pt idx="20">
                  <c:v>8.5168529933810078E-4</c:v>
                </c:pt>
                <c:pt idx="21">
                  <c:v>0.17616034578063022</c:v>
                </c:pt>
                <c:pt idx="22">
                  <c:v>7.1424916133366878E-4</c:v>
                </c:pt>
                <c:pt idx="23">
                  <c:v>0.16170133925538011</c:v>
                </c:pt>
                <c:pt idx="24">
                  <c:v>6.0759523979214691E-4</c:v>
                </c:pt>
                <c:pt idx="25">
                  <c:v>0.14943863364423926</c:v>
                </c:pt>
                <c:pt idx="26">
                  <c:v>5.2316977540733944E-4</c:v>
                </c:pt>
                <c:pt idx="27">
                  <c:v>0.13890694461568387</c:v>
                </c:pt>
                <c:pt idx="28">
                  <c:v>4.5519711626340609E-4</c:v>
                </c:pt>
                <c:pt idx="29">
                  <c:v>0.12976376055301131</c:v>
                </c:pt>
                <c:pt idx="30">
                  <c:v>3.9966303137006776E-4</c:v>
                </c:pt>
                <c:pt idx="31">
                  <c:v>0.12175135391645675</c:v>
                </c:pt>
                <c:pt idx="32">
                  <c:v>3.5370714915039514E-4</c:v>
                </c:pt>
                <c:pt idx="33">
                  <c:v>0.1146720753709296</c:v>
                </c:pt>
                <c:pt idx="34">
                  <c:v>3.1524660439252727E-4</c:v>
                </c:pt>
                <c:pt idx="35">
                  <c:v>0.10837181103907767</c:v>
                </c:pt>
                <c:pt idx="36">
                  <c:v>2.8273550312718498E-4</c:v>
                </c:pt>
                <c:pt idx="37">
                  <c:v>0.10272862057148302</c:v>
                </c:pt>
                <c:pt idx="38">
                  <c:v>2.5500694131075363E-4</c:v>
                </c:pt>
                <c:pt idx="39">
                  <c:v>9.7644757010927563E-2</c:v>
                </c:pt>
                <c:pt idx="40">
                  <c:v>2.3116674387324565E-4</c:v>
                </c:pt>
                <c:pt idx="41">
                  <c:v>9.304094968086396E-2</c:v>
                </c:pt>
                <c:pt idx="42">
                  <c:v>2.1052036273161434E-4</c:v>
                </c:pt>
                <c:pt idx="43">
                  <c:v>8.885223519851948E-2</c:v>
                </c:pt>
                <c:pt idx="44">
                  <c:v>1.9252170714523231E-4</c:v>
                </c:pt>
                <c:pt idx="45">
                  <c:v>8.5024868598784664E-2</c:v>
                </c:pt>
                <c:pt idx="46">
                  <c:v>1.7673660133077362E-4</c:v>
                </c:pt>
                <c:pt idx="47">
                  <c:v>8.1514001644064749E-2</c:v>
                </c:pt>
                <c:pt idx="48">
                  <c:v>1.6281638519721753E-4</c:v>
                </c:pt>
                <c:pt idx="49">
                  <c:v>7.8281914829249288E-2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7-4AB1-9622-5B154E8CB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58736"/>
        <c:axId val="1103757296"/>
      </c:scatterChart>
      <c:valAx>
        <c:axId val="110375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757296"/>
        <c:crosses val="autoZero"/>
        <c:crossBetween val="midCat"/>
      </c:valAx>
      <c:valAx>
        <c:axId val="11037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75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</a:t>
            </a:r>
            <a:r>
              <a:rPr lang="en-US" baseline="0"/>
              <a:t> Model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Binomial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Sheet2!$B$2:$B$51</c:f>
              <c:numCache>
                <c:formatCode>General</c:formatCode>
                <c:ptCount val="50"/>
                <c:pt idx="0">
                  <c:v>10.821114642736875</c:v>
                </c:pt>
                <c:pt idx="1">
                  <c:v>8.0558537017555665</c:v>
                </c:pt>
                <c:pt idx="2">
                  <c:v>9.4954543420259903</c:v>
                </c:pt>
                <c:pt idx="3">
                  <c:v>8.4495470466938123</c:v>
                </c:pt>
                <c:pt idx="4">
                  <c:v>9.2226481315185058</c:v>
                </c:pt>
                <c:pt idx="5">
                  <c:v>8.586323636529265</c:v>
                </c:pt>
                <c:pt idx="6">
                  <c:v>9.1062455214620339</c:v>
                </c:pt>
                <c:pt idx="7">
                  <c:v>8.6543991095416253</c:v>
                </c:pt>
                <c:pt idx="8">
                  <c:v>9.041871351442003</c:v>
                </c:pt>
                <c:pt idx="9">
                  <c:v>8.6946798699663361</c:v>
                </c:pt>
                <c:pt idx="10">
                  <c:v>9.0010487284047098</c:v>
                </c:pt>
                <c:pt idx="11">
                  <c:v>8.7210920103843179</c:v>
                </c:pt>
                <c:pt idx="12">
                  <c:v>8.9728616215084216</c:v>
                </c:pt>
                <c:pt idx="13">
                  <c:v>8.7396333891988665</c:v>
                </c:pt>
                <c:pt idx="14">
                  <c:v>8.9522333881104856</c:v>
                </c:pt>
                <c:pt idx="15">
                  <c:v>8.7532990116115688</c:v>
                </c:pt>
                <c:pt idx="16">
                  <c:v>8.9364844569395263</c:v>
                </c:pt>
                <c:pt idx="17">
                  <c:v>8.7637457780750747</c:v>
                </c:pt>
                <c:pt idx="18">
                  <c:v>8.9240674351168092</c:v>
                </c:pt>
                <c:pt idx="19">
                  <c:v>8.771962177521738</c:v>
                </c:pt>
                <c:pt idx="20">
                  <c:v>8.9140264652847137</c:v>
                </c:pt>
                <c:pt idx="21">
                  <c:v>8.7785731673228558</c:v>
                </c:pt>
                <c:pt idx="22">
                  <c:v>8.9057392965989468</c:v>
                </c:pt>
                <c:pt idx="23">
                  <c:v>8.7839924977889527</c:v>
                </c:pt>
                <c:pt idx="24">
                  <c:v>8.8987834579854805</c:v>
                </c:pt>
                <c:pt idx="25">
                  <c:v>8.788504556875921</c:v>
                </c:pt>
                <c:pt idx="26">
                  <c:v>8.892862055406388</c:v>
                </c:pt>
                <c:pt idx="27">
                  <c:v>8.7923109971193583</c:v>
                </c:pt>
                <c:pt idx="28">
                  <c:v>8.8877603490067987</c:v>
                </c:pt>
                <c:pt idx="29">
                  <c:v>8.7955586111831554</c:v>
                </c:pt>
                <c:pt idx="30">
                  <c:v>8.8833191799692859</c:v>
                </c:pt>
                <c:pt idx="31">
                  <c:v>8.7983566847908303</c:v>
                </c:pt>
                <c:pt idx="32">
                  <c:v>8.8794180834586598</c:v>
                </c:pt>
                <c:pt idx="33">
                  <c:v>8.8007881775612038</c:v>
                </c:pt>
                <c:pt idx="34">
                  <c:v>8.8759642049951779</c:v>
                </c:pt>
                <c:pt idx="35">
                  <c:v>8.8029171440641409</c:v>
                </c:pt>
                <c:pt idx="36">
                  <c:v>8.8728848197505279</c:v>
                </c:pt>
                <c:pt idx="37">
                  <c:v>8.8047937884219394</c:v>
                </c:pt>
                <c:pt idx="38">
                  <c:v>8.8701221587469821</c:v>
                </c:pt>
                <c:pt idx="39">
                  <c:v>8.8064579862771541</c:v>
                </c:pt>
                <c:pt idx="40">
                  <c:v>8.8676297526314123</c:v>
                </c:pt>
                <c:pt idx="41">
                  <c:v>8.8079417888020917</c:v>
                </c:pt>
                <c:pt idx="42">
                  <c:v>8.8653697979573067</c:v>
                </c:pt>
                <c:pt idx="43">
                  <c:v>8.8092712352988762</c:v>
                </c:pt>
                <c:pt idx="44">
                  <c:v>8.8633112272372845</c:v>
                </c:pt>
                <c:pt idx="45">
                  <c:v>8.8104676866807594</c:v>
                </c:pt>
                <c:pt idx="46">
                  <c:v>8.8614282727381557</c:v>
                </c:pt>
                <c:pt idx="47">
                  <c:v>8.8115488209073654</c:v>
                </c:pt>
                <c:pt idx="48">
                  <c:v>8.8596993826861183</c:v>
                </c:pt>
                <c:pt idx="49">
                  <c:v>8.8125293859840159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52-4542-B072-C339C706A1C0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B-S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Sheet2!$C$2:$C$51</c:f>
              <c:numCache>
                <c:formatCode>General</c:formatCode>
                <c:ptCount val="50"/>
                <c:pt idx="0">
                  <c:v>8.8226930063155411</c:v>
                </c:pt>
                <c:pt idx="1">
                  <c:v>8.8226930063155411</c:v>
                </c:pt>
                <c:pt idx="2">
                  <c:v>8.8226930063155411</c:v>
                </c:pt>
                <c:pt idx="3">
                  <c:v>8.8226930063155411</c:v>
                </c:pt>
                <c:pt idx="4">
                  <c:v>8.8226930063155411</c:v>
                </c:pt>
                <c:pt idx="5">
                  <c:v>8.8226930063155411</c:v>
                </c:pt>
                <c:pt idx="6">
                  <c:v>8.8226930063155411</c:v>
                </c:pt>
                <c:pt idx="7">
                  <c:v>8.8226930063155411</c:v>
                </c:pt>
                <c:pt idx="8">
                  <c:v>8.8226930063155411</c:v>
                </c:pt>
                <c:pt idx="9">
                  <c:v>8.8226930063155411</c:v>
                </c:pt>
                <c:pt idx="10">
                  <c:v>8.8226930063155411</c:v>
                </c:pt>
                <c:pt idx="11">
                  <c:v>8.8226930063155411</c:v>
                </c:pt>
                <c:pt idx="12">
                  <c:v>8.8226930063155411</c:v>
                </c:pt>
                <c:pt idx="13">
                  <c:v>8.8226930063155411</c:v>
                </c:pt>
                <c:pt idx="14">
                  <c:v>8.8226930063155411</c:v>
                </c:pt>
                <c:pt idx="15">
                  <c:v>8.8226930063155411</c:v>
                </c:pt>
                <c:pt idx="16">
                  <c:v>8.8226930063155411</c:v>
                </c:pt>
                <c:pt idx="17">
                  <c:v>8.8226930063155411</c:v>
                </c:pt>
                <c:pt idx="18">
                  <c:v>8.8226930063155411</c:v>
                </c:pt>
                <c:pt idx="19">
                  <c:v>8.8226930063155411</c:v>
                </c:pt>
                <c:pt idx="20">
                  <c:v>8.8226930063155411</c:v>
                </c:pt>
                <c:pt idx="21">
                  <c:v>8.8226930063155411</c:v>
                </c:pt>
                <c:pt idx="22">
                  <c:v>8.8226930063155411</c:v>
                </c:pt>
                <c:pt idx="23">
                  <c:v>8.8226930063155411</c:v>
                </c:pt>
                <c:pt idx="24">
                  <c:v>8.8226930063155411</c:v>
                </c:pt>
                <c:pt idx="25">
                  <c:v>8.8226930063155411</c:v>
                </c:pt>
                <c:pt idx="26">
                  <c:v>8.8226930063155411</c:v>
                </c:pt>
                <c:pt idx="27">
                  <c:v>8.8226930063155411</c:v>
                </c:pt>
                <c:pt idx="28">
                  <c:v>8.8226930063155411</c:v>
                </c:pt>
                <c:pt idx="29">
                  <c:v>8.8226930063155411</c:v>
                </c:pt>
                <c:pt idx="30">
                  <c:v>8.8226930063155411</c:v>
                </c:pt>
                <c:pt idx="31">
                  <c:v>8.8226930063155411</c:v>
                </c:pt>
                <c:pt idx="32">
                  <c:v>8.8226930063155411</c:v>
                </c:pt>
                <c:pt idx="33">
                  <c:v>8.8226930063155411</c:v>
                </c:pt>
                <c:pt idx="34">
                  <c:v>8.8226930063155411</c:v>
                </c:pt>
                <c:pt idx="35">
                  <c:v>8.8226930063155411</c:v>
                </c:pt>
                <c:pt idx="36">
                  <c:v>8.8226930063155411</c:v>
                </c:pt>
                <c:pt idx="37">
                  <c:v>8.8226930063155411</c:v>
                </c:pt>
                <c:pt idx="38">
                  <c:v>8.8226930063155411</c:v>
                </c:pt>
                <c:pt idx="39">
                  <c:v>8.8226930063155411</c:v>
                </c:pt>
                <c:pt idx="40">
                  <c:v>8.8226930063155411</c:v>
                </c:pt>
                <c:pt idx="41">
                  <c:v>8.8226930063155411</c:v>
                </c:pt>
                <c:pt idx="42">
                  <c:v>8.8226930063155411</c:v>
                </c:pt>
                <c:pt idx="43">
                  <c:v>8.8226930063155411</c:v>
                </c:pt>
                <c:pt idx="44">
                  <c:v>8.8226930063155411</c:v>
                </c:pt>
                <c:pt idx="45">
                  <c:v>8.8226930063155411</c:v>
                </c:pt>
                <c:pt idx="46">
                  <c:v>8.8226930063155411</c:v>
                </c:pt>
                <c:pt idx="47">
                  <c:v>8.8226930063155411</c:v>
                </c:pt>
                <c:pt idx="48">
                  <c:v>8.8226930063155411</c:v>
                </c:pt>
                <c:pt idx="49">
                  <c:v>8.8226930063155411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52-4542-B072-C339C706A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877584"/>
        <c:axId val="1876879024"/>
      </c:scatterChart>
      <c:valAx>
        <c:axId val="187687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879024"/>
        <c:crosses val="autoZero"/>
        <c:crossBetween val="midCat"/>
      </c:valAx>
      <c:valAx>
        <c:axId val="1876879024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87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Leisen-Reimer</a:t>
            </a:r>
            <a:r>
              <a:rPr lang="en-US" baseline="0"/>
              <a:t>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Leisen-Reimer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Sheet2!$M$2:$M$51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Sheet2!$N$2:$N$51</c:f>
              <c:numCache>
                <c:formatCode>General</c:formatCode>
                <c:ptCount val="50"/>
                <c:pt idx="0">
                  <c:v>8.6543168972014684</c:v>
                </c:pt>
                <c:pt idx="1">
                  <c:v>7.1579602735243597</c:v>
                </c:pt>
                <c:pt idx="2">
                  <c:v>8.792549592839098</c:v>
                </c:pt>
                <c:pt idx="3">
                  <c:v>7.9165515427385111</c:v>
                </c:pt>
                <c:pt idx="4">
                  <c:v>8.8102862014442422</c:v>
                </c:pt>
                <c:pt idx="5">
                  <c:v>8.2019550501152167</c:v>
                </c:pt>
                <c:pt idx="6">
                  <c:v>8.8159313041003529</c:v>
                </c:pt>
                <c:pt idx="7">
                  <c:v>8.3508563578725639</c:v>
                </c:pt>
                <c:pt idx="8">
                  <c:v>8.8184379226434864</c:v>
                </c:pt>
                <c:pt idx="9">
                  <c:v>8.4421677284272647</c:v>
                </c:pt>
                <c:pt idx="10">
                  <c:v>8.8197686997893019</c:v>
                </c:pt>
                <c:pt idx="11">
                  <c:v>8.5038612215078047</c:v>
                </c:pt>
                <c:pt idx="12">
                  <c:v>8.8205596174810275</c:v>
                </c:pt>
                <c:pt idx="13">
                  <c:v>8.5483303790334535</c:v>
                </c:pt>
                <c:pt idx="14">
                  <c:v>8.8210678972540926</c:v>
                </c:pt>
                <c:pt idx="15">
                  <c:v>8.581903697043936</c:v>
                </c:pt>
                <c:pt idx="16">
                  <c:v>8.8214138722265947</c:v>
                </c:pt>
                <c:pt idx="17">
                  <c:v>8.6081486546925419</c:v>
                </c:pt>
                <c:pt idx="18">
                  <c:v>8.8216599966326061</c:v>
                </c:pt>
                <c:pt idx="19">
                  <c:v>8.6292288754774233</c:v>
                </c:pt>
                <c:pt idx="20">
                  <c:v>8.821841321016203</c:v>
                </c:pt>
                <c:pt idx="21">
                  <c:v>8.6465326605349109</c:v>
                </c:pt>
                <c:pt idx="22">
                  <c:v>8.8219787571542074</c:v>
                </c:pt>
                <c:pt idx="23">
                  <c:v>8.660991667060161</c:v>
                </c:pt>
                <c:pt idx="24">
                  <c:v>8.822085411075749</c:v>
                </c:pt>
                <c:pt idx="25">
                  <c:v>8.6732543726713018</c:v>
                </c:pt>
                <c:pt idx="26">
                  <c:v>8.8221698365401338</c:v>
                </c:pt>
                <c:pt idx="27">
                  <c:v>8.6837860616998572</c:v>
                </c:pt>
                <c:pt idx="28">
                  <c:v>8.8222378091992777</c:v>
                </c:pt>
                <c:pt idx="29">
                  <c:v>8.6929292457625298</c:v>
                </c:pt>
                <c:pt idx="30">
                  <c:v>8.822293343284171</c:v>
                </c:pt>
                <c:pt idx="31">
                  <c:v>8.7009416523990843</c:v>
                </c:pt>
                <c:pt idx="32">
                  <c:v>8.8223392991663907</c:v>
                </c:pt>
                <c:pt idx="33">
                  <c:v>8.7080209309446115</c:v>
                </c:pt>
                <c:pt idx="34">
                  <c:v>8.8223777597111486</c:v>
                </c:pt>
                <c:pt idx="35">
                  <c:v>8.7143211952764634</c:v>
                </c:pt>
                <c:pt idx="36">
                  <c:v>8.8224102708124139</c:v>
                </c:pt>
                <c:pt idx="37">
                  <c:v>8.7199643857440581</c:v>
                </c:pt>
                <c:pt idx="38">
                  <c:v>8.8224379993742303</c:v>
                </c:pt>
                <c:pt idx="39">
                  <c:v>8.7250482493046135</c:v>
                </c:pt>
                <c:pt idx="40">
                  <c:v>8.8224618395716679</c:v>
                </c:pt>
                <c:pt idx="41">
                  <c:v>8.7296520566346771</c:v>
                </c:pt>
                <c:pt idx="42">
                  <c:v>8.8224824859528095</c:v>
                </c:pt>
                <c:pt idx="43">
                  <c:v>8.7338407711170216</c:v>
                </c:pt>
                <c:pt idx="44">
                  <c:v>8.8225004846083959</c:v>
                </c:pt>
                <c:pt idx="45">
                  <c:v>8.7376681377167564</c:v>
                </c:pt>
                <c:pt idx="46">
                  <c:v>8.8225162697142103</c:v>
                </c:pt>
                <c:pt idx="47">
                  <c:v>8.7411790046714763</c:v>
                </c:pt>
                <c:pt idx="48">
                  <c:v>8.8225301899303439</c:v>
                </c:pt>
                <c:pt idx="49">
                  <c:v>8.7444110914862918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2D-435B-9E1E-DB94BAF0DC4D}"/>
            </c:ext>
          </c:extLst>
        </c:ser>
        <c:ser>
          <c:idx val="1"/>
          <c:order val="1"/>
          <c:tx>
            <c:strRef>
              <c:f>Sheet2!$O$1</c:f>
              <c:strCache>
                <c:ptCount val="1"/>
                <c:pt idx="0">
                  <c:v>B-S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Sheet2!$M$2:$M$51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Sheet2!$O$2:$O$51</c:f>
              <c:numCache>
                <c:formatCode>General</c:formatCode>
                <c:ptCount val="50"/>
                <c:pt idx="0">
                  <c:v>8.8226930063155411</c:v>
                </c:pt>
                <c:pt idx="1">
                  <c:v>8.8226930063155411</c:v>
                </c:pt>
                <c:pt idx="2">
                  <c:v>8.8226930063155411</c:v>
                </c:pt>
                <c:pt idx="3">
                  <c:v>8.8226930063155411</c:v>
                </c:pt>
                <c:pt idx="4">
                  <c:v>8.8226930063155411</c:v>
                </c:pt>
                <c:pt idx="5">
                  <c:v>8.8226930063155411</c:v>
                </c:pt>
                <c:pt idx="6">
                  <c:v>8.8226930063155411</c:v>
                </c:pt>
                <c:pt idx="7">
                  <c:v>8.8226930063155411</c:v>
                </c:pt>
                <c:pt idx="8">
                  <c:v>8.8226930063155411</c:v>
                </c:pt>
                <c:pt idx="9">
                  <c:v>8.8226930063155411</c:v>
                </c:pt>
                <c:pt idx="10">
                  <c:v>8.8226930063155411</c:v>
                </c:pt>
                <c:pt idx="11">
                  <c:v>8.8226930063155411</c:v>
                </c:pt>
                <c:pt idx="12">
                  <c:v>8.8226930063155411</c:v>
                </c:pt>
                <c:pt idx="13">
                  <c:v>8.8226930063155411</c:v>
                </c:pt>
                <c:pt idx="14">
                  <c:v>8.8226930063155411</c:v>
                </c:pt>
                <c:pt idx="15">
                  <c:v>8.8226930063155411</c:v>
                </c:pt>
                <c:pt idx="16">
                  <c:v>8.8226930063155411</c:v>
                </c:pt>
                <c:pt idx="17">
                  <c:v>8.8226930063155411</c:v>
                </c:pt>
                <c:pt idx="18">
                  <c:v>8.8226930063155411</c:v>
                </c:pt>
                <c:pt idx="19">
                  <c:v>8.8226930063155411</c:v>
                </c:pt>
                <c:pt idx="20">
                  <c:v>8.8226930063155411</c:v>
                </c:pt>
                <c:pt idx="21">
                  <c:v>8.8226930063155411</c:v>
                </c:pt>
                <c:pt idx="22">
                  <c:v>8.8226930063155411</c:v>
                </c:pt>
                <c:pt idx="23">
                  <c:v>8.8226930063155411</c:v>
                </c:pt>
                <c:pt idx="24">
                  <c:v>8.8226930063155411</c:v>
                </c:pt>
                <c:pt idx="25">
                  <c:v>8.8226930063155411</c:v>
                </c:pt>
                <c:pt idx="26">
                  <c:v>8.8226930063155411</c:v>
                </c:pt>
                <c:pt idx="27">
                  <c:v>8.8226930063155411</c:v>
                </c:pt>
                <c:pt idx="28">
                  <c:v>8.8226930063155411</c:v>
                </c:pt>
                <c:pt idx="29">
                  <c:v>8.8226930063155411</c:v>
                </c:pt>
                <c:pt idx="30">
                  <c:v>8.8226930063155411</c:v>
                </c:pt>
                <c:pt idx="31">
                  <c:v>8.8226930063155411</c:v>
                </c:pt>
                <c:pt idx="32">
                  <c:v>8.8226930063155411</c:v>
                </c:pt>
                <c:pt idx="33">
                  <c:v>8.8226930063155411</c:v>
                </c:pt>
                <c:pt idx="34">
                  <c:v>8.8226930063155411</c:v>
                </c:pt>
                <c:pt idx="35">
                  <c:v>8.8226930063155411</c:v>
                </c:pt>
                <c:pt idx="36">
                  <c:v>8.8226930063155411</c:v>
                </c:pt>
                <c:pt idx="37">
                  <c:v>8.8226930063155411</c:v>
                </c:pt>
                <c:pt idx="38">
                  <c:v>8.8226930063155411</c:v>
                </c:pt>
                <c:pt idx="39">
                  <c:v>8.8226930063155411</c:v>
                </c:pt>
                <c:pt idx="40">
                  <c:v>8.8226930063155411</c:v>
                </c:pt>
                <c:pt idx="41">
                  <c:v>8.8226930063155411</c:v>
                </c:pt>
                <c:pt idx="42">
                  <c:v>8.8226930063155411</c:v>
                </c:pt>
                <c:pt idx="43">
                  <c:v>8.8226930063155411</c:v>
                </c:pt>
                <c:pt idx="44">
                  <c:v>8.8226930063155411</c:v>
                </c:pt>
                <c:pt idx="45">
                  <c:v>8.8226930063155411</c:v>
                </c:pt>
                <c:pt idx="46">
                  <c:v>8.8226930063155411</c:v>
                </c:pt>
                <c:pt idx="47">
                  <c:v>8.8226930063155411</c:v>
                </c:pt>
                <c:pt idx="48">
                  <c:v>8.8226930063155411</c:v>
                </c:pt>
                <c:pt idx="49">
                  <c:v>8.8226930063155411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2D-435B-9E1E-DB94BAF0D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43536"/>
        <c:axId val="186645936"/>
      </c:scatterChart>
      <c:valAx>
        <c:axId val="18664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45936"/>
        <c:crosses val="autoZero"/>
        <c:crossBetween val="midCat"/>
      </c:valAx>
      <c:valAx>
        <c:axId val="186645936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64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Leisen-Reimer</a:t>
            </a:r>
            <a:r>
              <a:rPr lang="en-US" baseline="0"/>
              <a:t> (Odd)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Sheet2!$Z$1</c:f>
              <c:strCache>
                <c:ptCount val="1"/>
                <c:pt idx="0">
                  <c:v>Leisen-Reimer 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Sheet2!$AB$2:$AB$26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</c:numCache>
            </c:numRef>
          </c:xVal>
          <c:yVal>
            <c:numRef>
              <c:f>Sheet2!$Z$2:$Z$26</c:f>
              <c:numCache>
                <c:formatCode>General</c:formatCode>
                <c:ptCount val="25"/>
                <c:pt idx="0">
                  <c:v>8.6543168972014684</c:v>
                </c:pt>
                <c:pt idx="1">
                  <c:v>8.792549592839098</c:v>
                </c:pt>
                <c:pt idx="2">
                  <c:v>8.8102862014442422</c:v>
                </c:pt>
                <c:pt idx="3">
                  <c:v>8.8159313041003529</c:v>
                </c:pt>
                <c:pt idx="4">
                  <c:v>8.8184379226434864</c:v>
                </c:pt>
                <c:pt idx="5">
                  <c:v>8.8197686997893019</c:v>
                </c:pt>
                <c:pt idx="6">
                  <c:v>8.8205596174810275</c:v>
                </c:pt>
                <c:pt idx="7">
                  <c:v>8.8210678972540926</c:v>
                </c:pt>
                <c:pt idx="8">
                  <c:v>8.8214138722265947</c:v>
                </c:pt>
                <c:pt idx="9">
                  <c:v>8.8216599966326061</c:v>
                </c:pt>
                <c:pt idx="10">
                  <c:v>8.821841321016203</c:v>
                </c:pt>
                <c:pt idx="11">
                  <c:v>8.8219787571542074</c:v>
                </c:pt>
                <c:pt idx="12">
                  <c:v>8.822085411075749</c:v>
                </c:pt>
                <c:pt idx="13">
                  <c:v>8.8221698365401338</c:v>
                </c:pt>
                <c:pt idx="14">
                  <c:v>8.8222378091992777</c:v>
                </c:pt>
                <c:pt idx="15">
                  <c:v>8.822293343284171</c:v>
                </c:pt>
                <c:pt idx="16">
                  <c:v>8.8223392991663907</c:v>
                </c:pt>
                <c:pt idx="17">
                  <c:v>8.8223777597111486</c:v>
                </c:pt>
                <c:pt idx="18">
                  <c:v>8.8224102708124139</c:v>
                </c:pt>
                <c:pt idx="19">
                  <c:v>8.8224379993742303</c:v>
                </c:pt>
                <c:pt idx="20">
                  <c:v>8.8224618395716679</c:v>
                </c:pt>
                <c:pt idx="21">
                  <c:v>8.8224824859528095</c:v>
                </c:pt>
                <c:pt idx="22">
                  <c:v>8.8225004846083959</c:v>
                </c:pt>
                <c:pt idx="23">
                  <c:v>8.8225162697142103</c:v>
                </c:pt>
                <c:pt idx="24">
                  <c:v>8.8225301899303439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AA-4CCB-B9AF-7C66BEA2EAF3}"/>
            </c:ext>
          </c:extLst>
        </c:ser>
        <c:ser>
          <c:idx val="1"/>
          <c:order val="1"/>
          <c:tx>
            <c:strRef>
              <c:f>Sheet2!$AA$1</c:f>
              <c:strCache>
                <c:ptCount val="1"/>
                <c:pt idx="0">
                  <c:v>B-S Model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Sheet2!$AB$2:$AB$26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</c:numCache>
            </c:numRef>
          </c:xVal>
          <c:yVal>
            <c:numRef>
              <c:f>Sheet2!$AA$2:$AA$26</c:f>
              <c:numCache>
                <c:formatCode>General</c:formatCode>
                <c:ptCount val="25"/>
                <c:pt idx="0">
                  <c:v>8.8226930063155411</c:v>
                </c:pt>
                <c:pt idx="1">
                  <c:v>8.8226930063155411</c:v>
                </c:pt>
                <c:pt idx="2">
                  <c:v>8.8226930063155411</c:v>
                </c:pt>
                <c:pt idx="3">
                  <c:v>8.8226930063155411</c:v>
                </c:pt>
                <c:pt idx="4">
                  <c:v>8.8226930063155411</c:v>
                </c:pt>
                <c:pt idx="5">
                  <c:v>8.8226930063155411</c:v>
                </c:pt>
                <c:pt idx="6">
                  <c:v>8.8226930063155411</c:v>
                </c:pt>
                <c:pt idx="7">
                  <c:v>8.8226930063155411</c:v>
                </c:pt>
                <c:pt idx="8">
                  <c:v>8.8226930063155411</c:v>
                </c:pt>
                <c:pt idx="9">
                  <c:v>8.8226930063155411</c:v>
                </c:pt>
                <c:pt idx="10">
                  <c:v>8.8226930063155411</c:v>
                </c:pt>
                <c:pt idx="11">
                  <c:v>8.8226930063155411</c:v>
                </c:pt>
                <c:pt idx="12">
                  <c:v>8.8226930063155411</c:v>
                </c:pt>
                <c:pt idx="13">
                  <c:v>8.8226930063155411</c:v>
                </c:pt>
                <c:pt idx="14">
                  <c:v>8.8226930063155411</c:v>
                </c:pt>
                <c:pt idx="15">
                  <c:v>8.8226930063155411</c:v>
                </c:pt>
                <c:pt idx="16">
                  <c:v>8.8226930063155411</c:v>
                </c:pt>
                <c:pt idx="17">
                  <c:v>8.8226930063155411</c:v>
                </c:pt>
                <c:pt idx="18">
                  <c:v>8.8226930063155411</c:v>
                </c:pt>
                <c:pt idx="19">
                  <c:v>8.8226930063155411</c:v>
                </c:pt>
                <c:pt idx="20">
                  <c:v>8.8226930063155411</c:v>
                </c:pt>
                <c:pt idx="21">
                  <c:v>8.8226930063155411</c:v>
                </c:pt>
                <c:pt idx="22">
                  <c:v>8.8226930063155411</c:v>
                </c:pt>
                <c:pt idx="23">
                  <c:v>8.8226930063155411</c:v>
                </c:pt>
                <c:pt idx="24">
                  <c:v>8.8226930063155411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A-4CCB-B9AF-7C66BEA2E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9432128"/>
        <c:axId val="1999432608"/>
      </c:scatterChart>
      <c:valAx>
        <c:axId val="199943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9432608"/>
        <c:crosses val="autoZero"/>
        <c:crossBetween val="midCat"/>
      </c:valAx>
      <c:valAx>
        <c:axId val="199943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943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</a:t>
            </a:r>
            <a:r>
              <a:rPr lang="en-US" baseline="0"/>
              <a:t> Leisen-Reimer (Odd)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Sheet2!$AB$2:$AB$26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</c:numCache>
            </c:numRef>
          </c:xVal>
          <c:yVal>
            <c:numRef>
              <c:f>Sheet2!$AC$2:$AC$26</c:f>
              <c:numCache>
                <c:formatCode>General</c:formatCode>
                <c:ptCount val="25"/>
                <c:pt idx="0">
                  <c:v>0.16837610911407275</c:v>
                </c:pt>
                <c:pt idx="1">
                  <c:v>3.0143413476443115E-2</c:v>
                </c:pt>
                <c:pt idx="2">
                  <c:v>1.240680487129886E-2</c:v>
                </c:pt>
                <c:pt idx="3">
                  <c:v>6.7617022151882367E-3</c:v>
                </c:pt>
                <c:pt idx="4">
                  <c:v>4.255083672054738E-3</c:v>
                </c:pt>
                <c:pt idx="5">
                  <c:v>2.9243065262392065E-3</c:v>
                </c:pt>
                <c:pt idx="6">
                  <c:v>2.1333888345136387E-3</c:v>
                </c:pt>
                <c:pt idx="7">
                  <c:v>1.6251090614485264E-3</c:v>
                </c:pt>
                <c:pt idx="8">
                  <c:v>1.2791340889464209E-3</c:v>
                </c:pt>
                <c:pt idx="9">
                  <c:v>1.03300968293496E-3</c:v>
                </c:pt>
                <c:pt idx="10">
                  <c:v>8.5168529933810078E-4</c:v>
                </c:pt>
                <c:pt idx="11">
                  <c:v>7.1424916133366878E-4</c:v>
                </c:pt>
                <c:pt idx="12">
                  <c:v>6.0759523979214691E-4</c:v>
                </c:pt>
                <c:pt idx="13">
                  <c:v>5.2316977540733944E-4</c:v>
                </c:pt>
                <c:pt idx="14">
                  <c:v>4.5519711626340609E-4</c:v>
                </c:pt>
                <c:pt idx="15">
                  <c:v>3.9966303137006776E-4</c:v>
                </c:pt>
                <c:pt idx="16">
                  <c:v>3.5370714915039514E-4</c:v>
                </c:pt>
                <c:pt idx="17">
                  <c:v>3.1524660439252727E-4</c:v>
                </c:pt>
                <c:pt idx="18">
                  <c:v>2.8273550312718498E-4</c:v>
                </c:pt>
                <c:pt idx="19">
                  <c:v>2.5500694131075363E-4</c:v>
                </c:pt>
                <c:pt idx="20">
                  <c:v>2.3116674387324565E-4</c:v>
                </c:pt>
                <c:pt idx="21">
                  <c:v>2.1052036273161434E-4</c:v>
                </c:pt>
                <c:pt idx="22">
                  <c:v>1.9252170714523231E-4</c:v>
                </c:pt>
                <c:pt idx="23">
                  <c:v>1.7673660133077362E-4</c:v>
                </c:pt>
                <c:pt idx="24">
                  <c:v>1.6281638519721753E-4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3-474B-B1DF-3535FAB2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380128"/>
        <c:axId val="298348320"/>
      </c:scatterChart>
      <c:valAx>
        <c:axId val="29638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48320"/>
        <c:crosses val="autoZero"/>
        <c:crossBetween val="midCat"/>
      </c:valAx>
      <c:valAx>
        <c:axId val="2983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8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75</xdr:row>
      <xdr:rowOff>0</xdr:rowOff>
    </xdr:from>
    <xdr:to>
      <xdr:col>2</xdr:col>
      <xdr:colOff>601980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1E6283-3A9A-43FA-A280-3B5760015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75</xdr:row>
      <xdr:rowOff>7620</xdr:rowOff>
    </xdr:from>
    <xdr:to>
      <xdr:col>6</xdr:col>
      <xdr:colOff>1104900</xdr:colOff>
      <xdr:row>90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DCC9BD-61A0-41C6-A9E8-D6F7F0267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98</xdr:row>
      <xdr:rowOff>7620</xdr:rowOff>
    </xdr:from>
    <xdr:to>
      <xdr:col>3</xdr:col>
      <xdr:colOff>0</xdr:colOff>
      <xdr:row>113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54A793-8320-4BBF-A8F5-943BC383D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7620</xdr:colOff>
      <xdr:row>98</xdr:row>
      <xdr:rowOff>7620</xdr:rowOff>
    </xdr:from>
    <xdr:to>
      <xdr:col>6</xdr:col>
      <xdr:colOff>1112520</xdr:colOff>
      <xdr:row>113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6FA8FC-85B8-4420-90FC-E70385A74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118</xdr:row>
      <xdr:rowOff>0</xdr:rowOff>
    </xdr:from>
    <xdr:to>
      <xdr:col>3</xdr:col>
      <xdr:colOff>0</xdr:colOff>
      <xdr:row>133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0754CF6-D89B-4604-A282-9E4A7888D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7620</xdr:colOff>
      <xdr:row>118</xdr:row>
      <xdr:rowOff>0</xdr:rowOff>
    </xdr:from>
    <xdr:to>
      <xdr:col>6</xdr:col>
      <xdr:colOff>1097280</xdr:colOff>
      <xdr:row>133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57659D0-9FA4-4FA3-B545-63C5BB218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16</xdr:row>
      <xdr:rowOff>19050</xdr:rowOff>
    </xdr:from>
    <xdr:to>
      <xdr:col>11</xdr:col>
      <xdr:colOff>335280</xdr:colOff>
      <xdr:row>31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0379FD4-A888-50D1-9E9A-C770F9176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15240</xdr:colOff>
      <xdr:row>15</xdr:row>
      <xdr:rowOff>179070</xdr:rowOff>
    </xdr:from>
    <xdr:to>
      <xdr:col>23</xdr:col>
      <xdr:colOff>320040</xdr:colOff>
      <xdr:row>30</xdr:row>
      <xdr:rowOff>179070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386410F-EBD0-A206-BDE9-D80239161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</xdr:colOff>
      <xdr:row>0</xdr:row>
      <xdr:rowOff>175260</xdr:rowOff>
    </xdr:from>
    <xdr:to>
      <xdr:col>11</xdr:col>
      <xdr:colOff>335280</xdr:colOff>
      <xdr:row>15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731F346-1FD3-035C-F317-43F8B7FD6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38100</xdr:colOff>
      <xdr:row>0</xdr:row>
      <xdr:rowOff>0</xdr:rowOff>
    </xdr:from>
    <xdr:to>
      <xdr:col>23</xdr:col>
      <xdr:colOff>342900</xdr:colOff>
      <xdr:row>15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62A090-0E2C-EABF-C6CC-7F1744FBD7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0</xdr:colOff>
      <xdr:row>0</xdr:row>
      <xdr:rowOff>11430</xdr:rowOff>
    </xdr:from>
    <xdr:to>
      <xdr:col>36</xdr:col>
      <xdr:colOff>304800</xdr:colOff>
      <xdr:row>15</xdr:row>
      <xdr:rowOff>11430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7AB2812-BF1C-AF06-2CAB-145A830AF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15240</xdr:colOff>
      <xdr:row>15</xdr:row>
      <xdr:rowOff>3810</xdr:rowOff>
    </xdr:from>
    <xdr:to>
      <xdr:col>36</xdr:col>
      <xdr:colOff>320040</xdr:colOff>
      <xdr:row>30</xdr:row>
      <xdr:rowOff>3810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88928617-3D0C-52D4-3085-20863A771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41F3A-6817-4116-8CBC-22C0D417C773}" name="Table2" displayName="Table2" ref="A137:G139" totalsRowShown="0">
  <autoFilter ref="A137:G139" xr:uid="{F6841F3A-6817-4116-8CBC-22C0D417C773}"/>
  <tableColumns count="7">
    <tableColumn id="1" xr3:uid="{9F71A2D8-1229-46C2-BA5D-3779A94D1C66}" name="n"/>
    <tableColumn id="2" xr3:uid="{EC479F89-E2D3-46EF-82E0-F74D92AF2871}" name="1">
      <calculatedColumnFormula array="1">ABS(LeisenReimer(105.3,104.7,0.0097,1,0.192,B137)-BlackScholes(105.3,104.7,0.0097,1,0.192))</calculatedColumnFormula>
    </tableColumn>
    <tableColumn id="3" xr3:uid="{5D132922-98C6-4701-9427-A9BCED326248}" name="9">
      <calculatedColumnFormula array="1">ABS(LeisenReimer(105.3,104.7,0.0097,1,0.192,C137)-BlackScholes(105.3,104.7,0.0097,1,0.192))</calculatedColumnFormula>
    </tableColumn>
    <tableColumn id="4" xr3:uid="{B3D23C59-154E-4D7B-8B25-175503CE6FEC}" name="19">
      <calculatedColumnFormula array="1">ABS(LeisenReimer(105.3,104.7,0.0097,1,0.192,D137)-BlackScholes(105.3,104.7,0.0097,1,0.192))</calculatedColumnFormula>
    </tableColumn>
    <tableColumn id="5" xr3:uid="{F3816090-15C9-4AF0-A8B5-A340971F9C02}" name="29">
      <calculatedColumnFormula array="1">ABS(LeisenReimer(105.3,104.7,0.0097,1,0.192,E137)-BlackScholes(105.3,104.7,0.0097,1,0.192))</calculatedColumnFormula>
    </tableColumn>
    <tableColumn id="6" xr3:uid="{28ACA7E0-D406-4479-A2D2-6A578906D186}" name="39">
      <calculatedColumnFormula array="1">ABS(LeisenReimer(105.3,104.7,0.0097,1,0.192,F137)-BlackScholes(105.3,104.7,0.0097,1,0.192))</calculatedColumnFormula>
    </tableColumn>
    <tableColumn id="7" xr3:uid="{63D81DCF-B378-43A5-AC4E-418905E9E1C9}" name="49">
      <calculatedColumnFormula array="1">ABS(LeisenReimer(105.3,104.7,0.0097,1,0.192,G137)-BlackScholes(105.3,104.7,0.0097,1,0.192))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66D4B-3F48-4671-9192-CA3DFB168CB7}">
  <sheetPr codeName="Sheet1"/>
  <dimension ref="A1:G139"/>
  <sheetViews>
    <sheetView topLeftCell="A133" workbookViewId="0">
      <selection activeCell="I125" sqref="I125"/>
    </sheetView>
  </sheetViews>
  <sheetFormatPr defaultRowHeight="14.4" x14ac:dyDescent="0.3"/>
  <cols>
    <col min="1" max="1" width="25.109375" customWidth="1"/>
    <col min="2" max="2" width="12.21875" customWidth="1"/>
    <col min="7" max="7" width="16.44140625" customWidth="1"/>
  </cols>
  <sheetData>
    <row r="1" spans="1:2" x14ac:dyDescent="0.3">
      <c r="A1" t="s">
        <v>1</v>
      </c>
      <c r="B1" t="s">
        <v>0</v>
      </c>
    </row>
    <row r="3" spans="1:2" x14ac:dyDescent="0.3">
      <c r="A3" t="s">
        <v>28</v>
      </c>
    </row>
    <row r="4" spans="1:2" x14ac:dyDescent="0.3">
      <c r="A4" s="2" t="s">
        <v>2</v>
      </c>
    </row>
    <row r="5" spans="1:2" x14ac:dyDescent="0.3">
      <c r="A5" s="2" t="s">
        <v>7</v>
      </c>
    </row>
    <row r="6" spans="1:2" x14ac:dyDescent="0.3">
      <c r="A6" s="2" t="s">
        <v>8</v>
      </c>
    </row>
    <row r="8" spans="1:2" x14ac:dyDescent="0.3">
      <c r="A8" t="s">
        <v>29</v>
      </c>
    </row>
    <row r="9" spans="1:2" x14ac:dyDescent="0.3">
      <c r="A9" t="s">
        <v>3</v>
      </c>
    </row>
    <row r="11" spans="1:2" x14ac:dyDescent="0.3">
      <c r="A11" t="s">
        <v>30</v>
      </c>
    </row>
    <row r="12" spans="1:2" x14ac:dyDescent="0.3">
      <c r="A12" t="s">
        <v>31</v>
      </c>
    </row>
    <row r="13" spans="1:2" x14ac:dyDescent="0.3">
      <c r="A13" t="s">
        <v>32</v>
      </c>
    </row>
    <row r="14" spans="1:2" x14ac:dyDescent="0.3">
      <c r="A14" t="s">
        <v>33</v>
      </c>
    </row>
    <row r="15" spans="1:2" x14ac:dyDescent="0.3">
      <c r="A15" t="s">
        <v>34</v>
      </c>
    </row>
    <row r="17" spans="1:1" x14ac:dyDescent="0.3">
      <c r="A17" t="s">
        <v>35</v>
      </c>
    </row>
    <row r="18" spans="1:1" x14ac:dyDescent="0.3">
      <c r="A18" t="s">
        <v>36</v>
      </c>
    </row>
    <row r="20" spans="1:1" x14ac:dyDescent="0.3">
      <c r="A20" t="s">
        <v>37</v>
      </c>
    </row>
    <row r="21" spans="1:1" x14ac:dyDescent="0.3">
      <c r="A21" t="s">
        <v>38</v>
      </c>
    </row>
    <row r="23" spans="1:1" ht="21" x14ac:dyDescent="0.4">
      <c r="A23" s="3" t="s">
        <v>39</v>
      </c>
    </row>
    <row r="26" spans="1:1" x14ac:dyDescent="0.3">
      <c r="A26" s="2" t="s">
        <v>2</v>
      </c>
    </row>
    <row r="28" spans="1:1" x14ac:dyDescent="0.3">
      <c r="A28" t="s">
        <v>40</v>
      </c>
    </row>
    <row r="29" spans="1:1" x14ac:dyDescent="0.3">
      <c r="A29" t="s">
        <v>41</v>
      </c>
    </row>
    <row r="30" spans="1:1" x14ac:dyDescent="0.3">
      <c r="A30" t="s">
        <v>42</v>
      </c>
    </row>
    <row r="31" spans="1:1" x14ac:dyDescent="0.3">
      <c r="A31" t="s">
        <v>43</v>
      </c>
    </row>
    <row r="32" spans="1:1" x14ac:dyDescent="0.3">
      <c r="A32" t="s">
        <v>44</v>
      </c>
    </row>
    <row r="33" spans="1:1" x14ac:dyDescent="0.3">
      <c r="A33" t="s">
        <v>45</v>
      </c>
    </row>
    <row r="34" spans="1:1" x14ac:dyDescent="0.3">
      <c r="A34" t="s">
        <v>46</v>
      </c>
    </row>
    <row r="35" spans="1:1" x14ac:dyDescent="0.3">
      <c r="A35" t="s">
        <v>47</v>
      </c>
    </row>
    <row r="36" spans="1:1" x14ac:dyDescent="0.3">
      <c r="A36" t="s">
        <v>48</v>
      </c>
    </row>
    <row r="37" spans="1:1" x14ac:dyDescent="0.3">
      <c r="A37" t="s">
        <v>49</v>
      </c>
    </row>
    <row r="38" spans="1:1" x14ac:dyDescent="0.3">
      <c r="A38" t="s">
        <v>50</v>
      </c>
    </row>
    <row r="39" spans="1:1" x14ac:dyDescent="0.3">
      <c r="A39" t="s">
        <v>51</v>
      </c>
    </row>
    <row r="40" spans="1:1" x14ac:dyDescent="0.3">
      <c r="A40" t="s">
        <v>52</v>
      </c>
    </row>
    <row r="42" spans="1:1" x14ac:dyDescent="0.3">
      <c r="A42" s="2" t="s">
        <v>53</v>
      </c>
    </row>
    <row r="43" spans="1:1" x14ac:dyDescent="0.3">
      <c r="A43" s="2"/>
    </row>
    <row r="44" spans="1:1" x14ac:dyDescent="0.3">
      <c r="A44" t="s">
        <v>54</v>
      </c>
    </row>
    <row r="45" spans="1:1" x14ac:dyDescent="0.3">
      <c r="A45" t="s">
        <v>4</v>
      </c>
    </row>
    <row r="47" spans="1:1" x14ac:dyDescent="0.3">
      <c r="A47" s="2" t="s">
        <v>5</v>
      </c>
    </row>
    <row r="48" spans="1:1" x14ac:dyDescent="0.3">
      <c r="A48" s="2" t="s">
        <v>6</v>
      </c>
    </row>
    <row r="50" spans="1:1" x14ac:dyDescent="0.3">
      <c r="A50" t="s">
        <v>55</v>
      </c>
    </row>
    <row r="52" spans="1:1" x14ac:dyDescent="0.3">
      <c r="A52" s="2" t="s">
        <v>71</v>
      </c>
    </row>
    <row r="54" spans="1:1" x14ac:dyDescent="0.3">
      <c r="A54" s="2" t="s">
        <v>8</v>
      </c>
    </row>
    <row r="56" spans="1:1" x14ac:dyDescent="0.3">
      <c r="A56" t="s">
        <v>56</v>
      </c>
    </row>
    <row r="57" spans="1:1" x14ac:dyDescent="0.3">
      <c r="A57" t="s">
        <v>57</v>
      </c>
    </row>
    <row r="58" spans="1:1" x14ac:dyDescent="0.3">
      <c r="A58" t="s">
        <v>58</v>
      </c>
    </row>
    <row r="60" spans="1:1" x14ac:dyDescent="0.3">
      <c r="A60" s="2" t="s">
        <v>9</v>
      </c>
    </row>
    <row r="61" spans="1:1" x14ac:dyDescent="0.3">
      <c r="A61" s="2" t="s">
        <v>10</v>
      </c>
    </row>
    <row r="62" spans="1:1" x14ac:dyDescent="0.3">
      <c r="A62" t="s">
        <v>72</v>
      </c>
    </row>
    <row r="63" spans="1:1" x14ac:dyDescent="0.3">
      <c r="A63" t="s">
        <v>73</v>
      </c>
    </row>
    <row r="64" spans="1:1" x14ac:dyDescent="0.3">
      <c r="A64" s="2" t="s">
        <v>11</v>
      </c>
    </row>
    <row r="65" spans="1:1" x14ac:dyDescent="0.3">
      <c r="A65" s="2" t="s">
        <v>12</v>
      </c>
    </row>
    <row r="66" spans="1:1" x14ac:dyDescent="0.3">
      <c r="A66" s="2" t="s">
        <v>13</v>
      </c>
    </row>
    <row r="68" spans="1:1" x14ac:dyDescent="0.3">
      <c r="A68" t="s">
        <v>59</v>
      </c>
    </row>
    <row r="69" spans="1:1" x14ac:dyDescent="0.3">
      <c r="A69" t="s">
        <v>60</v>
      </c>
    </row>
    <row r="71" spans="1:1" ht="21" x14ac:dyDescent="0.4">
      <c r="A71" s="3" t="s">
        <v>14</v>
      </c>
    </row>
    <row r="74" spans="1:1" x14ac:dyDescent="0.3">
      <c r="A74" t="s">
        <v>61</v>
      </c>
    </row>
    <row r="75" spans="1:1" x14ac:dyDescent="0.3">
      <c r="A75" t="s">
        <v>62</v>
      </c>
    </row>
    <row r="92" spans="1:1" x14ac:dyDescent="0.3">
      <c r="A92" t="s">
        <v>63</v>
      </c>
    </row>
    <row r="94" spans="1:1" x14ac:dyDescent="0.3">
      <c r="A94" t="s">
        <v>64</v>
      </c>
    </row>
    <row r="95" spans="1:1" x14ac:dyDescent="0.3">
      <c r="A95" t="s">
        <v>65</v>
      </c>
    </row>
    <row r="97" spans="1:1" x14ac:dyDescent="0.3">
      <c r="A97" t="s">
        <v>66</v>
      </c>
    </row>
    <row r="115" spans="1:1" x14ac:dyDescent="0.3">
      <c r="A115" t="s">
        <v>67</v>
      </c>
    </row>
    <row r="116" spans="1:1" x14ac:dyDescent="0.3">
      <c r="A116" t="s">
        <v>68</v>
      </c>
    </row>
    <row r="117" spans="1:1" x14ac:dyDescent="0.3">
      <c r="A117" t="s">
        <v>69</v>
      </c>
    </row>
    <row r="134" spans="1:7" x14ac:dyDescent="0.3">
      <c r="A134" t="s">
        <v>70</v>
      </c>
    </row>
    <row r="135" spans="1:7" x14ac:dyDescent="0.3">
      <c r="A135" t="s">
        <v>74</v>
      </c>
    </row>
    <row r="137" spans="1:7" x14ac:dyDescent="0.3">
      <c r="A137" s="1" t="s">
        <v>15</v>
      </c>
      <c r="B137" t="s">
        <v>22</v>
      </c>
      <c r="C137" t="s">
        <v>23</v>
      </c>
      <c r="D137" t="s">
        <v>24</v>
      </c>
      <c r="E137" t="s">
        <v>25</v>
      </c>
      <c r="F137" t="s">
        <v>26</v>
      </c>
      <c r="G137" t="s">
        <v>27</v>
      </c>
    </row>
    <row r="138" spans="1:7" x14ac:dyDescent="0.3">
      <c r="A138" s="2" t="s">
        <v>20</v>
      </c>
      <c r="B138" cm="1">
        <f t="array" ref="B138">ABS(Binomial(105.3,104.7,0.0097,1,0.192,B137)-BlackScholes(105.3,104.7,0.0097,1,0.192))</f>
        <v>1.9984216364213339</v>
      </c>
      <c r="C138" cm="1">
        <f t="array" ref="C138">ABS(Binomial(105.3,104.7,0.0097,1,0.192,C137)-BlackScholes(105.3,104.7,0.0097,1,0.192))</f>
        <v>0.21917834512646195</v>
      </c>
      <c r="D138" cm="1">
        <f t="array" ref="D138">ABS(Binomial(105.3,104.7,0.0097,1,0.192,D137)-BlackScholes(105.3,104.7,0.0097,1,0.192))</f>
        <v>0.10137442880126812</v>
      </c>
      <c r="E138" cm="1">
        <f t="array" ref="E138">ABS(Binomial(105.3,104.7,0.0097,1,0.192,E137)-BlackScholes(105.3,104.7,0.0097,1,0.192))</f>
        <v>6.5067342691257579E-2</v>
      </c>
      <c r="F138" cm="1">
        <f t="array" ref="F138">ABS(Binomial(105.3,104.7,0.0097,1,0.192,F137)-BlackScholes(105.3,104.7,0.0097,1,0.192))</f>
        <v>4.7429152431440968E-2</v>
      </c>
      <c r="G138" cm="1">
        <f t="array" ref="G138">ABS(Binomial(105.3,104.7,0.0097,1,0.192,G137)-BlackScholes(105.3,104.7,0.0097,1,0.192))</f>
        <v>3.7006376370577243E-2</v>
      </c>
    </row>
    <row r="139" spans="1:7" x14ac:dyDescent="0.3">
      <c r="A139" s="2" t="s">
        <v>21</v>
      </c>
      <c r="B139" cm="1">
        <f t="array" ref="B139">ABS(LeisenReimer(105.3,104.7,0.0097,1,0.192,B137)-BlackScholes(105.3,104.7,0.0097,1,0.192))</f>
        <v>0.16837610911407275</v>
      </c>
      <c r="C139" cm="1">
        <f t="array" ref="C139">ABS(LeisenReimer(105.3,104.7,0.0097,1,0.192,C137)-BlackScholes(105.3,104.7,0.0097,1,0.192))</f>
        <v>4.255083672054738E-3</v>
      </c>
      <c r="D139" cm="1">
        <f t="array" ref="D139">ABS(LeisenReimer(105.3,104.7,0.0097,1,0.192,D137)-BlackScholes(105.3,104.7,0.0097,1,0.192))</f>
        <v>1.03300968293496E-3</v>
      </c>
      <c r="E139" cm="1">
        <f t="array" ref="E139">ABS(LeisenReimer(105.3,104.7,0.0097,1,0.192,E137)-BlackScholes(105.3,104.7,0.0097,1,0.192))</f>
        <v>4.5519711626340609E-4</v>
      </c>
      <c r="F139" cm="1">
        <f t="array" ref="F139">ABS(LeisenReimer(105.3,104.7,0.0097,1,0.192,F137)-BlackScholes(105.3,104.7,0.0097,1,0.192))</f>
        <v>2.5500694131075363E-4</v>
      </c>
      <c r="G139" cm="1">
        <f t="array" ref="G139">ABS(LeisenReimer(105.3,104.7,0.0097,1,0.192,G137)-BlackScholes(105.3,104.7,0.0097,1,0.192))</f>
        <v>1.6281638519721753E-4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AA2C3-90EC-48E6-BEA9-486AE025C368}">
  <sheetPr codeName="Sheet2"/>
  <dimension ref="A1:AC54"/>
  <sheetViews>
    <sheetView tabSelected="1" zoomScaleNormal="100" workbookViewId="0">
      <selection activeCell="C54" sqref="C54"/>
    </sheetView>
  </sheetViews>
  <sheetFormatPr defaultRowHeight="14.4" x14ac:dyDescent="0.3"/>
  <cols>
    <col min="2" max="2" width="13.6640625" customWidth="1"/>
    <col min="3" max="3" width="9.44140625" customWidth="1"/>
    <col min="14" max="14" width="18.109375" customWidth="1"/>
    <col min="26" max="26" width="18" customWidth="1"/>
    <col min="27" max="27" width="10.109375" customWidth="1"/>
  </cols>
  <sheetData>
    <row r="1" spans="1:29" x14ac:dyDescent="0.3">
      <c r="A1" s="2" t="s">
        <v>15</v>
      </c>
      <c r="B1" s="2" t="s">
        <v>17</v>
      </c>
      <c r="C1" s="2" t="s">
        <v>18</v>
      </c>
      <c r="D1" s="2" t="s">
        <v>16</v>
      </c>
      <c r="M1" s="2" t="s">
        <v>15</v>
      </c>
      <c r="N1" s="2" t="s">
        <v>19</v>
      </c>
      <c r="O1" s="2" t="s">
        <v>18</v>
      </c>
      <c r="P1" s="2" t="s">
        <v>16</v>
      </c>
      <c r="Z1" s="2" t="s">
        <v>19</v>
      </c>
      <c r="AA1" s="2" t="s">
        <v>18</v>
      </c>
      <c r="AB1" s="2" t="s">
        <v>75</v>
      </c>
      <c r="AC1" s="2" t="s">
        <v>16</v>
      </c>
    </row>
    <row r="2" spans="1:29" x14ac:dyDescent="0.3">
      <c r="A2">
        <v>1</v>
      </c>
      <c r="B2" cm="1">
        <f t="array" ref="B2">Binomial(105.3,104.7,0.0097,1,0.192,A2)</f>
        <v>10.821114642736875</v>
      </c>
      <c r="C2" cm="1">
        <f t="array" ref="C2">BlackScholes(105.3,104.7,0.0097,1,0.192)</f>
        <v>8.8226930063155411</v>
      </c>
      <c r="D2">
        <f>ABS(B2-C2)</f>
        <v>1.9984216364213339</v>
      </c>
      <c r="M2">
        <v>1</v>
      </c>
      <c r="N2" cm="1">
        <f t="array" ref="N2">LeisenReimer(105.3,104.7,0.0097,1,0.192,M2)</f>
        <v>8.6543168972014684</v>
      </c>
      <c r="O2" cm="1">
        <f t="array" ref="O2">BlackScholes(105.3,104.7,0.0097,1,0.192)</f>
        <v>8.8226930063155411</v>
      </c>
      <c r="P2">
        <f>ABS(N2-O2)</f>
        <v>0.16837610911407275</v>
      </c>
      <c r="Z2" cm="1">
        <f t="array" ref="Z2">LeisenReimer(105.3,104.7,0.0097,1,0.192,AB2)</f>
        <v>8.6543168972014684</v>
      </c>
      <c r="AA2" cm="1">
        <f t="array" ref="AA2">BlackScholes(105.3,104.7,0.0097,1,0.192)</f>
        <v>8.8226930063155411</v>
      </c>
      <c r="AB2">
        <v>1</v>
      </c>
      <c r="AC2">
        <f t="shared" ref="AC2:AC26" si="0">ABS(Z2-AA2)</f>
        <v>0.16837610911407275</v>
      </c>
    </row>
    <row r="3" spans="1:29" x14ac:dyDescent="0.3">
      <c r="A3">
        <v>2</v>
      </c>
      <c r="B3" cm="1">
        <f t="array" ref="B3">Binomial(105.3,104.7,0.0097,1,0.192,A3)</f>
        <v>8.0558537017555665</v>
      </c>
      <c r="C3" cm="1">
        <f t="array" ref="C3">BlackScholes(105.3,104.7,0.0097,1,0.192)</f>
        <v>8.8226930063155411</v>
      </c>
      <c r="D3">
        <f t="shared" ref="D3:D51" si="1">ABS(B3-C3)</f>
        <v>0.76683930455997462</v>
      </c>
      <c r="M3">
        <v>2</v>
      </c>
      <c r="N3" cm="1">
        <f t="array" ref="N3">LeisenReimer(105.3,104.7,0.0097,1,0.192,M3)</f>
        <v>7.1579602735243597</v>
      </c>
      <c r="O3" cm="1">
        <f t="array" ref="O3">BlackScholes(105.3,104.7,0.0097,1,0.192)</f>
        <v>8.8226930063155411</v>
      </c>
      <c r="P3">
        <f t="shared" ref="P3:P51" si="2">ABS(N3-O3)</f>
        <v>1.6647327327911814</v>
      </c>
      <c r="Z3" cm="1">
        <f t="array" ref="Z3">LeisenReimer(105.3,104.7,0.0097,1,0.192,AB3)</f>
        <v>8.792549592839098</v>
      </c>
      <c r="AA3" cm="1">
        <f t="array" ref="AA3">BlackScholes(105.3,104.7,0.0097,1,0.192)</f>
        <v>8.8226930063155411</v>
      </c>
      <c r="AB3">
        <v>3</v>
      </c>
      <c r="AC3">
        <f t="shared" si="0"/>
        <v>3.0143413476443115E-2</v>
      </c>
    </row>
    <row r="4" spans="1:29" x14ac:dyDescent="0.3">
      <c r="A4">
        <v>3</v>
      </c>
      <c r="B4" cm="1">
        <f t="array" ref="B4">Binomial(105.3,104.7,0.0097,1,0.192,A4)</f>
        <v>9.4954543420259903</v>
      </c>
      <c r="C4" cm="1">
        <f t="array" ref="C4">BlackScholes(105.3,104.7,0.0097,1,0.192)</f>
        <v>8.8226930063155411</v>
      </c>
      <c r="D4">
        <f t="shared" si="1"/>
        <v>0.67276133571044916</v>
      </c>
      <c r="M4">
        <v>3</v>
      </c>
      <c r="N4" cm="1">
        <f t="array" ref="N4">LeisenReimer(105.3,104.7,0.0097,1,0.192,M4)</f>
        <v>8.792549592839098</v>
      </c>
      <c r="O4" cm="1">
        <f t="array" ref="O4">BlackScholes(105.3,104.7,0.0097,1,0.192)</f>
        <v>8.8226930063155411</v>
      </c>
      <c r="P4">
        <f t="shared" si="2"/>
        <v>3.0143413476443115E-2</v>
      </c>
      <c r="Z4" cm="1">
        <f t="array" ref="Z4">LeisenReimer(105.3,104.7,0.0097,1,0.192,AB4)</f>
        <v>8.8102862014442422</v>
      </c>
      <c r="AA4" cm="1">
        <f t="array" ref="AA4">BlackScholes(105.3,104.7,0.0097,1,0.192)</f>
        <v>8.8226930063155411</v>
      </c>
      <c r="AB4">
        <v>5</v>
      </c>
      <c r="AC4">
        <f t="shared" si="0"/>
        <v>1.240680487129886E-2</v>
      </c>
    </row>
    <row r="5" spans="1:29" x14ac:dyDescent="0.3">
      <c r="A5">
        <v>4</v>
      </c>
      <c r="B5" cm="1">
        <f t="array" ref="B5">Binomial(105.3,104.7,0.0097,1,0.192,A5)</f>
        <v>8.4495470466938123</v>
      </c>
      <c r="C5" cm="1">
        <f t="array" ref="C5">BlackScholes(105.3,104.7,0.0097,1,0.192)</f>
        <v>8.8226930063155411</v>
      </c>
      <c r="D5">
        <f t="shared" si="1"/>
        <v>0.37314595962172881</v>
      </c>
      <c r="M5">
        <v>4</v>
      </c>
      <c r="N5" cm="1">
        <f t="array" ref="N5">LeisenReimer(105.3,104.7,0.0097,1,0.192,M5)</f>
        <v>7.9165515427385111</v>
      </c>
      <c r="O5" cm="1">
        <f t="array" ref="O5">BlackScholes(105.3,104.7,0.0097,1,0.192)</f>
        <v>8.8226930063155411</v>
      </c>
      <c r="P5">
        <f t="shared" si="2"/>
        <v>0.90614146357702996</v>
      </c>
      <c r="Z5" cm="1">
        <f t="array" ref="Z5">LeisenReimer(105.3,104.7,0.0097,1,0.192,AB5)</f>
        <v>8.8159313041003529</v>
      </c>
      <c r="AA5" cm="1">
        <f t="array" ref="AA5">BlackScholes(105.3,104.7,0.0097,1,0.192)</f>
        <v>8.8226930063155411</v>
      </c>
      <c r="AB5">
        <v>7</v>
      </c>
      <c r="AC5">
        <f t="shared" si="0"/>
        <v>6.7617022151882367E-3</v>
      </c>
    </row>
    <row r="6" spans="1:29" x14ac:dyDescent="0.3">
      <c r="A6">
        <v>5</v>
      </c>
      <c r="B6" cm="1">
        <f t="array" ref="B6">Binomial(105.3,104.7,0.0097,1,0.192,A6)</f>
        <v>9.2226481315185058</v>
      </c>
      <c r="C6" cm="1">
        <f t="array" ref="C6">BlackScholes(105.3,104.7,0.0097,1,0.192)</f>
        <v>8.8226930063155411</v>
      </c>
      <c r="D6">
        <f t="shared" si="1"/>
        <v>0.39995512520296472</v>
      </c>
      <c r="M6">
        <v>5</v>
      </c>
      <c r="N6" cm="1">
        <f t="array" ref="N6">LeisenReimer(105.3,104.7,0.0097,1,0.192,M6)</f>
        <v>8.8102862014442422</v>
      </c>
      <c r="O6" cm="1">
        <f t="array" ref="O6">BlackScholes(105.3,104.7,0.0097,1,0.192)</f>
        <v>8.8226930063155411</v>
      </c>
      <c r="P6">
        <f t="shared" si="2"/>
        <v>1.240680487129886E-2</v>
      </c>
      <c r="Z6" cm="1">
        <f t="array" ref="Z6">LeisenReimer(105.3,104.7,0.0097,1,0.192,AB6)</f>
        <v>8.8184379226434864</v>
      </c>
      <c r="AA6" cm="1">
        <f t="array" ref="AA6">BlackScholes(105.3,104.7,0.0097,1,0.192)</f>
        <v>8.8226930063155411</v>
      </c>
      <c r="AB6">
        <v>9</v>
      </c>
      <c r="AC6">
        <f t="shared" si="0"/>
        <v>4.255083672054738E-3</v>
      </c>
    </row>
    <row r="7" spans="1:29" x14ac:dyDescent="0.3">
      <c r="A7">
        <v>6</v>
      </c>
      <c r="B7" cm="1">
        <f t="array" ref="B7">Binomial(105.3,104.7,0.0097,1,0.192,A7)</f>
        <v>8.586323636529265</v>
      </c>
      <c r="C7" cm="1">
        <f t="array" ref="C7">BlackScholes(105.3,104.7,0.0097,1,0.192)</f>
        <v>8.8226930063155411</v>
      </c>
      <c r="D7">
        <f t="shared" si="1"/>
        <v>0.2363693697862761</v>
      </c>
      <c r="M7">
        <v>6</v>
      </c>
      <c r="N7" cm="1">
        <f t="array" ref="N7">LeisenReimer(105.3,104.7,0.0097,1,0.192,M7)</f>
        <v>8.2019550501152167</v>
      </c>
      <c r="O7" cm="1">
        <f t="array" ref="O7">BlackScholes(105.3,104.7,0.0097,1,0.192)</f>
        <v>8.8226930063155411</v>
      </c>
      <c r="P7">
        <f t="shared" si="2"/>
        <v>0.62073795620032435</v>
      </c>
      <c r="Z7" cm="1">
        <f t="array" ref="Z7">LeisenReimer(105.3,104.7,0.0097,1,0.192,AB7)</f>
        <v>8.8197686997893019</v>
      </c>
      <c r="AA7" cm="1">
        <f t="array" ref="AA7">BlackScholes(105.3,104.7,0.0097,1,0.192)</f>
        <v>8.8226930063155411</v>
      </c>
      <c r="AB7">
        <v>11</v>
      </c>
      <c r="AC7">
        <f t="shared" si="0"/>
        <v>2.9243065262392065E-3</v>
      </c>
    </row>
    <row r="8" spans="1:29" x14ac:dyDescent="0.3">
      <c r="A8">
        <v>7</v>
      </c>
      <c r="B8" cm="1">
        <f t="array" ref="B8">Binomial(105.3,104.7,0.0097,1,0.192,A8)</f>
        <v>9.1062455214620339</v>
      </c>
      <c r="C8" cm="1">
        <f t="array" ref="C8">BlackScholes(105.3,104.7,0.0097,1,0.192)</f>
        <v>8.8226930063155411</v>
      </c>
      <c r="D8">
        <f t="shared" si="1"/>
        <v>0.28355251514649282</v>
      </c>
      <c r="M8">
        <v>7</v>
      </c>
      <c r="N8" cm="1">
        <f t="array" ref="N8">LeisenReimer(105.3,104.7,0.0097,1,0.192,M8)</f>
        <v>8.8159313041003529</v>
      </c>
      <c r="O8" cm="1">
        <f t="array" ref="O8">BlackScholes(105.3,104.7,0.0097,1,0.192)</f>
        <v>8.8226930063155411</v>
      </c>
      <c r="P8">
        <f t="shared" si="2"/>
        <v>6.7617022151882367E-3</v>
      </c>
      <c r="Z8" cm="1">
        <f t="array" ref="Z8">LeisenReimer(105.3,104.7,0.0097,1,0.192,AB8)</f>
        <v>8.8205596174810275</v>
      </c>
      <c r="AA8" cm="1">
        <f t="array" ref="AA8">BlackScholes(105.3,104.7,0.0097,1,0.192)</f>
        <v>8.8226930063155411</v>
      </c>
      <c r="AB8">
        <v>13</v>
      </c>
      <c r="AC8">
        <f t="shared" si="0"/>
        <v>2.1333888345136387E-3</v>
      </c>
    </row>
    <row r="9" spans="1:29" x14ac:dyDescent="0.3">
      <c r="A9">
        <v>8</v>
      </c>
      <c r="B9" cm="1">
        <f t="array" ref="B9">Binomial(105.3,104.7,0.0097,1,0.192,A9)</f>
        <v>8.6543991095416253</v>
      </c>
      <c r="C9" cm="1">
        <f t="array" ref="C9">BlackScholes(105.3,104.7,0.0097,1,0.192)</f>
        <v>8.8226930063155411</v>
      </c>
      <c r="D9">
        <f t="shared" si="1"/>
        <v>0.16829389677391582</v>
      </c>
      <c r="M9">
        <v>8</v>
      </c>
      <c r="N9" cm="1">
        <f t="array" ref="N9">LeisenReimer(105.3,104.7,0.0097,1,0.192,M9)</f>
        <v>8.3508563578725639</v>
      </c>
      <c r="O9" cm="1">
        <f t="array" ref="O9">BlackScholes(105.3,104.7,0.0097,1,0.192)</f>
        <v>8.8226930063155411</v>
      </c>
      <c r="P9">
        <f t="shared" si="2"/>
        <v>0.47183664844297724</v>
      </c>
      <c r="Z9" cm="1">
        <f t="array" ref="Z9">LeisenReimer(105.3,104.7,0.0097,1,0.192,AB9)</f>
        <v>8.8210678972540926</v>
      </c>
      <c r="AA9" cm="1">
        <f t="array" ref="AA9">BlackScholes(105.3,104.7,0.0097,1,0.192)</f>
        <v>8.8226930063155411</v>
      </c>
      <c r="AB9">
        <v>15</v>
      </c>
      <c r="AC9">
        <f t="shared" si="0"/>
        <v>1.6251090614485264E-3</v>
      </c>
    </row>
    <row r="10" spans="1:29" x14ac:dyDescent="0.3">
      <c r="A10">
        <v>9</v>
      </c>
      <c r="B10" cm="1">
        <f t="array" ref="B10">Binomial(105.3,104.7,0.0097,1,0.192,A10)</f>
        <v>9.041871351442003</v>
      </c>
      <c r="C10" cm="1">
        <f t="array" ref="C10">BlackScholes(105.3,104.7,0.0097,1,0.192)</f>
        <v>8.8226930063155411</v>
      </c>
      <c r="D10">
        <f t="shared" si="1"/>
        <v>0.21917834512646195</v>
      </c>
      <c r="M10">
        <v>9</v>
      </c>
      <c r="N10" cm="1">
        <f t="array" ref="N10">LeisenReimer(105.3,104.7,0.0097,1,0.192,M10)</f>
        <v>8.8184379226434864</v>
      </c>
      <c r="O10" cm="1">
        <f t="array" ref="O10">BlackScholes(105.3,104.7,0.0097,1,0.192)</f>
        <v>8.8226930063155411</v>
      </c>
      <c r="P10">
        <f t="shared" si="2"/>
        <v>4.255083672054738E-3</v>
      </c>
      <c r="Z10" cm="1">
        <f t="array" ref="Z10">LeisenReimer(105.3,104.7,0.0097,1,0.192,AB10)</f>
        <v>8.8214138722265947</v>
      </c>
      <c r="AA10" cm="1">
        <f t="array" ref="AA10">BlackScholes(105.3,104.7,0.0097,1,0.192)</f>
        <v>8.8226930063155411</v>
      </c>
      <c r="AB10">
        <v>17</v>
      </c>
      <c r="AC10">
        <f t="shared" si="0"/>
        <v>1.2791340889464209E-3</v>
      </c>
    </row>
    <row r="11" spans="1:29" x14ac:dyDescent="0.3">
      <c r="A11">
        <v>10</v>
      </c>
      <c r="B11" cm="1">
        <f t="array" ref="B11">Binomial(105.3,104.7,0.0097,1,0.192,A11)</f>
        <v>8.6946798699663361</v>
      </c>
      <c r="C11" cm="1">
        <f t="array" ref="C11">BlackScholes(105.3,104.7,0.0097,1,0.192)</f>
        <v>8.8226930063155411</v>
      </c>
      <c r="D11">
        <f t="shared" si="1"/>
        <v>0.12801313634920497</v>
      </c>
      <c r="M11">
        <v>10</v>
      </c>
      <c r="N11" cm="1">
        <f t="array" ref="N11">LeisenReimer(105.3,104.7,0.0097,1,0.192,M11)</f>
        <v>8.4421677284272647</v>
      </c>
      <c r="O11" cm="1">
        <f t="array" ref="O11">BlackScholes(105.3,104.7,0.0097,1,0.192)</f>
        <v>8.8226930063155411</v>
      </c>
      <c r="P11">
        <f t="shared" si="2"/>
        <v>0.38052527788827639</v>
      </c>
      <c r="Z11" cm="1">
        <f t="array" ref="Z11">LeisenReimer(105.3,104.7,0.0097,1,0.192,AB11)</f>
        <v>8.8216599966326061</v>
      </c>
      <c r="AA11" cm="1">
        <f t="array" ref="AA11">BlackScholes(105.3,104.7,0.0097,1,0.192)</f>
        <v>8.8226930063155411</v>
      </c>
      <c r="AB11">
        <v>19</v>
      </c>
      <c r="AC11">
        <f t="shared" si="0"/>
        <v>1.03300968293496E-3</v>
      </c>
    </row>
    <row r="12" spans="1:29" x14ac:dyDescent="0.3">
      <c r="A12">
        <v>11</v>
      </c>
      <c r="B12" cm="1">
        <f t="array" ref="B12">Binomial(105.3,104.7,0.0097,1,0.192,A12)</f>
        <v>9.0010487284047098</v>
      </c>
      <c r="C12" cm="1">
        <f t="array" ref="C12">BlackScholes(105.3,104.7,0.0097,1,0.192)</f>
        <v>8.8226930063155411</v>
      </c>
      <c r="D12">
        <f t="shared" si="1"/>
        <v>0.17835572208916872</v>
      </c>
      <c r="M12">
        <v>11</v>
      </c>
      <c r="N12" cm="1">
        <f t="array" ref="N12">LeisenReimer(105.3,104.7,0.0097,1,0.192,M12)</f>
        <v>8.8197686997893019</v>
      </c>
      <c r="O12" cm="1">
        <f t="array" ref="O12">BlackScholes(105.3,104.7,0.0097,1,0.192)</f>
        <v>8.8226930063155411</v>
      </c>
      <c r="P12">
        <f t="shared" si="2"/>
        <v>2.9243065262392065E-3</v>
      </c>
      <c r="Z12" cm="1">
        <f t="array" ref="Z12">LeisenReimer(105.3,104.7,0.0097,1,0.192,AB12)</f>
        <v>8.821841321016203</v>
      </c>
      <c r="AA12" cm="1">
        <f t="array" ref="AA12">BlackScholes(105.3,104.7,0.0097,1,0.192)</f>
        <v>8.8226930063155411</v>
      </c>
      <c r="AB12">
        <v>21</v>
      </c>
      <c r="AC12">
        <f t="shared" si="0"/>
        <v>8.5168529933810078E-4</v>
      </c>
    </row>
    <row r="13" spans="1:29" x14ac:dyDescent="0.3">
      <c r="A13">
        <v>12</v>
      </c>
      <c r="B13" cm="1">
        <f t="array" ref="B13">Binomial(105.3,104.7,0.0097,1,0.192,A13)</f>
        <v>8.7210920103843179</v>
      </c>
      <c r="C13" cm="1">
        <f t="array" ref="C13">BlackScholes(105.3,104.7,0.0097,1,0.192)</f>
        <v>8.8226930063155411</v>
      </c>
      <c r="D13">
        <f t="shared" si="1"/>
        <v>0.10160099593122318</v>
      </c>
      <c r="M13">
        <v>12</v>
      </c>
      <c r="N13" cm="1">
        <f t="array" ref="N13">LeisenReimer(105.3,104.7,0.0097,1,0.192,M13)</f>
        <v>8.5038612215078047</v>
      </c>
      <c r="O13" cm="1">
        <f t="array" ref="O13">BlackScholes(105.3,104.7,0.0097,1,0.192)</f>
        <v>8.8226930063155411</v>
      </c>
      <c r="P13">
        <f t="shared" si="2"/>
        <v>0.31883178480773644</v>
      </c>
      <c r="Z13" cm="1">
        <f t="array" ref="Z13">LeisenReimer(105.3,104.7,0.0097,1,0.192,AB13)</f>
        <v>8.8219787571542074</v>
      </c>
      <c r="AA13" cm="1">
        <f t="array" ref="AA13">BlackScholes(105.3,104.7,0.0097,1,0.192)</f>
        <v>8.8226930063155411</v>
      </c>
      <c r="AB13">
        <v>23</v>
      </c>
      <c r="AC13">
        <f t="shared" si="0"/>
        <v>7.1424916133366878E-4</v>
      </c>
    </row>
    <row r="14" spans="1:29" x14ac:dyDescent="0.3">
      <c r="A14">
        <v>13</v>
      </c>
      <c r="B14" cm="1">
        <f t="array" ref="B14">Binomial(105.3,104.7,0.0097,1,0.192,A14)</f>
        <v>8.9728616215084216</v>
      </c>
      <c r="C14" cm="1">
        <f t="array" ref="C14">BlackScholes(105.3,104.7,0.0097,1,0.192)</f>
        <v>8.8226930063155411</v>
      </c>
      <c r="D14">
        <f t="shared" si="1"/>
        <v>0.15016861519288049</v>
      </c>
      <c r="M14">
        <v>13</v>
      </c>
      <c r="N14" cm="1">
        <f t="array" ref="N14">LeisenReimer(105.3,104.7,0.0097,1,0.192,M14)</f>
        <v>8.8205596174810275</v>
      </c>
      <c r="O14" cm="1">
        <f t="array" ref="O14">BlackScholes(105.3,104.7,0.0097,1,0.192)</f>
        <v>8.8226930063155411</v>
      </c>
      <c r="P14">
        <f t="shared" si="2"/>
        <v>2.1333888345136387E-3</v>
      </c>
      <c r="Z14" cm="1">
        <f t="array" ref="Z14">LeisenReimer(105.3,104.7,0.0097,1,0.192,AB14)</f>
        <v>8.822085411075749</v>
      </c>
      <c r="AA14" cm="1">
        <f t="array" ref="AA14">BlackScholes(105.3,104.7,0.0097,1,0.192)</f>
        <v>8.8226930063155411</v>
      </c>
      <c r="AB14">
        <v>25</v>
      </c>
      <c r="AC14">
        <f t="shared" si="0"/>
        <v>6.0759523979214691E-4</v>
      </c>
    </row>
    <row r="15" spans="1:29" x14ac:dyDescent="0.3">
      <c r="A15">
        <v>14</v>
      </c>
      <c r="B15" cm="1">
        <f t="array" ref="B15">Binomial(105.3,104.7,0.0097,1,0.192,A15)</f>
        <v>8.7396333891988665</v>
      </c>
      <c r="C15" cm="1">
        <f t="array" ref="C15">BlackScholes(105.3,104.7,0.0097,1,0.192)</f>
        <v>8.8226930063155411</v>
      </c>
      <c r="D15">
        <f t="shared" si="1"/>
        <v>8.3059617116674644E-2</v>
      </c>
      <c r="M15">
        <v>14</v>
      </c>
      <c r="N15" cm="1">
        <f t="array" ref="N15">LeisenReimer(105.3,104.7,0.0097,1,0.192,M15)</f>
        <v>8.5483303790334535</v>
      </c>
      <c r="O15" cm="1">
        <f t="array" ref="O15">BlackScholes(105.3,104.7,0.0097,1,0.192)</f>
        <v>8.8226930063155411</v>
      </c>
      <c r="P15">
        <f t="shared" si="2"/>
        <v>0.2743626272820876</v>
      </c>
      <c r="Z15" cm="1">
        <f t="array" ref="Z15">LeisenReimer(105.3,104.7,0.0097,1,0.192,AB15)</f>
        <v>8.8221698365401338</v>
      </c>
      <c r="AA15" cm="1">
        <f t="array" ref="AA15">BlackScholes(105.3,104.7,0.0097,1,0.192)</f>
        <v>8.8226930063155411</v>
      </c>
      <c r="AB15">
        <v>27</v>
      </c>
      <c r="AC15">
        <f t="shared" si="0"/>
        <v>5.2316977540733944E-4</v>
      </c>
    </row>
    <row r="16" spans="1:29" x14ac:dyDescent="0.3">
      <c r="A16">
        <v>15</v>
      </c>
      <c r="B16" cm="1">
        <f t="array" ref="B16">Binomial(105.3,104.7,0.0097,1,0.192,A16)</f>
        <v>8.9522333881104856</v>
      </c>
      <c r="C16" cm="1">
        <f t="array" ref="C16">BlackScholes(105.3,104.7,0.0097,1,0.192)</f>
        <v>8.8226930063155411</v>
      </c>
      <c r="D16">
        <f t="shared" si="1"/>
        <v>0.12954038179494454</v>
      </c>
      <c r="M16">
        <v>15</v>
      </c>
      <c r="N16" cm="1">
        <f t="array" ref="N16">LeisenReimer(105.3,104.7,0.0097,1,0.192,M16)</f>
        <v>8.8210678972540926</v>
      </c>
      <c r="O16" cm="1">
        <f t="array" ref="O16">BlackScholes(105.3,104.7,0.0097,1,0.192)</f>
        <v>8.8226930063155411</v>
      </c>
      <c r="P16">
        <f t="shared" si="2"/>
        <v>1.6251090614485264E-3</v>
      </c>
      <c r="Z16" cm="1">
        <f t="array" ref="Z16">LeisenReimer(105.3,104.7,0.0097,1,0.192,AB16)</f>
        <v>8.8222378091992777</v>
      </c>
      <c r="AA16" cm="1">
        <f t="array" ref="AA16">BlackScholes(105.3,104.7,0.0097,1,0.192)</f>
        <v>8.8226930063155411</v>
      </c>
      <c r="AB16">
        <v>29</v>
      </c>
      <c r="AC16">
        <f t="shared" si="0"/>
        <v>4.5519711626340609E-4</v>
      </c>
    </row>
    <row r="17" spans="1:29" x14ac:dyDescent="0.3">
      <c r="A17">
        <v>16</v>
      </c>
      <c r="B17" cm="1">
        <f t="array" ref="B17">Binomial(105.3,104.7,0.0097,1,0.192,A17)</f>
        <v>8.7532990116115688</v>
      </c>
      <c r="C17" cm="1">
        <f t="array" ref="C17">BlackScholes(105.3,104.7,0.0097,1,0.192)</f>
        <v>8.8226930063155411</v>
      </c>
      <c r="D17">
        <f t="shared" si="1"/>
        <v>6.9393994703972339E-2</v>
      </c>
      <c r="M17">
        <v>16</v>
      </c>
      <c r="N17" cm="1">
        <f t="array" ref="N17">LeisenReimer(105.3,104.7,0.0097,1,0.192,M17)</f>
        <v>8.581903697043936</v>
      </c>
      <c r="O17" cm="1">
        <f t="array" ref="O17">BlackScholes(105.3,104.7,0.0097,1,0.192)</f>
        <v>8.8226930063155411</v>
      </c>
      <c r="P17">
        <f t="shared" si="2"/>
        <v>0.24078930927160513</v>
      </c>
      <c r="Z17" cm="1">
        <f t="array" ref="Z17">LeisenReimer(105.3,104.7,0.0097,1,0.192,AB17)</f>
        <v>8.822293343284171</v>
      </c>
      <c r="AA17" cm="1">
        <f t="array" ref="AA17">BlackScholes(105.3,104.7,0.0097,1,0.192)</f>
        <v>8.8226930063155411</v>
      </c>
      <c r="AB17">
        <v>31</v>
      </c>
      <c r="AC17">
        <f t="shared" si="0"/>
        <v>3.9966303137006776E-4</v>
      </c>
    </row>
    <row r="18" spans="1:29" x14ac:dyDescent="0.3">
      <c r="A18">
        <v>17</v>
      </c>
      <c r="B18" cm="1">
        <f t="array" ref="B18">Binomial(105.3,104.7,0.0097,1,0.192,A18)</f>
        <v>8.9364844569395263</v>
      </c>
      <c r="C18" cm="1">
        <f t="array" ref="C18">BlackScholes(105.3,104.7,0.0097,1,0.192)</f>
        <v>8.8226930063155411</v>
      </c>
      <c r="D18">
        <f t="shared" si="1"/>
        <v>0.11379145062398521</v>
      </c>
      <c r="M18">
        <v>17</v>
      </c>
      <c r="N18" cm="1">
        <f t="array" ref="N18">LeisenReimer(105.3,104.7,0.0097,1,0.192,M18)</f>
        <v>8.8214138722265947</v>
      </c>
      <c r="O18" cm="1">
        <f t="array" ref="O18">BlackScholes(105.3,104.7,0.0097,1,0.192)</f>
        <v>8.8226930063155411</v>
      </c>
      <c r="P18">
        <f t="shared" si="2"/>
        <v>1.2791340889464209E-3</v>
      </c>
      <c r="Z18" cm="1">
        <f t="array" ref="Z18">LeisenReimer(105.3,104.7,0.0097,1,0.192,AB18)</f>
        <v>8.8223392991663907</v>
      </c>
      <c r="AA18" cm="1">
        <f t="array" ref="AA18">BlackScholes(105.3,104.7,0.0097,1,0.192)</f>
        <v>8.8226930063155411</v>
      </c>
      <c r="AB18">
        <v>33</v>
      </c>
      <c r="AC18">
        <f t="shared" si="0"/>
        <v>3.5370714915039514E-4</v>
      </c>
    </row>
    <row r="19" spans="1:29" x14ac:dyDescent="0.3">
      <c r="A19">
        <v>18</v>
      </c>
      <c r="B19" cm="1">
        <f t="array" ref="B19">Binomial(105.3,104.7,0.0097,1,0.192,A19)</f>
        <v>8.7637457780750747</v>
      </c>
      <c r="C19" cm="1">
        <f t="array" ref="C19">BlackScholes(105.3,104.7,0.0097,1,0.192)</f>
        <v>8.8226930063155411</v>
      </c>
      <c r="D19">
        <f t="shared" si="1"/>
        <v>5.8947228240466387E-2</v>
      </c>
      <c r="M19">
        <v>18</v>
      </c>
      <c r="N19" cm="1">
        <f t="array" ref="N19">LeisenReimer(105.3,104.7,0.0097,1,0.192,M19)</f>
        <v>8.6081486546925419</v>
      </c>
      <c r="O19" cm="1">
        <f t="array" ref="O19">BlackScholes(105.3,104.7,0.0097,1,0.192)</f>
        <v>8.8226930063155411</v>
      </c>
      <c r="P19">
        <f t="shared" si="2"/>
        <v>0.21454435162299923</v>
      </c>
      <c r="Z19" cm="1">
        <f t="array" ref="Z19">LeisenReimer(105.3,104.7,0.0097,1,0.192,AB19)</f>
        <v>8.8223777597111486</v>
      </c>
      <c r="AA19" cm="1">
        <f t="array" ref="AA19">BlackScholes(105.3,104.7,0.0097,1,0.192)</f>
        <v>8.8226930063155411</v>
      </c>
      <c r="AB19">
        <v>35</v>
      </c>
      <c r="AC19">
        <f t="shared" si="0"/>
        <v>3.1524660439252727E-4</v>
      </c>
    </row>
    <row r="20" spans="1:29" x14ac:dyDescent="0.3">
      <c r="A20">
        <v>19</v>
      </c>
      <c r="B20" cm="1">
        <f t="array" ref="B20">Binomial(105.3,104.7,0.0097,1,0.192,A20)</f>
        <v>8.9240674351168092</v>
      </c>
      <c r="C20" cm="1">
        <f t="array" ref="C20">BlackScholes(105.3,104.7,0.0097,1,0.192)</f>
        <v>8.8226930063155411</v>
      </c>
      <c r="D20">
        <f t="shared" si="1"/>
        <v>0.10137442880126812</v>
      </c>
      <c r="M20">
        <v>19</v>
      </c>
      <c r="N20" cm="1">
        <f t="array" ref="N20">LeisenReimer(105.3,104.7,0.0097,1,0.192,M20)</f>
        <v>8.8216599966326061</v>
      </c>
      <c r="O20" cm="1">
        <f t="array" ref="O20">BlackScholes(105.3,104.7,0.0097,1,0.192)</f>
        <v>8.8226930063155411</v>
      </c>
      <c r="P20">
        <f t="shared" si="2"/>
        <v>1.03300968293496E-3</v>
      </c>
      <c r="Z20" cm="1">
        <f t="array" ref="Z20">LeisenReimer(105.3,104.7,0.0097,1,0.192,AB20)</f>
        <v>8.8224102708124139</v>
      </c>
      <c r="AA20" cm="1">
        <f t="array" ref="AA20">BlackScholes(105.3,104.7,0.0097,1,0.192)</f>
        <v>8.8226930063155411</v>
      </c>
      <c r="AB20">
        <v>37</v>
      </c>
      <c r="AC20">
        <f t="shared" si="0"/>
        <v>2.8273550312718498E-4</v>
      </c>
    </row>
    <row r="21" spans="1:29" x14ac:dyDescent="0.3">
      <c r="A21">
        <v>20</v>
      </c>
      <c r="B21" cm="1">
        <f t="array" ref="B21">Binomial(105.3,104.7,0.0097,1,0.192,A21)</f>
        <v>8.771962177521738</v>
      </c>
      <c r="C21" cm="1">
        <f t="array" ref="C21">BlackScholes(105.3,104.7,0.0097,1,0.192)</f>
        <v>8.8226930063155411</v>
      </c>
      <c r="D21">
        <f t="shared" si="1"/>
        <v>5.0730828793803084E-2</v>
      </c>
      <c r="M21">
        <v>20</v>
      </c>
      <c r="N21" cm="1">
        <f t="array" ref="N21">LeisenReimer(105.3,104.7,0.0097,1,0.192,M21)</f>
        <v>8.6292288754774233</v>
      </c>
      <c r="O21" cm="1">
        <f t="array" ref="O21">BlackScholes(105.3,104.7,0.0097,1,0.192)</f>
        <v>8.8226930063155411</v>
      </c>
      <c r="P21">
        <f t="shared" si="2"/>
        <v>0.19346413083811775</v>
      </c>
      <c r="Z21" cm="1">
        <f t="array" ref="Z21">LeisenReimer(105.3,104.7,0.0097,1,0.192,AB21)</f>
        <v>8.8224379993742303</v>
      </c>
      <c r="AA21" cm="1">
        <f t="array" ref="AA21">BlackScholes(105.3,104.7,0.0097,1,0.192)</f>
        <v>8.8226930063155411</v>
      </c>
      <c r="AB21">
        <v>39</v>
      </c>
      <c r="AC21">
        <f t="shared" si="0"/>
        <v>2.5500694131075363E-4</v>
      </c>
    </row>
    <row r="22" spans="1:29" x14ac:dyDescent="0.3">
      <c r="A22">
        <v>21</v>
      </c>
      <c r="B22" cm="1">
        <f t="array" ref="B22">Binomial(105.3,104.7,0.0097,1,0.192,A22)</f>
        <v>8.9140264652847137</v>
      </c>
      <c r="C22" cm="1">
        <f t="array" ref="C22">BlackScholes(105.3,104.7,0.0097,1,0.192)</f>
        <v>8.8226930063155411</v>
      </c>
      <c r="D22">
        <f t="shared" si="1"/>
        <v>9.1333458969172554E-2</v>
      </c>
      <c r="M22">
        <v>21</v>
      </c>
      <c r="N22" cm="1">
        <f t="array" ref="N22">LeisenReimer(105.3,104.7,0.0097,1,0.192,M22)</f>
        <v>8.821841321016203</v>
      </c>
      <c r="O22" cm="1">
        <f t="array" ref="O22">BlackScholes(105.3,104.7,0.0097,1,0.192)</f>
        <v>8.8226930063155411</v>
      </c>
      <c r="P22">
        <f t="shared" si="2"/>
        <v>8.5168529933810078E-4</v>
      </c>
      <c r="Z22" cm="1">
        <f t="array" ref="Z22">LeisenReimer(105.3,104.7,0.0097,1,0.192,AB22)</f>
        <v>8.8224618395716679</v>
      </c>
      <c r="AA22" cm="1">
        <f t="array" ref="AA22">BlackScholes(105.3,104.7,0.0097,1,0.192)</f>
        <v>8.8226930063155411</v>
      </c>
      <c r="AB22">
        <v>41</v>
      </c>
      <c r="AC22">
        <f t="shared" si="0"/>
        <v>2.3116674387324565E-4</v>
      </c>
    </row>
    <row r="23" spans="1:29" x14ac:dyDescent="0.3">
      <c r="A23">
        <v>22</v>
      </c>
      <c r="B23" cm="1">
        <f t="array" ref="B23">Binomial(105.3,104.7,0.0097,1,0.192,A23)</f>
        <v>8.7785731673228558</v>
      </c>
      <c r="C23" cm="1">
        <f t="array" ref="C23">BlackScholes(105.3,104.7,0.0097,1,0.192)</f>
        <v>8.8226930063155411</v>
      </c>
      <c r="D23">
        <f t="shared" si="1"/>
        <v>4.4119838992685345E-2</v>
      </c>
      <c r="M23">
        <v>22</v>
      </c>
      <c r="N23" cm="1">
        <f t="array" ref="N23">LeisenReimer(105.3,104.7,0.0097,1,0.192,M23)</f>
        <v>8.6465326605349109</v>
      </c>
      <c r="O23" cm="1">
        <f t="array" ref="O23">BlackScholes(105.3,104.7,0.0097,1,0.192)</f>
        <v>8.8226930063155411</v>
      </c>
      <c r="P23">
        <f t="shared" si="2"/>
        <v>0.17616034578063022</v>
      </c>
      <c r="Z23" cm="1">
        <f t="array" ref="Z23">LeisenReimer(105.3,104.7,0.0097,1,0.192,AB23)</f>
        <v>8.8224824859528095</v>
      </c>
      <c r="AA23" cm="1">
        <f t="array" ref="AA23">BlackScholes(105.3,104.7,0.0097,1,0.192)</f>
        <v>8.8226930063155411</v>
      </c>
      <c r="AB23">
        <v>43</v>
      </c>
      <c r="AC23">
        <f t="shared" si="0"/>
        <v>2.1052036273161434E-4</v>
      </c>
    </row>
    <row r="24" spans="1:29" x14ac:dyDescent="0.3">
      <c r="A24">
        <v>23</v>
      </c>
      <c r="B24" cm="1">
        <f t="array" ref="B24">Binomial(105.3,104.7,0.0097,1,0.192,A24)</f>
        <v>8.9057392965989468</v>
      </c>
      <c r="C24" cm="1">
        <f t="array" ref="C24">BlackScholes(105.3,104.7,0.0097,1,0.192)</f>
        <v>8.8226930063155411</v>
      </c>
      <c r="D24">
        <f t="shared" si="1"/>
        <v>8.304629028340571E-2</v>
      </c>
      <c r="M24">
        <v>23</v>
      </c>
      <c r="N24" cm="1">
        <f t="array" ref="N24">LeisenReimer(105.3,104.7,0.0097,1,0.192,M24)</f>
        <v>8.8219787571542074</v>
      </c>
      <c r="O24" cm="1">
        <f t="array" ref="O24">BlackScholes(105.3,104.7,0.0097,1,0.192)</f>
        <v>8.8226930063155411</v>
      </c>
      <c r="P24">
        <f t="shared" si="2"/>
        <v>7.1424916133366878E-4</v>
      </c>
      <c r="Z24" cm="1">
        <f t="array" ref="Z24">LeisenReimer(105.3,104.7,0.0097,1,0.192,AB24)</f>
        <v>8.8225004846083959</v>
      </c>
      <c r="AA24" cm="1">
        <f t="array" ref="AA24">BlackScholes(105.3,104.7,0.0097,1,0.192)</f>
        <v>8.8226930063155411</v>
      </c>
      <c r="AB24">
        <v>45</v>
      </c>
      <c r="AC24">
        <f t="shared" si="0"/>
        <v>1.9252170714523231E-4</v>
      </c>
    </row>
    <row r="25" spans="1:29" x14ac:dyDescent="0.3">
      <c r="A25">
        <v>24</v>
      </c>
      <c r="B25" cm="1">
        <f t="array" ref="B25">Binomial(105.3,104.7,0.0097,1,0.192,A25)</f>
        <v>8.7839924977889527</v>
      </c>
      <c r="C25" cm="1">
        <f t="array" ref="C25">BlackScholes(105.3,104.7,0.0097,1,0.192)</f>
        <v>8.8226930063155411</v>
      </c>
      <c r="D25">
        <f t="shared" si="1"/>
        <v>3.8700508526588351E-2</v>
      </c>
      <c r="M25">
        <v>24</v>
      </c>
      <c r="N25" cm="1">
        <f t="array" ref="N25">LeisenReimer(105.3,104.7,0.0097,1,0.192,M25)</f>
        <v>8.660991667060161</v>
      </c>
      <c r="O25" cm="1">
        <f t="array" ref="O25">BlackScholes(105.3,104.7,0.0097,1,0.192)</f>
        <v>8.8226930063155411</v>
      </c>
      <c r="P25">
        <f t="shared" si="2"/>
        <v>0.16170133925538011</v>
      </c>
      <c r="Z25" cm="1">
        <f t="array" ref="Z25">LeisenReimer(105.3,104.7,0.0097,1,0.192,AB25)</f>
        <v>8.8225162697142103</v>
      </c>
      <c r="AA25" cm="1">
        <f t="array" ref="AA25">BlackScholes(105.3,104.7,0.0097,1,0.192)</f>
        <v>8.8226930063155411</v>
      </c>
      <c r="AB25">
        <v>47</v>
      </c>
      <c r="AC25">
        <f t="shared" si="0"/>
        <v>1.7673660133077362E-4</v>
      </c>
    </row>
    <row r="26" spans="1:29" x14ac:dyDescent="0.3">
      <c r="A26">
        <v>25</v>
      </c>
      <c r="B26" cm="1">
        <f t="array" ref="B26">Binomial(105.3,104.7,0.0097,1,0.192,A26)</f>
        <v>8.8987834579854805</v>
      </c>
      <c r="C26" cm="1">
        <f t="array" ref="C26">BlackScholes(105.3,104.7,0.0097,1,0.192)</f>
        <v>8.8226930063155411</v>
      </c>
      <c r="D26">
        <f t="shared" si="1"/>
        <v>7.6090451669939441E-2</v>
      </c>
      <c r="M26">
        <v>25</v>
      </c>
      <c r="N26" cm="1">
        <f t="array" ref="N26">LeisenReimer(105.3,104.7,0.0097,1,0.192,M26)</f>
        <v>8.822085411075749</v>
      </c>
      <c r="O26" cm="1">
        <f t="array" ref="O26">BlackScholes(105.3,104.7,0.0097,1,0.192)</f>
        <v>8.8226930063155411</v>
      </c>
      <c r="P26">
        <f t="shared" si="2"/>
        <v>6.0759523979214691E-4</v>
      </c>
      <c r="Z26" cm="1">
        <f t="array" ref="Z26">LeisenReimer(105.3,104.7,0.0097,1,0.192,AB26)</f>
        <v>8.8225301899303439</v>
      </c>
      <c r="AA26" cm="1">
        <f t="array" ref="AA26">BlackScholes(105.3,104.7,0.0097,1,0.192)</f>
        <v>8.8226930063155411</v>
      </c>
      <c r="AB26">
        <v>49</v>
      </c>
      <c r="AC26">
        <f t="shared" si="0"/>
        <v>1.6281638519721753E-4</v>
      </c>
    </row>
    <row r="27" spans="1:29" x14ac:dyDescent="0.3">
      <c r="A27">
        <v>26</v>
      </c>
      <c r="B27" cm="1">
        <f t="array" ref="B27">Binomial(105.3,104.7,0.0097,1,0.192,A27)</f>
        <v>8.788504556875921</v>
      </c>
      <c r="C27" cm="1">
        <f t="array" ref="C27">BlackScholes(105.3,104.7,0.0097,1,0.192)</f>
        <v>8.8226930063155411</v>
      </c>
      <c r="D27">
        <f t="shared" si="1"/>
        <v>3.4188449439620072E-2</v>
      </c>
      <c r="M27">
        <v>26</v>
      </c>
      <c r="N27" cm="1">
        <f t="array" ref="N27">LeisenReimer(105.3,104.7,0.0097,1,0.192,M27)</f>
        <v>8.6732543726713018</v>
      </c>
      <c r="O27" cm="1">
        <f t="array" ref="O27">BlackScholes(105.3,104.7,0.0097,1,0.192)</f>
        <v>8.8226930063155411</v>
      </c>
      <c r="P27">
        <f>ABS(N27-O27)</f>
        <v>0.14943863364423926</v>
      </c>
    </row>
    <row r="28" spans="1:29" x14ac:dyDescent="0.3">
      <c r="A28">
        <v>27</v>
      </c>
      <c r="B28" cm="1">
        <f t="array" ref="B28">Binomial(105.3,104.7,0.0097,1,0.192,A28)</f>
        <v>8.892862055406388</v>
      </c>
      <c r="C28" cm="1">
        <f t="array" ref="C28">BlackScholes(105.3,104.7,0.0097,1,0.192)</f>
        <v>8.8226930063155411</v>
      </c>
      <c r="D28">
        <f t="shared" si="1"/>
        <v>7.0169049090846869E-2</v>
      </c>
      <c r="M28">
        <v>27</v>
      </c>
      <c r="N28" cm="1">
        <f t="array" ref="N28">LeisenReimer(105.3,104.7,0.0097,1,0.192,M28)</f>
        <v>8.8221698365401338</v>
      </c>
      <c r="O28" cm="1">
        <f t="array" ref="O28">BlackScholes(105.3,104.7,0.0097,1,0.192)</f>
        <v>8.8226930063155411</v>
      </c>
      <c r="P28">
        <f t="shared" si="2"/>
        <v>5.2316977540733944E-4</v>
      </c>
    </row>
    <row r="29" spans="1:29" x14ac:dyDescent="0.3">
      <c r="A29">
        <v>28</v>
      </c>
      <c r="B29" cm="1">
        <f t="array" ref="B29">Binomial(105.3,104.7,0.0097,1,0.192,A29)</f>
        <v>8.7923109971193583</v>
      </c>
      <c r="C29" cm="1">
        <f t="array" ref="C29">BlackScholes(105.3,104.7,0.0097,1,0.192)</f>
        <v>8.8226930063155411</v>
      </c>
      <c r="D29">
        <f t="shared" si="1"/>
        <v>3.0382009196182835E-2</v>
      </c>
      <c r="M29">
        <v>28</v>
      </c>
      <c r="N29" cm="1">
        <f t="array" ref="N29">LeisenReimer(105.3,104.7,0.0097,1,0.192,M29)</f>
        <v>8.6837860616998572</v>
      </c>
      <c r="O29" cm="1">
        <f t="array" ref="O29">BlackScholes(105.3,104.7,0.0097,1,0.192)</f>
        <v>8.8226930063155411</v>
      </c>
      <c r="P29">
        <f t="shared" si="2"/>
        <v>0.13890694461568387</v>
      </c>
    </row>
    <row r="30" spans="1:29" x14ac:dyDescent="0.3">
      <c r="A30">
        <v>29</v>
      </c>
      <c r="B30" cm="1">
        <f t="array" ref="B30">Binomial(105.3,104.7,0.0097,1,0.192,A30)</f>
        <v>8.8877603490067987</v>
      </c>
      <c r="C30" cm="1">
        <f t="array" ref="C30">BlackScholes(105.3,104.7,0.0097,1,0.192)</f>
        <v>8.8226930063155411</v>
      </c>
      <c r="D30">
        <f t="shared" si="1"/>
        <v>6.5067342691257579E-2</v>
      </c>
      <c r="M30">
        <v>29</v>
      </c>
      <c r="N30" cm="1">
        <f t="array" ref="N30">LeisenReimer(105.3,104.7,0.0097,1,0.192,M30)</f>
        <v>8.8222378091992777</v>
      </c>
      <c r="O30" cm="1">
        <f t="array" ref="O30">BlackScholes(105.3,104.7,0.0097,1,0.192)</f>
        <v>8.8226930063155411</v>
      </c>
      <c r="P30">
        <f t="shared" si="2"/>
        <v>4.5519711626340609E-4</v>
      </c>
    </row>
    <row r="31" spans="1:29" x14ac:dyDescent="0.3">
      <c r="A31">
        <v>30</v>
      </c>
      <c r="B31" cm="1">
        <f t="array" ref="B31">Binomial(105.3,104.7,0.0097,1,0.192,A31)</f>
        <v>8.7955586111831554</v>
      </c>
      <c r="C31" cm="1">
        <f t="array" ref="C31">BlackScholes(105.3,104.7,0.0097,1,0.192)</f>
        <v>8.8226930063155411</v>
      </c>
      <c r="D31">
        <f t="shared" si="1"/>
        <v>2.7134395132385691E-2</v>
      </c>
      <c r="M31">
        <v>30</v>
      </c>
      <c r="N31" cm="1">
        <f t="array" ref="N31">LeisenReimer(105.3,104.7,0.0097,1,0.192,M31)</f>
        <v>8.6929292457625298</v>
      </c>
      <c r="O31" cm="1">
        <f t="array" ref="O31">BlackScholes(105.3,104.7,0.0097,1,0.192)</f>
        <v>8.8226930063155411</v>
      </c>
      <c r="P31">
        <f t="shared" si="2"/>
        <v>0.12976376055301131</v>
      </c>
    </row>
    <row r="32" spans="1:29" x14ac:dyDescent="0.3">
      <c r="A32">
        <v>31</v>
      </c>
      <c r="B32" cm="1">
        <f t="array" ref="B32">Binomial(105.3,104.7,0.0097,1,0.192,A32)</f>
        <v>8.8833191799692859</v>
      </c>
      <c r="C32" cm="1">
        <f t="array" ref="C32">BlackScholes(105.3,104.7,0.0097,1,0.192)</f>
        <v>8.8226930063155411</v>
      </c>
      <c r="D32">
        <f t="shared" si="1"/>
        <v>6.0626173653744786E-2</v>
      </c>
      <c r="M32">
        <v>31</v>
      </c>
      <c r="N32" cm="1">
        <f t="array" ref="N32">LeisenReimer(105.3,104.7,0.0097,1,0.192,M32)</f>
        <v>8.822293343284171</v>
      </c>
      <c r="O32" cm="1">
        <f t="array" ref="O32">BlackScholes(105.3,104.7,0.0097,1,0.192)</f>
        <v>8.8226930063155411</v>
      </c>
      <c r="P32">
        <f t="shared" si="2"/>
        <v>3.9966303137006776E-4</v>
      </c>
    </row>
    <row r="33" spans="1:16" x14ac:dyDescent="0.3">
      <c r="A33">
        <v>32</v>
      </c>
      <c r="B33" cm="1">
        <f t="array" ref="B33">Binomial(105.3,104.7,0.0097,1,0.192,A33)</f>
        <v>8.7983566847908303</v>
      </c>
      <c r="C33" cm="1">
        <f t="array" ref="C33">BlackScholes(105.3,104.7,0.0097,1,0.192)</f>
        <v>8.8226930063155411</v>
      </c>
      <c r="D33">
        <f t="shared" si="1"/>
        <v>2.4336321524710769E-2</v>
      </c>
      <c r="M33">
        <v>32</v>
      </c>
      <c r="N33" cm="1">
        <f t="array" ref="N33">LeisenReimer(105.3,104.7,0.0097,1,0.192,M33)</f>
        <v>8.7009416523990843</v>
      </c>
      <c r="O33" cm="1">
        <f t="array" ref="O33">BlackScholes(105.3,104.7,0.0097,1,0.192)</f>
        <v>8.8226930063155411</v>
      </c>
      <c r="P33">
        <f t="shared" si="2"/>
        <v>0.12175135391645675</v>
      </c>
    </row>
    <row r="34" spans="1:16" x14ac:dyDescent="0.3">
      <c r="A34">
        <v>33</v>
      </c>
      <c r="B34" cm="1">
        <f t="array" ref="B34">Binomial(105.3,104.7,0.0097,1,0.192,A34)</f>
        <v>8.8794180834586598</v>
      </c>
      <c r="C34" cm="1">
        <f t="array" ref="C34">BlackScholes(105.3,104.7,0.0097,1,0.192)</f>
        <v>8.8226930063155411</v>
      </c>
      <c r="D34">
        <f t="shared" si="1"/>
        <v>5.6725077143118696E-2</v>
      </c>
      <c r="M34">
        <v>33</v>
      </c>
      <c r="N34" cm="1">
        <f t="array" ref="N34">LeisenReimer(105.3,104.7,0.0097,1,0.192,M34)</f>
        <v>8.8223392991663907</v>
      </c>
      <c r="O34" cm="1">
        <f t="array" ref="O34">BlackScholes(105.3,104.7,0.0097,1,0.192)</f>
        <v>8.8226930063155411</v>
      </c>
      <c r="P34">
        <f t="shared" si="2"/>
        <v>3.5370714915039514E-4</v>
      </c>
    </row>
    <row r="35" spans="1:16" x14ac:dyDescent="0.3">
      <c r="A35">
        <v>34</v>
      </c>
      <c r="B35" cm="1">
        <f t="array" ref="B35">Binomial(105.3,104.7,0.0097,1,0.192,A35)</f>
        <v>8.8007881775612038</v>
      </c>
      <c r="C35" cm="1">
        <f t="array" ref="C35">BlackScholes(105.3,104.7,0.0097,1,0.192)</f>
        <v>8.8226930063155411</v>
      </c>
      <c r="D35">
        <f t="shared" si="1"/>
        <v>2.1904828754337302E-2</v>
      </c>
      <c r="M35">
        <v>34</v>
      </c>
      <c r="N35" cm="1">
        <f t="array" ref="N35">LeisenReimer(105.3,104.7,0.0097,1,0.192,M35)</f>
        <v>8.7080209309446115</v>
      </c>
      <c r="O35" cm="1">
        <f t="array" ref="O35">BlackScholes(105.3,104.7,0.0097,1,0.192)</f>
        <v>8.8226930063155411</v>
      </c>
      <c r="P35">
        <f t="shared" si="2"/>
        <v>0.1146720753709296</v>
      </c>
    </row>
    <row r="36" spans="1:16" x14ac:dyDescent="0.3">
      <c r="A36">
        <v>35</v>
      </c>
      <c r="B36" cm="1">
        <f t="array" ref="B36">Binomial(105.3,104.7,0.0097,1,0.192,A36)</f>
        <v>8.8759642049951779</v>
      </c>
      <c r="C36" cm="1">
        <f t="array" ref="C36">BlackScholes(105.3,104.7,0.0097,1,0.192)</f>
        <v>8.8226930063155411</v>
      </c>
      <c r="D36">
        <f t="shared" si="1"/>
        <v>5.3271198679636811E-2</v>
      </c>
      <c r="M36">
        <v>35</v>
      </c>
      <c r="N36" cm="1">
        <f t="array" ref="N36">LeisenReimer(105.3,104.7,0.0097,1,0.192,M36)</f>
        <v>8.8223777597111486</v>
      </c>
      <c r="O36" cm="1">
        <f t="array" ref="O36">BlackScholes(105.3,104.7,0.0097,1,0.192)</f>
        <v>8.8226930063155411</v>
      </c>
      <c r="P36">
        <f t="shared" si="2"/>
        <v>3.1524660439252727E-4</v>
      </c>
    </row>
    <row r="37" spans="1:16" x14ac:dyDescent="0.3">
      <c r="A37">
        <v>36</v>
      </c>
      <c r="B37" cm="1">
        <f t="array" ref="B37">Binomial(105.3,104.7,0.0097,1,0.192,A37)</f>
        <v>8.8029171440641409</v>
      </c>
      <c r="C37" cm="1">
        <f t="array" ref="C37">BlackScholes(105.3,104.7,0.0097,1,0.192)</f>
        <v>8.8226930063155411</v>
      </c>
      <c r="D37">
        <f t="shared" si="1"/>
        <v>1.9775862251400156E-2</v>
      </c>
      <c r="M37">
        <v>36</v>
      </c>
      <c r="N37" cm="1">
        <f t="array" ref="N37">LeisenReimer(105.3,104.7,0.0097,1,0.192,M37)</f>
        <v>8.7143211952764634</v>
      </c>
      <c r="O37" cm="1">
        <f t="array" ref="O37">BlackScholes(105.3,104.7,0.0097,1,0.192)</f>
        <v>8.8226930063155411</v>
      </c>
      <c r="P37">
        <f t="shared" si="2"/>
        <v>0.10837181103907767</v>
      </c>
    </row>
    <row r="38" spans="1:16" x14ac:dyDescent="0.3">
      <c r="A38">
        <v>37</v>
      </c>
      <c r="B38" cm="1">
        <f t="array" ref="B38">Binomial(105.3,104.7,0.0097,1,0.192,A38)</f>
        <v>8.8728848197505279</v>
      </c>
      <c r="C38" cm="1">
        <f t="array" ref="C38">BlackScholes(105.3,104.7,0.0097,1,0.192)</f>
        <v>8.8226930063155411</v>
      </c>
      <c r="D38">
        <f t="shared" si="1"/>
        <v>5.0191813434986798E-2</v>
      </c>
      <c r="M38">
        <v>37</v>
      </c>
      <c r="N38" cm="1">
        <f t="array" ref="N38">LeisenReimer(105.3,104.7,0.0097,1,0.192,M38)</f>
        <v>8.8224102708124139</v>
      </c>
      <c r="O38" cm="1">
        <f t="array" ref="O38">BlackScholes(105.3,104.7,0.0097,1,0.192)</f>
        <v>8.8226930063155411</v>
      </c>
      <c r="P38">
        <f t="shared" si="2"/>
        <v>2.8273550312718498E-4</v>
      </c>
    </row>
    <row r="39" spans="1:16" x14ac:dyDescent="0.3">
      <c r="A39">
        <v>38</v>
      </c>
      <c r="B39" cm="1">
        <f t="array" ref="B39">Binomial(105.3,104.7,0.0097,1,0.192,A39)</f>
        <v>8.8047937884219394</v>
      </c>
      <c r="C39" cm="1">
        <f t="array" ref="C39">BlackScholes(105.3,104.7,0.0097,1,0.192)</f>
        <v>8.8226930063155411</v>
      </c>
      <c r="D39">
        <f t="shared" si="1"/>
        <v>1.7899217893601715E-2</v>
      </c>
      <c r="M39">
        <v>38</v>
      </c>
      <c r="N39" cm="1">
        <f t="array" ref="N39">LeisenReimer(105.3,104.7,0.0097,1,0.192,M39)</f>
        <v>8.7199643857440581</v>
      </c>
      <c r="O39" cm="1">
        <f t="array" ref="O39">BlackScholes(105.3,104.7,0.0097,1,0.192)</f>
        <v>8.8226930063155411</v>
      </c>
      <c r="P39">
        <f t="shared" si="2"/>
        <v>0.10272862057148302</v>
      </c>
    </row>
    <row r="40" spans="1:16" x14ac:dyDescent="0.3">
      <c r="A40">
        <v>39</v>
      </c>
      <c r="B40" cm="1">
        <f t="array" ref="B40">Binomial(105.3,104.7,0.0097,1,0.192,A40)</f>
        <v>8.8701221587469821</v>
      </c>
      <c r="C40" cm="1">
        <f t="array" ref="C40">BlackScholes(105.3,104.7,0.0097,1,0.192)</f>
        <v>8.8226930063155411</v>
      </c>
      <c r="D40">
        <f t="shared" si="1"/>
        <v>4.7429152431440968E-2</v>
      </c>
      <c r="M40">
        <v>39</v>
      </c>
      <c r="N40" cm="1">
        <f t="array" ref="N40">LeisenReimer(105.3,104.7,0.0097,1,0.192,M40)</f>
        <v>8.8224379993742303</v>
      </c>
      <c r="O40" cm="1">
        <f t="array" ref="O40">BlackScholes(105.3,104.7,0.0097,1,0.192)</f>
        <v>8.8226930063155411</v>
      </c>
      <c r="P40">
        <f t="shared" si="2"/>
        <v>2.5500694131075363E-4</v>
      </c>
    </row>
    <row r="41" spans="1:16" x14ac:dyDescent="0.3">
      <c r="A41">
        <v>40</v>
      </c>
      <c r="B41" cm="1">
        <f t="array" ref="B41">Binomial(105.3,104.7,0.0097,1,0.192,A41)</f>
        <v>8.8064579862771541</v>
      </c>
      <c r="C41" cm="1">
        <f t="array" ref="C41">BlackScholes(105.3,104.7,0.0097,1,0.192)</f>
        <v>8.8226930063155411</v>
      </c>
      <c r="D41">
        <f>ABS(B41-C41)</f>
        <v>1.6235020038386949E-2</v>
      </c>
      <c r="M41">
        <v>40</v>
      </c>
      <c r="N41" cm="1">
        <f t="array" ref="N41">LeisenReimer(105.3,104.7,0.0097,1,0.192,M41)</f>
        <v>8.7250482493046135</v>
      </c>
      <c r="O41" cm="1">
        <f t="array" ref="O41">BlackScholes(105.3,104.7,0.0097,1,0.192)</f>
        <v>8.8226930063155411</v>
      </c>
      <c r="P41">
        <f t="shared" si="2"/>
        <v>9.7644757010927563E-2</v>
      </c>
    </row>
    <row r="42" spans="1:16" x14ac:dyDescent="0.3">
      <c r="A42">
        <v>41</v>
      </c>
      <c r="B42" cm="1">
        <f t="array" ref="B42">Binomial(105.3,104.7,0.0097,1,0.192,A42)</f>
        <v>8.8676297526314123</v>
      </c>
      <c r="C42" cm="1">
        <f t="array" ref="C42">BlackScholes(105.3,104.7,0.0097,1,0.192)</f>
        <v>8.8226930063155411</v>
      </c>
      <c r="D42">
        <f t="shared" si="1"/>
        <v>4.493674631587119E-2</v>
      </c>
      <c r="M42">
        <v>41</v>
      </c>
      <c r="N42" cm="1">
        <f t="array" ref="N42">LeisenReimer(105.3,104.7,0.0097,1,0.192,M42)</f>
        <v>8.8224618395716679</v>
      </c>
      <c r="O42" cm="1">
        <f t="array" ref="O42">BlackScholes(105.3,104.7,0.0097,1,0.192)</f>
        <v>8.8226930063155411</v>
      </c>
      <c r="P42">
        <f t="shared" si="2"/>
        <v>2.3116674387324565E-4</v>
      </c>
    </row>
    <row r="43" spans="1:16" x14ac:dyDescent="0.3">
      <c r="A43">
        <v>42</v>
      </c>
      <c r="B43" cm="1">
        <f t="array" ref="B43">Binomial(105.3,104.7,0.0097,1,0.192,A43)</f>
        <v>8.8079417888020917</v>
      </c>
      <c r="C43" cm="1">
        <f t="array" ref="C43">BlackScholes(105.3,104.7,0.0097,1,0.192)</f>
        <v>8.8226930063155411</v>
      </c>
      <c r="D43">
        <f t="shared" si="1"/>
        <v>1.4751217513449433E-2</v>
      </c>
      <c r="M43">
        <v>42</v>
      </c>
      <c r="N43" cm="1">
        <f t="array" ref="N43">LeisenReimer(105.3,104.7,0.0097,1,0.192,M43)</f>
        <v>8.7296520566346771</v>
      </c>
      <c r="O43" cm="1">
        <f t="array" ref="O43">BlackScholes(105.3,104.7,0.0097,1,0.192)</f>
        <v>8.8226930063155411</v>
      </c>
      <c r="P43">
        <f t="shared" si="2"/>
        <v>9.304094968086396E-2</v>
      </c>
    </row>
    <row r="44" spans="1:16" x14ac:dyDescent="0.3">
      <c r="A44">
        <v>43</v>
      </c>
      <c r="B44" cm="1">
        <f t="array" ref="B44">Binomial(105.3,104.7,0.0097,1,0.192,A44)</f>
        <v>8.8653697979573067</v>
      </c>
      <c r="C44" cm="1">
        <f t="array" ref="C44">BlackScholes(105.3,104.7,0.0097,1,0.192)</f>
        <v>8.8226930063155411</v>
      </c>
      <c r="D44">
        <f t="shared" si="1"/>
        <v>4.2676791641765632E-2</v>
      </c>
      <c r="M44">
        <v>43</v>
      </c>
      <c r="N44" cm="1">
        <f t="array" ref="N44">LeisenReimer(105.3,104.7,0.0097,1,0.192,M44)</f>
        <v>8.8224824859528095</v>
      </c>
      <c r="O44" cm="1">
        <f t="array" ref="O44">BlackScholes(105.3,104.7,0.0097,1,0.192)</f>
        <v>8.8226930063155411</v>
      </c>
      <c r="P44">
        <f>ABS(N44-O44)</f>
        <v>2.1052036273161434E-4</v>
      </c>
    </row>
    <row r="45" spans="1:16" x14ac:dyDescent="0.3">
      <c r="A45">
        <v>44</v>
      </c>
      <c r="B45" cm="1">
        <f t="array" ref="B45">Binomial(105.3,104.7,0.0097,1,0.192,A45)</f>
        <v>8.8092712352988762</v>
      </c>
      <c r="C45" cm="1">
        <f t="array" ref="C45">BlackScholes(105.3,104.7,0.0097,1,0.192)</f>
        <v>8.8226930063155411</v>
      </c>
      <c r="D45">
        <f t="shared" si="1"/>
        <v>1.3421771016664863E-2</v>
      </c>
      <c r="M45">
        <v>44</v>
      </c>
      <c r="N45" cm="1">
        <f t="array" ref="N45">LeisenReimer(105.3,104.7,0.0097,1,0.192,M45)</f>
        <v>8.7338407711170216</v>
      </c>
      <c r="O45" cm="1">
        <f t="array" ref="O45">BlackScholes(105.3,104.7,0.0097,1,0.192)</f>
        <v>8.8226930063155411</v>
      </c>
      <c r="P45">
        <f t="shared" si="2"/>
        <v>8.885223519851948E-2</v>
      </c>
    </row>
    <row r="46" spans="1:16" x14ac:dyDescent="0.3">
      <c r="A46">
        <v>45</v>
      </c>
      <c r="B46" cm="1">
        <f t="array" ref="B46">Binomial(105.3,104.7,0.0097,1,0.192,A46)</f>
        <v>8.8633112272372845</v>
      </c>
      <c r="C46" cm="1">
        <f t="array" ref="C46">BlackScholes(105.3,104.7,0.0097,1,0.192)</f>
        <v>8.8226930063155411</v>
      </c>
      <c r="D46">
        <f t="shared" si="1"/>
        <v>4.0618220921743386E-2</v>
      </c>
      <c r="M46">
        <v>45</v>
      </c>
      <c r="N46" cm="1">
        <f t="array" ref="N46">LeisenReimer(105.3,104.7,0.0097,1,0.192,M46)</f>
        <v>8.8225004846083959</v>
      </c>
      <c r="O46" cm="1">
        <f t="array" ref="O46">BlackScholes(105.3,104.7,0.0097,1,0.192)</f>
        <v>8.8226930063155411</v>
      </c>
      <c r="P46">
        <f t="shared" si="2"/>
        <v>1.9252170714523231E-4</v>
      </c>
    </row>
    <row r="47" spans="1:16" x14ac:dyDescent="0.3">
      <c r="A47">
        <v>46</v>
      </c>
      <c r="B47" cm="1">
        <f t="array" ref="B47">Binomial(105.3,104.7,0.0097,1,0.192,A47)</f>
        <v>8.8104676866807594</v>
      </c>
      <c r="C47" cm="1">
        <f t="array" ref="C47">BlackScholes(105.3,104.7,0.0097,1,0.192)</f>
        <v>8.8226930063155411</v>
      </c>
      <c r="D47">
        <f t="shared" si="1"/>
        <v>1.2225319634781684E-2</v>
      </c>
      <c r="M47">
        <v>46</v>
      </c>
      <c r="N47" cm="1">
        <f t="array" ref="N47">LeisenReimer(105.3,104.7,0.0097,1,0.192,M47)</f>
        <v>8.7376681377167564</v>
      </c>
      <c r="O47" cm="1">
        <f t="array" ref="O47">BlackScholes(105.3,104.7,0.0097,1,0.192)</f>
        <v>8.8226930063155411</v>
      </c>
      <c r="P47">
        <f t="shared" si="2"/>
        <v>8.5024868598784664E-2</v>
      </c>
    </row>
    <row r="48" spans="1:16" x14ac:dyDescent="0.3">
      <c r="A48">
        <v>47</v>
      </c>
      <c r="B48" cm="1">
        <f t="array" ref="B48">Binomial(105.3,104.7,0.0097,1,0.192,A48)</f>
        <v>8.8614282727381557</v>
      </c>
      <c r="C48" cm="1">
        <f t="array" ref="C48">BlackScholes(105.3,104.7,0.0097,1,0.192)</f>
        <v>8.8226930063155411</v>
      </c>
      <c r="D48">
        <f t="shared" si="1"/>
        <v>3.87352664226146E-2</v>
      </c>
      <c r="M48">
        <v>47</v>
      </c>
      <c r="N48" cm="1">
        <f t="array" ref="N48">LeisenReimer(105.3,104.7,0.0097,1,0.192,M48)</f>
        <v>8.8225162697142103</v>
      </c>
      <c r="O48" cm="1">
        <f t="array" ref="O48">BlackScholes(105.3,104.7,0.0097,1,0.192)</f>
        <v>8.8226930063155411</v>
      </c>
      <c r="P48">
        <f t="shared" si="2"/>
        <v>1.7673660133077362E-4</v>
      </c>
    </row>
    <row r="49" spans="1:16" x14ac:dyDescent="0.3">
      <c r="A49">
        <v>48</v>
      </c>
      <c r="B49" cm="1">
        <f t="array" ref="B49">Binomial(105.3,104.7,0.0097,1,0.192,A49)</f>
        <v>8.8115488209073654</v>
      </c>
      <c r="C49" cm="1">
        <f t="array" ref="C49">BlackScholes(105.3,104.7,0.0097,1,0.192)</f>
        <v>8.8226930063155411</v>
      </c>
      <c r="D49">
        <f>ABS(B49-C49)</f>
        <v>1.1144185408175744E-2</v>
      </c>
      <c r="M49">
        <v>48</v>
      </c>
      <c r="N49" cm="1">
        <f t="array" ref="N49">LeisenReimer(105.3,104.7,0.0097,1,0.192,M49)</f>
        <v>8.7411790046714763</v>
      </c>
      <c r="O49" cm="1">
        <f t="array" ref="O49">BlackScholes(105.3,104.7,0.0097,1,0.192)</f>
        <v>8.8226930063155411</v>
      </c>
      <c r="P49">
        <f t="shared" si="2"/>
        <v>8.1514001644064749E-2</v>
      </c>
    </row>
    <row r="50" spans="1:16" x14ac:dyDescent="0.3">
      <c r="A50">
        <v>49</v>
      </c>
      <c r="B50" cm="1">
        <f t="array" ref="B50">Binomial(105.3,104.7,0.0097,1,0.192,A50)</f>
        <v>8.8596993826861183</v>
      </c>
      <c r="C50" cm="1">
        <f t="array" ref="C50">BlackScholes(105.3,104.7,0.0097,1,0.192)</f>
        <v>8.8226930063155411</v>
      </c>
      <c r="D50">
        <f t="shared" si="1"/>
        <v>3.7006376370577243E-2</v>
      </c>
      <c r="M50">
        <v>49</v>
      </c>
      <c r="N50" cm="1">
        <f t="array" ref="N50">LeisenReimer(105.3,104.7,0.0097,1,0.192,M50)</f>
        <v>8.8225301899303439</v>
      </c>
      <c r="O50" cm="1">
        <f t="array" ref="O50">BlackScholes(105.3,104.7,0.0097,1,0.192)</f>
        <v>8.8226930063155411</v>
      </c>
      <c r="P50">
        <f t="shared" si="2"/>
        <v>1.6281638519721753E-4</v>
      </c>
    </row>
    <row r="51" spans="1:16" x14ac:dyDescent="0.3">
      <c r="A51">
        <v>50</v>
      </c>
      <c r="B51" cm="1">
        <f t="array" ref="B51">Binomial(105.3,104.7,0.0097,1,0.192,A51)</f>
        <v>8.8125293859840159</v>
      </c>
      <c r="C51" cm="1">
        <f t="array" ref="C51">BlackScholes(105.3,104.7,0.0097,1,0.192)</f>
        <v>8.8226930063155411</v>
      </c>
      <c r="D51">
        <f t="shared" si="1"/>
        <v>1.0163620331525181E-2</v>
      </c>
      <c r="M51">
        <v>50</v>
      </c>
      <c r="N51" cm="1">
        <f t="array" ref="N51">LeisenReimer(105.3,104.7,0.0097,1,0.192,M51)</f>
        <v>8.7444110914862918</v>
      </c>
      <c r="O51" cm="1">
        <f t="array" ref="O51">BlackScholes(105.3,104.7,0.0097,1,0.192)</f>
        <v>8.8226930063155411</v>
      </c>
      <c r="P51">
        <f t="shared" si="2"/>
        <v>7.8281914829249288E-2</v>
      </c>
    </row>
    <row r="54" spans="1:16" x14ac:dyDescent="0.3">
      <c r="A54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Palmeri</dc:creator>
  <cp:lastModifiedBy>Claudio Palmeri</cp:lastModifiedBy>
  <cp:lastPrinted>2023-04-07T20:01:54Z</cp:lastPrinted>
  <dcterms:created xsi:type="dcterms:W3CDTF">2023-04-06T16:36:18Z</dcterms:created>
  <dcterms:modified xsi:type="dcterms:W3CDTF">2023-04-07T20:13:53Z</dcterms:modified>
</cp:coreProperties>
</file>